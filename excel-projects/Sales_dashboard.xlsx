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hidePivotFieldList="1" defaultThemeVersion="124226"/>
  <mc:AlternateContent xmlns:mc="http://schemas.openxmlformats.org/markup-compatibility/2006">
    <mc:Choice Requires="x15">
      <x15ac:absPath xmlns:x15ac="http://schemas.microsoft.com/office/spreadsheetml/2010/11/ac" url="C:\Users\PC\Documents\DLC_Getbundi\"/>
    </mc:Choice>
  </mc:AlternateContent>
  <xr:revisionPtr revIDLastSave="0" documentId="13_ncr:1_{1F3CFD82-8896-43D0-A7EF-94EBFA97FB59}" xr6:coauthVersionLast="47" xr6:coauthVersionMax="47" xr10:uidLastSave="{00000000-0000-0000-0000-000000000000}"/>
  <bookViews>
    <workbookView xWindow="-98" yWindow="-98" windowWidth="24196" windowHeight="12975" firstSheet="1" activeTab="4" xr2:uid="{00000000-000D-0000-FFFF-FFFF00000000}"/>
  </bookViews>
  <sheets>
    <sheet name="Group Members" sheetId="10" r:id="rId1"/>
    <sheet name="GGC Limited " sheetId="1" r:id="rId2"/>
    <sheet name="Working Doc. 1" sheetId="4" r:id="rId3"/>
    <sheet name="Pivot Analysis" sheetId="6" r:id="rId4"/>
    <sheet name="Dashboard" sheetId="9" r:id="rId5"/>
    <sheet name="Cubana International" sheetId="3" r:id="rId6"/>
    <sheet name="Working Doc. 2" sheetId="5" r:id="rId7"/>
  </sheets>
  <definedNames>
    <definedName name="_xlnm._FilterDatabase" localSheetId="1" hidden="1">'GGC Limited '!$A$1:$H$1008</definedName>
    <definedName name="_xlnm._FilterDatabase" localSheetId="2" hidden="1">'Working Doc. 1'!$A$1:$K$1008</definedName>
    <definedName name="_xlcn.WorksheetConnection_DLCProjextwork.xlsxTable1" hidden="1">Table1[]</definedName>
    <definedName name="Average_Sales">'Working Doc. 1'!$N$4</definedName>
    <definedName name="Maximum_Sale">'Working Doc. 1'!$N$6</definedName>
    <definedName name="Minimum_Sale">'Working Doc. 1'!$N$8</definedName>
    <definedName name="Slicer_Customer_Segment">#N/A</definedName>
    <definedName name="Slicer_Product_Category">#N/A</definedName>
    <definedName name="Timeline_Order_Date">#N/A</definedName>
    <definedName name="Total_Sales">'Working Doc. 1'!$N$2</definedName>
  </definedNames>
  <calcPr calcId="191029"/>
  <pivotCaches>
    <pivotCache cacheId="10" r:id="rId8"/>
    <pivotCache cacheId="11" r:id="rId9"/>
    <pivotCache cacheId="12" r:id="rId10"/>
    <pivotCache cacheId="13" r:id="rId11"/>
    <pivotCache cacheId="14" r:id="rId12"/>
    <pivotCache cacheId="15" r:id="rId13"/>
    <pivotCache cacheId="16" r:id="rId14"/>
    <pivotCache cacheId="17" r:id="rId15"/>
  </pivotCaches>
  <extLst>
    <ext xmlns:x14="http://schemas.microsoft.com/office/spreadsheetml/2009/9/main" uri="{876F7934-8845-4945-9796-88D515C7AA90}">
      <x14:pivotCaches>
        <pivotCache cacheId="18"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9"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FCE2AD5D-F65C-4FA6-A056-5C36A1767C68}">
      <x15:dataModel>
        <x15:modelTables>
          <x15:modelTable id="Table1" name="Table1" connection="WorksheetConnection_DLC Projext wor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 i="5" l="1"/>
  <c r="D14" i="5"/>
  <c r="D13" i="5"/>
  <c r="D12" i="5"/>
  <c r="D11" i="5"/>
  <c r="D10" i="5"/>
  <c r="D9" i="5"/>
  <c r="D8" i="5"/>
  <c r="D7" i="5"/>
  <c r="D6" i="5"/>
  <c r="D5" i="5"/>
  <c r="E2008" i="4"/>
  <c r="D2008" i="4"/>
  <c r="C2008" i="4"/>
  <c r="E2007" i="4"/>
  <c r="D2007" i="4"/>
  <c r="C2007" i="4"/>
  <c r="E2006" i="4"/>
  <c r="D2006" i="4"/>
  <c r="C2006" i="4"/>
  <c r="E2005" i="4"/>
  <c r="D2005" i="4"/>
  <c r="C2005" i="4"/>
  <c r="E2004" i="4"/>
  <c r="D2004" i="4"/>
  <c r="C2004" i="4"/>
  <c r="E2003" i="4"/>
  <c r="D2003" i="4"/>
  <c r="C2003" i="4"/>
  <c r="E2002" i="4"/>
  <c r="D2002" i="4"/>
  <c r="C2002" i="4"/>
  <c r="E2001" i="4"/>
  <c r="D2001" i="4"/>
  <c r="C2001" i="4"/>
  <c r="E2000" i="4"/>
  <c r="D2000" i="4"/>
  <c r="C2000" i="4"/>
  <c r="E1999" i="4"/>
  <c r="D1999" i="4"/>
  <c r="C1999" i="4"/>
  <c r="E1998" i="4"/>
  <c r="D1998" i="4"/>
  <c r="C1998" i="4"/>
  <c r="E1997" i="4"/>
  <c r="D1997" i="4"/>
  <c r="C1997" i="4"/>
  <c r="E1996" i="4"/>
  <c r="D1996" i="4"/>
  <c r="C1996" i="4"/>
  <c r="E1995" i="4"/>
  <c r="D1995" i="4"/>
  <c r="C1995" i="4"/>
  <c r="E1994" i="4"/>
  <c r="D1994" i="4"/>
  <c r="C1994" i="4"/>
  <c r="E1993" i="4"/>
  <c r="D1993" i="4"/>
  <c r="C1993" i="4"/>
  <c r="E1992" i="4"/>
  <c r="D1992" i="4"/>
  <c r="C1992" i="4"/>
  <c r="E1991" i="4"/>
  <c r="D1991" i="4"/>
  <c r="C1991" i="4"/>
  <c r="E1990" i="4"/>
  <c r="D1990" i="4"/>
  <c r="C1990" i="4"/>
  <c r="E1989" i="4"/>
  <c r="D1989" i="4"/>
  <c r="C1989" i="4"/>
  <c r="E1988" i="4"/>
  <c r="D1988" i="4"/>
  <c r="C1988" i="4"/>
  <c r="E1987" i="4"/>
  <c r="D1987" i="4"/>
  <c r="C1987" i="4"/>
  <c r="E1986" i="4"/>
  <c r="D1986" i="4"/>
  <c r="C1986" i="4"/>
  <c r="E1985" i="4"/>
  <c r="D1985" i="4"/>
  <c r="C1985" i="4"/>
  <c r="E1984" i="4"/>
  <c r="D1984" i="4"/>
  <c r="C1984" i="4"/>
  <c r="E1983" i="4"/>
  <c r="D1983" i="4"/>
  <c r="C1983" i="4"/>
  <c r="E1982" i="4"/>
  <c r="D1982" i="4"/>
  <c r="C1982" i="4"/>
  <c r="E1981" i="4"/>
  <c r="D1981" i="4"/>
  <c r="C1981" i="4"/>
  <c r="E1980" i="4"/>
  <c r="D1980" i="4"/>
  <c r="C1980" i="4"/>
  <c r="E1979" i="4"/>
  <c r="D1979" i="4"/>
  <c r="C1979" i="4"/>
  <c r="E1978" i="4"/>
  <c r="D1978" i="4"/>
  <c r="C1978" i="4"/>
  <c r="E1977" i="4"/>
  <c r="D1977" i="4"/>
  <c r="C1977" i="4"/>
  <c r="E1976" i="4"/>
  <c r="D1976" i="4"/>
  <c r="C1976" i="4"/>
  <c r="E1975" i="4"/>
  <c r="D1975" i="4"/>
  <c r="C1975" i="4"/>
  <c r="E1974" i="4"/>
  <c r="D1974" i="4"/>
  <c r="C1974" i="4"/>
  <c r="E1973" i="4"/>
  <c r="D1973" i="4"/>
  <c r="C1973" i="4"/>
  <c r="E1972" i="4"/>
  <c r="D1972" i="4"/>
  <c r="C1972" i="4"/>
  <c r="E1971" i="4"/>
  <c r="D1971" i="4"/>
  <c r="C1971" i="4"/>
  <c r="E1970" i="4"/>
  <c r="D1970" i="4"/>
  <c r="C1970" i="4"/>
  <c r="E1969" i="4"/>
  <c r="D1969" i="4"/>
  <c r="C1969" i="4"/>
  <c r="E1968" i="4"/>
  <c r="D1968" i="4"/>
  <c r="C1968" i="4"/>
  <c r="E1967" i="4"/>
  <c r="D1967" i="4"/>
  <c r="C1967" i="4"/>
  <c r="E1966" i="4"/>
  <c r="D1966" i="4"/>
  <c r="C1966" i="4"/>
  <c r="E1965" i="4"/>
  <c r="D1965" i="4"/>
  <c r="C1965" i="4"/>
  <c r="E1964" i="4"/>
  <c r="D1964" i="4"/>
  <c r="C1964" i="4"/>
  <c r="E1963" i="4"/>
  <c r="D1963" i="4"/>
  <c r="C1963" i="4"/>
  <c r="E1962" i="4"/>
  <c r="D1962" i="4"/>
  <c r="C1962" i="4"/>
  <c r="E1961" i="4"/>
  <c r="D1961" i="4"/>
  <c r="C1961" i="4"/>
  <c r="E1960" i="4"/>
  <c r="D1960" i="4"/>
  <c r="C1960" i="4"/>
  <c r="E1959" i="4"/>
  <c r="D1959" i="4"/>
  <c r="C1959" i="4"/>
  <c r="E1958" i="4"/>
  <c r="D1958" i="4"/>
  <c r="C1958" i="4"/>
  <c r="E1957" i="4"/>
  <c r="D1957" i="4"/>
  <c r="C1957" i="4"/>
  <c r="E1956" i="4"/>
  <c r="D1956" i="4"/>
  <c r="C1956" i="4"/>
  <c r="E1955" i="4"/>
  <c r="D1955" i="4"/>
  <c r="C1955" i="4"/>
  <c r="E1954" i="4"/>
  <c r="D1954" i="4"/>
  <c r="C1954" i="4"/>
  <c r="E1953" i="4"/>
  <c r="D1953" i="4"/>
  <c r="C1953" i="4"/>
  <c r="E1952" i="4"/>
  <c r="D1952" i="4"/>
  <c r="C1952" i="4"/>
  <c r="E1951" i="4"/>
  <c r="D1951" i="4"/>
  <c r="C1951" i="4"/>
  <c r="E1950" i="4"/>
  <c r="D1950" i="4"/>
  <c r="C1950" i="4"/>
  <c r="E1949" i="4"/>
  <c r="D1949" i="4"/>
  <c r="C1949" i="4"/>
  <c r="E1948" i="4"/>
  <c r="D1948" i="4"/>
  <c r="C1948" i="4"/>
  <c r="E1947" i="4"/>
  <c r="D1947" i="4"/>
  <c r="C1947" i="4"/>
  <c r="E1946" i="4"/>
  <c r="D1946" i="4"/>
  <c r="C1946" i="4"/>
  <c r="E1945" i="4"/>
  <c r="D1945" i="4"/>
  <c r="C1945" i="4"/>
  <c r="E1944" i="4"/>
  <c r="D1944" i="4"/>
  <c r="C1944" i="4"/>
  <c r="E1943" i="4"/>
  <c r="D1943" i="4"/>
  <c r="C1943" i="4"/>
  <c r="E1942" i="4"/>
  <c r="D1942" i="4"/>
  <c r="C1942" i="4"/>
  <c r="E1941" i="4"/>
  <c r="D1941" i="4"/>
  <c r="C1941" i="4"/>
  <c r="E1940" i="4"/>
  <c r="D1940" i="4"/>
  <c r="C1940" i="4"/>
  <c r="E1939" i="4"/>
  <c r="D1939" i="4"/>
  <c r="C1939" i="4"/>
  <c r="E1938" i="4"/>
  <c r="D1938" i="4"/>
  <c r="C1938" i="4"/>
  <c r="E1937" i="4"/>
  <c r="D1937" i="4"/>
  <c r="C1937" i="4"/>
  <c r="E1936" i="4"/>
  <c r="D1936" i="4"/>
  <c r="C1936" i="4"/>
  <c r="E1935" i="4"/>
  <c r="D1935" i="4"/>
  <c r="C1935" i="4"/>
  <c r="E1934" i="4"/>
  <c r="D1934" i="4"/>
  <c r="C1934" i="4"/>
  <c r="E1933" i="4"/>
  <c r="D1933" i="4"/>
  <c r="C1933" i="4"/>
  <c r="E1932" i="4"/>
  <c r="D1932" i="4"/>
  <c r="C1932" i="4"/>
  <c r="E1931" i="4"/>
  <c r="D1931" i="4"/>
  <c r="C1931" i="4"/>
  <c r="E1930" i="4"/>
  <c r="D1930" i="4"/>
  <c r="C1930" i="4"/>
  <c r="E1929" i="4"/>
  <c r="D1929" i="4"/>
  <c r="C1929" i="4"/>
  <c r="E1928" i="4"/>
  <c r="D1928" i="4"/>
  <c r="C1928" i="4"/>
  <c r="E1927" i="4"/>
  <c r="D1927" i="4"/>
  <c r="C1927" i="4"/>
  <c r="E1926" i="4"/>
  <c r="D1926" i="4"/>
  <c r="C1926" i="4"/>
  <c r="E1925" i="4"/>
  <c r="D1925" i="4"/>
  <c r="C1925" i="4"/>
  <c r="E1924" i="4"/>
  <c r="D1924" i="4"/>
  <c r="C1924" i="4"/>
  <c r="E1923" i="4"/>
  <c r="D1923" i="4"/>
  <c r="C1923" i="4"/>
  <c r="E1922" i="4"/>
  <c r="D1922" i="4"/>
  <c r="C1922" i="4"/>
  <c r="E1921" i="4"/>
  <c r="D1921" i="4"/>
  <c r="C1921" i="4"/>
  <c r="E1920" i="4"/>
  <c r="D1920" i="4"/>
  <c r="C1920" i="4"/>
  <c r="E1919" i="4"/>
  <c r="D1919" i="4"/>
  <c r="C1919" i="4"/>
  <c r="E1918" i="4"/>
  <c r="D1918" i="4"/>
  <c r="C1918" i="4"/>
  <c r="E1917" i="4"/>
  <c r="D1917" i="4"/>
  <c r="C1917" i="4"/>
  <c r="E1916" i="4"/>
  <c r="D1916" i="4"/>
  <c r="C1916" i="4"/>
  <c r="E1915" i="4"/>
  <c r="D1915" i="4"/>
  <c r="C1915" i="4"/>
  <c r="E1914" i="4"/>
  <c r="D1914" i="4"/>
  <c r="C1914" i="4"/>
  <c r="E1913" i="4"/>
  <c r="D1913" i="4"/>
  <c r="C1913" i="4"/>
  <c r="E1912" i="4"/>
  <c r="D1912" i="4"/>
  <c r="C1912" i="4"/>
  <c r="E1911" i="4"/>
  <c r="D1911" i="4"/>
  <c r="C1911" i="4"/>
  <c r="E1910" i="4"/>
  <c r="D1910" i="4"/>
  <c r="C1910" i="4"/>
  <c r="E1909" i="4"/>
  <c r="D1909" i="4"/>
  <c r="C1909" i="4"/>
  <c r="E1908" i="4"/>
  <c r="D1908" i="4"/>
  <c r="C1908" i="4"/>
  <c r="E1907" i="4"/>
  <c r="D1907" i="4"/>
  <c r="C1907" i="4"/>
  <c r="E1906" i="4"/>
  <c r="D1906" i="4"/>
  <c r="C1906" i="4"/>
  <c r="E1905" i="4"/>
  <c r="D1905" i="4"/>
  <c r="C1905" i="4"/>
  <c r="E1904" i="4"/>
  <c r="D1904" i="4"/>
  <c r="C1904" i="4"/>
  <c r="E1903" i="4"/>
  <c r="D1903" i="4"/>
  <c r="C1903" i="4"/>
  <c r="E1902" i="4"/>
  <c r="D1902" i="4"/>
  <c r="C1902" i="4"/>
  <c r="E1901" i="4"/>
  <c r="D1901" i="4"/>
  <c r="C1901" i="4"/>
  <c r="E1900" i="4"/>
  <c r="D1900" i="4"/>
  <c r="C1900" i="4"/>
  <c r="E1899" i="4"/>
  <c r="D1899" i="4"/>
  <c r="C1899" i="4"/>
  <c r="E1898" i="4"/>
  <c r="D1898" i="4"/>
  <c r="C1898" i="4"/>
  <c r="E1897" i="4"/>
  <c r="D1897" i="4"/>
  <c r="C1897" i="4"/>
  <c r="E1896" i="4"/>
  <c r="D1896" i="4"/>
  <c r="C1896" i="4"/>
  <c r="E1895" i="4"/>
  <c r="D1895" i="4"/>
  <c r="C1895" i="4"/>
  <c r="E1894" i="4"/>
  <c r="D1894" i="4"/>
  <c r="C1894" i="4"/>
  <c r="E1893" i="4"/>
  <c r="D1893" i="4"/>
  <c r="C1893" i="4"/>
  <c r="E1892" i="4"/>
  <c r="D1892" i="4"/>
  <c r="C1892" i="4"/>
  <c r="E1891" i="4"/>
  <c r="D1891" i="4"/>
  <c r="C1891" i="4"/>
  <c r="E1890" i="4"/>
  <c r="D1890" i="4"/>
  <c r="C1890" i="4"/>
  <c r="E1889" i="4"/>
  <c r="D1889" i="4"/>
  <c r="C1889" i="4"/>
  <c r="E1888" i="4"/>
  <c r="D1888" i="4"/>
  <c r="C1888" i="4"/>
  <c r="E1887" i="4"/>
  <c r="D1887" i="4"/>
  <c r="C1887" i="4"/>
  <c r="E1886" i="4"/>
  <c r="D1886" i="4"/>
  <c r="C1886" i="4"/>
  <c r="E1885" i="4"/>
  <c r="D1885" i="4"/>
  <c r="C1885" i="4"/>
  <c r="E1884" i="4"/>
  <c r="D1884" i="4"/>
  <c r="C1884" i="4"/>
  <c r="E1883" i="4"/>
  <c r="D1883" i="4"/>
  <c r="C1883" i="4"/>
  <c r="E1882" i="4"/>
  <c r="D1882" i="4"/>
  <c r="C1882" i="4"/>
  <c r="E1881" i="4"/>
  <c r="D1881" i="4"/>
  <c r="C1881" i="4"/>
  <c r="E1880" i="4"/>
  <c r="D1880" i="4"/>
  <c r="C1880" i="4"/>
  <c r="E1879" i="4"/>
  <c r="D1879" i="4"/>
  <c r="C1879" i="4"/>
  <c r="E1878" i="4"/>
  <c r="D1878" i="4"/>
  <c r="C1878" i="4"/>
  <c r="E1877" i="4"/>
  <c r="D1877" i="4"/>
  <c r="C1877" i="4"/>
  <c r="E1876" i="4"/>
  <c r="D1876" i="4"/>
  <c r="C1876" i="4"/>
  <c r="E1875" i="4"/>
  <c r="D1875" i="4"/>
  <c r="C1875" i="4"/>
  <c r="E1874" i="4"/>
  <c r="D1874" i="4"/>
  <c r="C1874" i="4"/>
  <c r="E1873" i="4"/>
  <c r="D1873" i="4"/>
  <c r="C1873" i="4"/>
  <c r="E1872" i="4"/>
  <c r="D1872" i="4"/>
  <c r="C1872" i="4"/>
  <c r="E1871" i="4"/>
  <c r="D1871" i="4"/>
  <c r="C1871" i="4"/>
  <c r="E1870" i="4"/>
  <c r="D1870" i="4"/>
  <c r="C1870" i="4"/>
  <c r="E1869" i="4"/>
  <c r="D1869" i="4"/>
  <c r="C1869" i="4"/>
  <c r="E1868" i="4"/>
  <c r="D1868" i="4"/>
  <c r="C1868" i="4"/>
  <c r="E1867" i="4"/>
  <c r="D1867" i="4"/>
  <c r="C1867" i="4"/>
  <c r="E1866" i="4"/>
  <c r="D1866" i="4"/>
  <c r="C1866" i="4"/>
  <c r="E1865" i="4"/>
  <c r="D1865" i="4"/>
  <c r="C1865" i="4"/>
  <c r="E1864" i="4"/>
  <c r="D1864" i="4"/>
  <c r="C1864" i="4"/>
  <c r="E1863" i="4"/>
  <c r="D1863" i="4"/>
  <c r="C1863" i="4"/>
  <c r="E1862" i="4"/>
  <c r="D1862" i="4"/>
  <c r="C1862" i="4"/>
  <c r="E1861" i="4"/>
  <c r="D1861" i="4"/>
  <c r="C1861" i="4"/>
  <c r="E1860" i="4"/>
  <c r="D1860" i="4"/>
  <c r="C1860" i="4"/>
  <c r="E1859" i="4"/>
  <c r="D1859" i="4"/>
  <c r="C1859" i="4"/>
  <c r="E1858" i="4"/>
  <c r="D1858" i="4"/>
  <c r="C1858" i="4"/>
  <c r="E1857" i="4"/>
  <c r="D1857" i="4"/>
  <c r="C1857" i="4"/>
  <c r="E1856" i="4"/>
  <c r="D1856" i="4"/>
  <c r="C1856" i="4"/>
  <c r="E1855" i="4"/>
  <c r="D1855" i="4"/>
  <c r="C1855" i="4"/>
  <c r="E1854" i="4"/>
  <c r="D1854" i="4"/>
  <c r="C1854" i="4"/>
  <c r="E1853" i="4"/>
  <c r="D1853" i="4"/>
  <c r="C1853" i="4"/>
  <c r="E1852" i="4"/>
  <c r="D1852" i="4"/>
  <c r="C1852" i="4"/>
  <c r="E1851" i="4"/>
  <c r="D1851" i="4"/>
  <c r="C1851" i="4"/>
  <c r="E1850" i="4"/>
  <c r="D1850" i="4"/>
  <c r="C1850" i="4"/>
  <c r="E1849" i="4"/>
  <c r="D1849" i="4"/>
  <c r="C1849" i="4"/>
  <c r="E1848" i="4"/>
  <c r="D1848" i="4"/>
  <c r="C1848" i="4"/>
  <c r="E1847" i="4"/>
  <c r="D1847" i="4"/>
  <c r="C1847" i="4"/>
  <c r="E1846" i="4"/>
  <c r="D1846" i="4"/>
  <c r="C1846" i="4"/>
  <c r="E1845" i="4"/>
  <c r="D1845" i="4"/>
  <c r="C1845" i="4"/>
  <c r="E1844" i="4"/>
  <c r="D1844" i="4"/>
  <c r="C1844" i="4"/>
  <c r="E1843" i="4"/>
  <c r="D1843" i="4"/>
  <c r="C1843" i="4"/>
  <c r="E1842" i="4"/>
  <c r="D1842" i="4"/>
  <c r="C1842" i="4"/>
  <c r="E1841" i="4"/>
  <c r="D1841" i="4"/>
  <c r="C1841" i="4"/>
  <c r="E1840" i="4"/>
  <c r="D1840" i="4"/>
  <c r="C1840" i="4"/>
  <c r="E1839" i="4"/>
  <c r="D1839" i="4"/>
  <c r="C1839" i="4"/>
  <c r="E1838" i="4"/>
  <c r="D1838" i="4"/>
  <c r="C1838" i="4"/>
  <c r="E1837" i="4"/>
  <c r="D1837" i="4"/>
  <c r="C1837" i="4"/>
  <c r="E1836" i="4"/>
  <c r="D1836" i="4"/>
  <c r="C1836" i="4"/>
  <c r="E1835" i="4"/>
  <c r="D1835" i="4"/>
  <c r="C1835" i="4"/>
  <c r="E1834" i="4"/>
  <c r="D1834" i="4"/>
  <c r="C1834" i="4"/>
  <c r="E1833" i="4"/>
  <c r="D1833" i="4"/>
  <c r="C1833" i="4"/>
  <c r="E1832" i="4"/>
  <c r="D1832" i="4"/>
  <c r="C1832" i="4"/>
  <c r="E1831" i="4"/>
  <c r="D1831" i="4"/>
  <c r="C1831" i="4"/>
  <c r="E1830" i="4"/>
  <c r="D1830" i="4"/>
  <c r="C1830" i="4"/>
  <c r="E1829" i="4"/>
  <c r="D1829" i="4"/>
  <c r="C1829" i="4"/>
  <c r="E1828" i="4"/>
  <c r="D1828" i="4"/>
  <c r="C1828" i="4"/>
  <c r="E1827" i="4"/>
  <c r="D1827" i="4"/>
  <c r="C1827" i="4"/>
  <c r="E1826" i="4"/>
  <c r="D1826" i="4"/>
  <c r="C1826" i="4"/>
  <c r="E1825" i="4"/>
  <c r="D1825" i="4"/>
  <c r="C1825" i="4"/>
  <c r="E1824" i="4"/>
  <c r="D1824" i="4"/>
  <c r="C1824" i="4"/>
  <c r="E1823" i="4"/>
  <c r="D1823" i="4"/>
  <c r="C1823" i="4"/>
  <c r="E1822" i="4"/>
  <c r="D1822" i="4"/>
  <c r="C1822" i="4"/>
  <c r="E1821" i="4"/>
  <c r="D1821" i="4"/>
  <c r="C1821" i="4"/>
  <c r="E1820" i="4"/>
  <c r="D1820" i="4"/>
  <c r="C1820" i="4"/>
  <c r="E1819" i="4"/>
  <c r="D1819" i="4"/>
  <c r="C1819" i="4"/>
  <c r="E1818" i="4"/>
  <c r="D1818" i="4"/>
  <c r="C1818" i="4"/>
  <c r="E1817" i="4"/>
  <c r="D1817" i="4"/>
  <c r="C1817" i="4"/>
  <c r="E1816" i="4"/>
  <c r="D1816" i="4"/>
  <c r="C1816" i="4"/>
  <c r="E1815" i="4"/>
  <c r="D1815" i="4"/>
  <c r="C1815" i="4"/>
  <c r="E1814" i="4"/>
  <c r="D1814" i="4"/>
  <c r="C1814" i="4"/>
  <c r="E1813" i="4"/>
  <c r="D1813" i="4"/>
  <c r="C1813" i="4"/>
  <c r="E1812" i="4"/>
  <c r="D1812" i="4"/>
  <c r="C1812" i="4"/>
  <c r="E1811" i="4"/>
  <c r="D1811" i="4"/>
  <c r="C1811" i="4"/>
  <c r="E1810" i="4"/>
  <c r="D1810" i="4"/>
  <c r="C1810" i="4"/>
  <c r="E1809" i="4"/>
  <c r="D1809" i="4"/>
  <c r="C1809" i="4"/>
  <c r="E1808" i="4"/>
  <c r="D1808" i="4"/>
  <c r="C1808" i="4"/>
  <c r="E1807" i="4"/>
  <c r="D1807" i="4"/>
  <c r="C1807" i="4"/>
  <c r="E1806" i="4"/>
  <c r="D1806" i="4"/>
  <c r="C1806" i="4"/>
  <c r="E1805" i="4"/>
  <c r="D1805" i="4"/>
  <c r="C1805" i="4"/>
  <c r="E1804" i="4"/>
  <c r="D1804" i="4"/>
  <c r="C1804" i="4"/>
  <c r="E1803" i="4"/>
  <c r="D1803" i="4"/>
  <c r="C1803" i="4"/>
  <c r="E1802" i="4"/>
  <c r="D1802" i="4"/>
  <c r="C1802" i="4"/>
  <c r="E1801" i="4"/>
  <c r="D1801" i="4"/>
  <c r="C1801" i="4"/>
  <c r="E1800" i="4"/>
  <c r="D1800" i="4"/>
  <c r="C1800" i="4"/>
  <c r="E1799" i="4"/>
  <c r="D1799" i="4"/>
  <c r="C1799" i="4"/>
  <c r="E1798" i="4"/>
  <c r="D1798" i="4"/>
  <c r="C1798" i="4"/>
  <c r="E1797" i="4"/>
  <c r="D1797" i="4"/>
  <c r="C1797" i="4"/>
  <c r="E1796" i="4"/>
  <c r="D1796" i="4"/>
  <c r="C1796" i="4"/>
  <c r="E1795" i="4"/>
  <c r="D1795" i="4"/>
  <c r="C1795" i="4"/>
  <c r="E1794" i="4"/>
  <c r="D1794" i="4"/>
  <c r="C1794" i="4"/>
  <c r="E1793" i="4"/>
  <c r="D1793" i="4"/>
  <c r="C1793" i="4"/>
  <c r="E1792" i="4"/>
  <c r="D1792" i="4"/>
  <c r="C1792" i="4"/>
  <c r="E1791" i="4"/>
  <c r="D1791" i="4"/>
  <c r="C1791" i="4"/>
  <c r="E1790" i="4"/>
  <c r="D1790" i="4"/>
  <c r="C1790" i="4"/>
  <c r="E1789" i="4"/>
  <c r="D1789" i="4"/>
  <c r="C1789" i="4"/>
  <c r="E1788" i="4"/>
  <c r="D1788" i="4"/>
  <c r="C1788" i="4"/>
  <c r="E1787" i="4"/>
  <c r="D1787" i="4"/>
  <c r="C1787" i="4"/>
  <c r="E1786" i="4"/>
  <c r="D1786" i="4"/>
  <c r="C1786" i="4"/>
  <c r="E1785" i="4"/>
  <c r="D1785" i="4"/>
  <c r="C1785" i="4"/>
  <c r="E1784" i="4"/>
  <c r="D1784" i="4"/>
  <c r="C1784" i="4"/>
  <c r="E1783" i="4"/>
  <c r="D1783" i="4"/>
  <c r="C1783" i="4"/>
  <c r="E1782" i="4"/>
  <c r="D1782" i="4"/>
  <c r="C1782" i="4"/>
  <c r="E1781" i="4"/>
  <c r="D1781" i="4"/>
  <c r="C1781" i="4"/>
  <c r="E1780" i="4"/>
  <c r="D1780" i="4"/>
  <c r="C1780" i="4"/>
  <c r="E1779" i="4"/>
  <c r="D1779" i="4"/>
  <c r="C1779" i="4"/>
  <c r="E1778" i="4"/>
  <c r="D1778" i="4"/>
  <c r="C1778" i="4"/>
  <c r="E1777" i="4"/>
  <c r="D1777" i="4"/>
  <c r="C1777" i="4"/>
  <c r="E1776" i="4"/>
  <c r="D1776" i="4"/>
  <c r="C1776" i="4"/>
  <c r="E1775" i="4"/>
  <c r="D1775" i="4"/>
  <c r="C1775" i="4"/>
  <c r="E1774" i="4"/>
  <c r="D1774" i="4"/>
  <c r="C1774" i="4"/>
  <c r="E1773" i="4"/>
  <c r="D1773" i="4"/>
  <c r="C1773" i="4"/>
  <c r="E1772" i="4"/>
  <c r="D1772" i="4"/>
  <c r="C1772" i="4"/>
  <c r="E1771" i="4"/>
  <c r="D1771" i="4"/>
  <c r="C1771" i="4"/>
  <c r="E1770" i="4"/>
  <c r="D1770" i="4"/>
  <c r="C1770" i="4"/>
  <c r="E1769" i="4"/>
  <c r="D1769" i="4"/>
  <c r="C1769" i="4"/>
  <c r="E1768" i="4"/>
  <c r="D1768" i="4"/>
  <c r="C1768" i="4"/>
  <c r="E1767" i="4"/>
  <c r="D1767" i="4"/>
  <c r="C1767" i="4"/>
  <c r="E1766" i="4"/>
  <c r="D1766" i="4"/>
  <c r="C1766" i="4"/>
  <c r="E1765" i="4"/>
  <c r="D1765" i="4"/>
  <c r="C1765" i="4"/>
  <c r="E1764" i="4"/>
  <c r="D1764" i="4"/>
  <c r="C1764" i="4"/>
  <c r="E1763" i="4"/>
  <c r="D1763" i="4"/>
  <c r="C1763" i="4"/>
  <c r="E1762" i="4"/>
  <c r="D1762" i="4"/>
  <c r="C1762" i="4"/>
  <c r="E1761" i="4"/>
  <c r="D1761" i="4"/>
  <c r="C1761" i="4"/>
  <c r="E1760" i="4"/>
  <c r="D1760" i="4"/>
  <c r="C1760" i="4"/>
  <c r="E1759" i="4"/>
  <c r="D1759" i="4"/>
  <c r="C1759" i="4"/>
  <c r="E1758" i="4"/>
  <c r="D1758" i="4"/>
  <c r="C1758" i="4"/>
  <c r="E1757" i="4"/>
  <c r="D1757" i="4"/>
  <c r="C1757" i="4"/>
  <c r="E1756" i="4"/>
  <c r="D1756" i="4"/>
  <c r="C1756" i="4"/>
  <c r="E1755" i="4"/>
  <c r="D1755" i="4"/>
  <c r="C1755" i="4"/>
  <c r="E1754" i="4"/>
  <c r="D1754" i="4"/>
  <c r="C1754" i="4"/>
  <c r="E1753" i="4"/>
  <c r="D1753" i="4"/>
  <c r="C1753" i="4"/>
  <c r="E1752" i="4"/>
  <c r="D1752" i="4"/>
  <c r="C1752" i="4"/>
  <c r="E1751" i="4"/>
  <c r="D1751" i="4"/>
  <c r="C1751" i="4"/>
  <c r="E1750" i="4"/>
  <c r="D1750" i="4"/>
  <c r="C1750" i="4"/>
  <c r="E1749" i="4"/>
  <c r="D1749" i="4"/>
  <c r="C1749" i="4"/>
  <c r="E1748" i="4"/>
  <c r="D1748" i="4"/>
  <c r="C1748" i="4"/>
  <c r="E1747" i="4"/>
  <c r="D1747" i="4"/>
  <c r="C1747" i="4"/>
  <c r="E1746" i="4"/>
  <c r="D1746" i="4"/>
  <c r="C1746" i="4"/>
  <c r="E1745" i="4"/>
  <c r="D1745" i="4"/>
  <c r="C1745" i="4"/>
  <c r="E1744" i="4"/>
  <c r="D1744" i="4"/>
  <c r="C1744" i="4"/>
  <c r="E1743" i="4"/>
  <c r="D1743" i="4"/>
  <c r="C1743" i="4"/>
  <c r="E1742" i="4"/>
  <c r="D1742" i="4"/>
  <c r="C1742" i="4"/>
  <c r="E1741" i="4"/>
  <c r="D1741" i="4"/>
  <c r="C1741" i="4"/>
  <c r="E1740" i="4"/>
  <c r="D1740" i="4"/>
  <c r="C1740" i="4"/>
  <c r="E1739" i="4"/>
  <c r="D1739" i="4"/>
  <c r="C1739" i="4"/>
  <c r="E1738" i="4"/>
  <c r="D1738" i="4"/>
  <c r="C1738" i="4"/>
  <c r="E1737" i="4"/>
  <c r="D1737" i="4"/>
  <c r="C1737" i="4"/>
  <c r="E1736" i="4"/>
  <c r="D1736" i="4"/>
  <c r="C1736" i="4"/>
  <c r="E1735" i="4"/>
  <c r="D1735" i="4"/>
  <c r="C1735" i="4"/>
  <c r="E1734" i="4"/>
  <c r="D1734" i="4"/>
  <c r="C1734" i="4"/>
  <c r="E1733" i="4"/>
  <c r="D1733" i="4"/>
  <c r="C1733" i="4"/>
  <c r="E1732" i="4"/>
  <c r="D1732" i="4"/>
  <c r="C1732" i="4"/>
  <c r="E1731" i="4"/>
  <c r="D1731" i="4"/>
  <c r="C1731" i="4"/>
  <c r="E1730" i="4"/>
  <c r="D1730" i="4"/>
  <c r="C1730" i="4"/>
  <c r="E1729" i="4"/>
  <c r="D1729" i="4"/>
  <c r="C1729" i="4"/>
  <c r="E1728" i="4"/>
  <c r="D1728" i="4"/>
  <c r="C1728" i="4"/>
  <c r="E1727" i="4"/>
  <c r="D1727" i="4"/>
  <c r="C1727" i="4"/>
  <c r="E1726" i="4"/>
  <c r="D1726" i="4"/>
  <c r="C1726" i="4"/>
  <c r="E1725" i="4"/>
  <c r="D1725" i="4"/>
  <c r="C1725" i="4"/>
  <c r="E1724" i="4"/>
  <c r="D1724" i="4"/>
  <c r="C1724" i="4"/>
  <c r="E1723" i="4"/>
  <c r="D1723" i="4"/>
  <c r="C1723" i="4"/>
  <c r="E1722" i="4"/>
  <c r="D1722" i="4"/>
  <c r="C1722" i="4"/>
  <c r="E1721" i="4"/>
  <c r="D1721" i="4"/>
  <c r="C1721" i="4"/>
  <c r="E1720" i="4"/>
  <c r="D1720" i="4"/>
  <c r="C1720" i="4"/>
  <c r="E1719" i="4"/>
  <c r="D1719" i="4"/>
  <c r="C1719" i="4"/>
  <c r="E1718" i="4"/>
  <c r="D1718" i="4"/>
  <c r="C1718" i="4"/>
  <c r="E1717" i="4"/>
  <c r="D1717" i="4"/>
  <c r="C1717" i="4"/>
  <c r="E1716" i="4"/>
  <c r="D1716" i="4"/>
  <c r="C1716" i="4"/>
  <c r="E1715" i="4"/>
  <c r="D1715" i="4"/>
  <c r="C1715" i="4"/>
  <c r="E1714" i="4"/>
  <c r="D1714" i="4"/>
  <c r="C1714" i="4"/>
  <c r="E1713" i="4"/>
  <c r="D1713" i="4"/>
  <c r="C1713" i="4"/>
  <c r="E1712" i="4"/>
  <c r="D1712" i="4"/>
  <c r="C1712" i="4"/>
  <c r="E1711" i="4"/>
  <c r="D1711" i="4"/>
  <c r="C1711" i="4"/>
  <c r="E1710" i="4"/>
  <c r="D1710" i="4"/>
  <c r="C1710" i="4"/>
  <c r="E1709" i="4"/>
  <c r="D1709" i="4"/>
  <c r="C1709" i="4"/>
  <c r="E1708" i="4"/>
  <c r="D1708" i="4"/>
  <c r="C1708" i="4"/>
  <c r="E1707" i="4"/>
  <c r="D1707" i="4"/>
  <c r="C1707" i="4"/>
  <c r="E1706" i="4"/>
  <c r="D1706" i="4"/>
  <c r="C1706" i="4"/>
  <c r="E1705" i="4"/>
  <c r="D1705" i="4"/>
  <c r="C1705" i="4"/>
  <c r="E1704" i="4"/>
  <c r="D1704" i="4"/>
  <c r="C1704" i="4"/>
  <c r="E1703" i="4"/>
  <c r="D1703" i="4"/>
  <c r="C1703" i="4"/>
  <c r="E1702" i="4"/>
  <c r="D1702" i="4"/>
  <c r="C1702" i="4"/>
  <c r="E1701" i="4"/>
  <c r="D1701" i="4"/>
  <c r="C1701" i="4"/>
  <c r="E1700" i="4"/>
  <c r="D1700" i="4"/>
  <c r="C1700" i="4"/>
  <c r="E1699" i="4"/>
  <c r="D1699" i="4"/>
  <c r="C1699" i="4"/>
  <c r="E1698" i="4"/>
  <c r="D1698" i="4"/>
  <c r="C1698" i="4"/>
  <c r="E1697" i="4"/>
  <c r="D1697" i="4"/>
  <c r="C1697" i="4"/>
  <c r="E1696" i="4"/>
  <c r="D1696" i="4"/>
  <c r="C1696" i="4"/>
  <c r="E1695" i="4"/>
  <c r="D1695" i="4"/>
  <c r="C1695" i="4"/>
  <c r="E1694" i="4"/>
  <c r="D1694" i="4"/>
  <c r="C1694" i="4"/>
  <c r="E1693" i="4"/>
  <c r="D1693" i="4"/>
  <c r="C1693" i="4"/>
  <c r="E1692" i="4"/>
  <c r="D1692" i="4"/>
  <c r="C1692" i="4"/>
  <c r="E1691" i="4"/>
  <c r="D1691" i="4"/>
  <c r="C1691" i="4"/>
  <c r="E1690" i="4"/>
  <c r="D1690" i="4"/>
  <c r="C1690" i="4"/>
  <c r="E1689" i="4"/>
  <c r="D1689" i="4"/>
  <c r="C1689" i="4"/>
  <c r="E1688" i="4"/>
  <c r="D1688" i="4"/>
  <c r="C1688" i="4"/>
  <c r="E1687" i="4"/>
  <c r="D1687" i="4"/>
  <c r="C1687" i="4"/>
  <c r="E1686" i="4"/>
  <c r="D1686" i="4"/>
  <c r="C1686" i="4"/>
  <c r="E1685" i="4"/>
  <c r="D1685" i="4"/>
  <c r="C1685" i="4"/>
  <c r="E1684" i="4"/>
  <c r="D1684" i="4"/>
  <c r="C1684" i="4"/>
  <c r="E1683" i="4"/>
  <c r="D1683" i="4"/>
  <c r="C1683" i="4"/>
  <c r="E1682" i="4"/>
  <c r="D1682" i="4"/>
  <c r="C1682" i="4"/>
  <c r="E1681" i="4"/>
  <c r="D1681" i="4"/>
  <c r="C1681" i="4"/>
  <c r="E1680" i="4"/>
  <c r="D1680" i="4"/>
  <c r="C1680" i="4"/>
  <c r="E1679" i="4"/>
  <c r="D1679" i="4"/>
  <c r="C1679" i="4"/>
  <c r="E1678" i="4"/>
  <c r="D1678" i="4"/>
  <c r="C1678" i="4"/>
  <c r="E1677" i="4"/>
  <c r="D1677" i="4"/>
  <c r="C1677" i="4"/>
  <c r="E1676" i="4"/>
  <c r="D1676" i="4"/>
  <c r="C1676" i="4"/>
  <c r="E1675" i="4"/>
  <c r="D1675" i="4"/>
  <c r="C1675" i="4"/>
  <c r="E1674" i="4"/>
  <c r="D1674" i="4"/>
  <c r="C1674" i="4"/>
  <c r="E1673" i="4"/>
  <c r="D1673" i="4"/>
  <c r="C1673" i="4"/>
  <c r="E1672" i="4"/>
  <c r="D1672" i="4"/>
  <c r="C1672" i="4"/>
  <c r="E1671" i="4"/>
  <c r="D1671" i="4"/>
  <c r="C1671" i="4"/>
  <c r="E1670" i="4"/>
  <c r="D1670" i="4"/>
  <c r="C1670" i="4"/>
  <c r="E1669" i="4"/>
  <c r="D1669" i="4"/>
  <c r="C1669" i="4"/>
  <c r="E1668" i="4"/>
  <c r="D1668" i="4"/>
  <c r="C1668" i="4"/>
  <c r="E1667" i="4"/>
  <c r="D1667" i="4"/>
  <c r="C1667" i="4"/>
  <c r="E1666" i="4"/>
  <c r="D1666" i="4"/>
  <c r="C1666" i="4"/>
  <c r="E1665" i="4"/>
  <c r="D1665" i="4"/>
  <c r="C1665" i="4"/>
  <c r="E1664" i="4"/>
  <c r="D1664" i="4"/>
  <c r="C1664" i="4"/>
  <c r="E1663" i="4"/>
  <c r="D1663" i="4"/>
  <c r="C1663" i="4"/>
  <c r="E1662" i="4"/>
  <c r="D1662" i="4"/>
  <c r="C1662" i="4"/>
  <c r="E1661" i="4"/>
  <c r="D1661" i="4"/>
  <c r="C1661" i="4"/>
  <c r="E1660" i="4"/>
  <c r="D1660" i="4"/>
  <c r="C1660" i="4"/>
  <c r="E1659" i="4"/>
  <c r="D1659" i="4"/>
  <c r="C1659" i="4"/>
  <c r="E1658" i="4"/>
  <c r="D1658" i="4"/>
  <c r="C1658" i="4"/>
  <c r="E1657" i="4"/>
  <c r="D1657" i="4"/>
  <c r="C1657" i="4"/>
  <c r="E1656" i="4"/>
  <c r="D1656" i="4"/>
  <c r="C1656" i="4"/>
  <c r="E1655" i="4"/>
  <c r="D1655" i="4"/>
  <c r="C1655" i="4"/>
  <c r="E1654" i="4"/>
  <c r="D1654" i="4"/>
  <c r="C1654" i="4"/>
  <c r="E1653" i="4"/>
  <c r="D1653" i="4"/>
  <c r="C1653" i="4"/>
  <c r="E1652" i="4"/>
  <c r="D1652" i="4"/>
  <c r="C1652" i="4"/>
  <c r="E1651" i="4"/>
  <c r="D1651" i="4"/>
  <c r="C1651" i="4"/>
  <c r="E1650" i="4"/>
  <c r="D1650" i="4"/>
  <c r="C1650" i="4"/>
  <c r="E1649" i="4"/>
  <c r="D1649" i="4"/>
  <c r="C1649" i="4"/>
  <c r="E1648" i="4"/>
  <c r="D1648" i="4"/>
  <c r="C1648" i="4"/>
  <c r="E1647" i="4"/>
  <c r="D1647" i="4"/>
  <c r="C1647" i="4"/>
  <c r="E1646" i="4"/>
  <c r="D1646" i="4"/>
  <c r="C1646" i="4"/>
  <c r="E1645" i="4"/>
  <c r="D1645" i="4"/>
  <c r="C1645" i="4"/>
  <c r="E1644" i="4"/>
  <c r="D1644" i="4"/>
  <c r="C1644" i="4"/>
  <c r="E1643" i="4"/>
  <c r="D1643" i="4"/>
  <c r="C1643" i="4"/>
  <c r="E1642" i="4"/>
  <c r="D1642" i="4"/>
  <c r="C1642" i="4"/>
  <c r="E1641" i="4"/>
  <c r="D1641" i="4"/>
  <c r="C1641" i="4"/>
  <c r="E1640" i="4"/>
  <c r="D1640" i="4"/>
  <c r="C1640" i="4"/>
  <c r="E1639" i="4"/>
  <c r="D1639" i="4"/>
  <c r="C1639" i="4"/>
  <c r="E1638" i="4"/>
  <c r="D1638" i="4"/>
  <c r="C1638" i="4"/>
  <c r="E1637" i="4"/>
  <c r="D1637" i="4"/>
  <c r="C1637" i="4"/>
  <c r="E1636" i="4"/>
  <c r="D1636" i="4"/>
  <c r="C1636" i="4"/>
  <c r="E1635" i="4"/>
  <c r="D1635" i="4"/>
  <c r="C1635" i="4"/>
  <c r="E1634" i="4"/>
  <c r="D1634" i="4"/>
  <c r="C1634" i="4"/>
  <c r="E1633" i="4"/>
  <c r="D1633" i="4"/>
  <c r="C1633" i="4"/>
  <c r="E1632" i="4"/>
  <c r="D1632" i="4"/>
  <c r="C1632" i="4"/>
  <c r="E1631" i="4"/>
  <c r="D1631" i="4"/>
  <c r="C1631" i="4"/>
  <c r="E1630" i="4"/>
  <c r="D1630" i="4"/>
  <c r="C1630" i="4"/>
  <c r="E1629" i="4"/>
  <c r="D1629" i="4"/>
  <c r="C1629" i="4"/>
  <c r="E1628" i="4"/>
  <c r="D1628" i="4"/>
  <c r="C1628" i="4"/>
  <c r="E1627" i="4"/>
  <c r="D1627" i="4"/>
  <c r="C1627" i="4"/>
  <c r="E1626" i="4"/>
  <c r="D1626" i="4"/>
  <c r="C1626" i="4"/>
  <c r="E1625" i="4"/>
  <c r="D1625" i="4"/>
  <c r="C1625" i="4"/>
  <c r="E1624" i="4"/>
  <c r="D1624" i="4"/>
  <c r="C1624" i="4"/>
  <c r="E1623" i="4"/>
  <c r="D1623" i="4"/>
  <c r="C1623" i="4"/>
  <c r="E1622" i="4"/>
  <c r="D1622" i="4"/>
  <c r="C1622" i="4"/>
  <c r="E1621" i="4"/>
  <c r="D1621" i="4"/>
  <c r="C1621" i="4"/>
  <c r="E1620" i="4"/>
  <c r="D1620" i="4"/>
  <c r="C1620" i="4"/>
  <c r="E1619" i="4"/>
  <c r="D1619" i="4"/>
  <c r="C1619" i="4"/>
  <c r="E1618" i="4"/>
  <c r="D1618" i="4"/>
  <c r="C1618" i="4"/>
  <c r="E1617" i="4"/>
  <c r="D1617" i="4"/>
  <c r="C1617" i="4"/>
  <c r="E1616" i="4"/>
  <c r="D1616" i="4"/>
  <c r="C1616" i="4"/>
  <c r="E1615" i="4"/>
  <c r="D1615" i="4"/>
  <c r="C1615" i="4"/>
  <c r="E1614" i="4"/>
  <c r="D1614" i="4"/>
  <c r="C1614" i="4"/>
  <c r="E1613" i="4"/>
  <c r="D1613" i="4"/>
  <c r="C1613" i="4"/>
  <c r="E1612" i="4"/>
  <c r="D1612" i="4"/>
  <c r="C1612" i="4"/>
  <c r="E1611" i="4"/>
  <c r="D1611" i="4"/>
  <c r="C1611" i="4"/>
  <c r="E1610" i="4"/>
  <c r="D1610" i="4"/>
  <c r="C1610" i="4"/>
  <c r="E1609" i="4"/>
  <c r="D1609" i="4"/>
  <c r="C1609" i="4"/>
  <c r="E1608" i="4"/>
  <c r="D1608" i="4"/>
  <c r="C1608" i="4"/>
  <c r="E1607" i="4"/>
  <c r="D1607" i="4"/>
  <c r="C1607" i="4"/>
  <c r="E1606" i="4"/>
  <c r="D1606" i="4"/>
  <c r="C1606" i="4"/>
  <c r="E1605" i="4"/>
  <c r="D1605" i="4"/>
  <c r="C1605" i="4"/>
  <c r="E1604" i="4"/>
  <c r="D1604" i="4"/>
  <c r="C1604" i="4"/>
  <c r="E1603" i="4"/>
  <c r="D1603" i="4"/>
  <c r="C1603" i="4"/>
  <c r="E1602" i="4"/>
  <c r="D1602" i="4"/>
  <c r="C1602" i="4"/>
  <c r="E1601" i="4"/>
  <c r="D1601" i="4"/>
  <c r="C1601" i="4"/>
  <c r="E1600" i="4"/>
  <c r="D1600" i="4"/>
  <c r="C1600" i="4"/>
  <c r="E1599" i="4"/>
  <c r="D1599" i="4"/>
  <c r="C1599" i="4"/>
  <c r="E1598" i="4"/>
  <c r="D1598" i="4"/>
  <c r="C1598" i="4"/>
  <c r="E1597" i="4"/>
  <c r="D1597" i="4"/>
  <c r="C1597" i="4"/>
  <c r="E1596" i="4"/>
  <c r="D1596" i="4"/>
  <c r="C1596" i="4"/>
  <c r="E1595" i="4"/>
  <c r="D1595" i="4"/>
  <c r="C1595" i="4"/>
  <c r="E1594" i="4"/>
  <c r="D1594" i="4"/>
  <c r="C1594" i="4"/>
  <c r="E1593" i="4"/>
  <c r="D1593" i="4"/>
  <c r="C1593" i="4"/>
  <c r="E1592" i="4"/>
  <c r="D1592" i="4"/>
  <c r="C1592" i="4"/>
  <c r="E1591" i="4"/>
  <c r="D1591" i="4"/>
  <c r="C1591" i="4"/>
  <c r="E1590" i="4"/>
  <c r="D1590" i="4"/>
  <c r="C1590" i="4"/>
  <c r="E1589" i="4"/>
  <c r="D1589" i="4"/>
  <c r="C1589" i="4"/>
  <c r="E1588" i="4"/>
  <c r="D1588" i="4"/>
  <c r="C1588" i="4"/>
  <c r="E1587" i="4"/>
  <c r="D1587" i="4"/>
  <c r="C1587" i="4"/>
  <c r="E1586" i="4"/>
  <c r="D1586" i="4"/>
  <c r="C1586" i="4"/>
  <c r="E1585" i="4"/>
  <c r="D1585" i="4"/>
  <c r="C1585" i="4"/>
  <c r="E1584" i="4"/>
  <c r="D1584" i="4"/>
  <c r="C1584" i="4"/>
  <c r="E1583" i="4"/>
  <c r="D1583" i="4"/>
  <c r="C1583" i="4"/>
  <c r="E1582" i="4"/>
  <c r="D1582" i="4"/>
  <c r="C1582" i="4"/>
  <c r="E1581" i="4"/>
  <c r="D1581" i="4"/>
  <c r="C1581" i="4"/>
  <c r="E1580" i="4"/>
  <c r="D1580" i="4"/>
  <c r="C1580" i="4"/>
  <c r="E1579" i="4"/>
  <c r="D1579" i="4"/>
  <c r="C1579" i="4"/>
  <c r="E1578" i="4"/>
  <c r="D1578" i="4"/>
  <c r="C1578" i="4"/>
  <c r="E1577" i="4"/>
  <c r="D1577" i="4"/>
  <c r="C1577" i="4"/>
  <c r="E1576" i="4"/>
  <c r="D1576" i="4"/>
  <c r="C1576" i="4"/>
  <c r="E1575" i="4"/>
  <c r="D1575" i="4"/>
  <c r="C1575" i="4"/>
  <c r="E1574" i="4"/>
  <c r="D1574" i="4"/>
  <c r="C1574" i="4"/>
  <c r="E1573" i="4"/>
  <c r="D1573" i="4"/>
  <c r="C1573" i="4"/>
  <c r="E1572" i="4"/>
  <c r="D1572" i="4"/>
  <c r="C1572" i="4"/>
  <c r="E1571" i="4"/>
  <c r="D1571" i="4"/>
  <c r="C1571" i="4"/>
  <c r="E1570" i="4"/>
  <c r="D1570" i="4"/>
  <c r="C1570" i="4"/>
  <c r="E1569" i="4"/>
  <c r="D1569" i="4"/>
  <c r="C1569" i="4"/>
  <c r="E1568" i="4"/>
  <c r="D1568" i="4"/>
  <c r="C1568" i="4"/>
  <c r="E1567" i="4"/>
  <c r="D1567" i="4"/>
  <c r="C1567" i="4"/>
  <c r="E1566" i="4"/>
  <c r="D1566" i="4"/>
  <c r="C1566" i="4"/>
  <c r="E1565" i="4"/>
  <c r="D1565" i="4"/>
  <c r="C1565" i="4"/>
  <c r="E1564" i="4"/>
  <c r="D1564" i="4"/>
  <c r="C1564" i="4"/>
  <c r="E1563" i="4"/>
  <c r="D1563" i="4"/>
  <c r="C1563" i="4"/>
  <c r="E1562" i="4"/>
  <c r="D1562" i="4"/>
  <c r="C1562" i="4"/>
  <c r="E1561" i="4"/>
  <c r="D1561" i="4"/>
  <c r="C1561" i="4"/>
  <c r="E1560" i="4"/>
  <c r="D1560" i="4"/>
  <c r="C1560" i="4"/>
  <c r="E1559" i="4"/>
  <c r="D1559" i="4"/>
  <c r="C1559" i="4"/>
  <c r="E1558" i="4"/>
  <c r="D1558" i="4"/>
  <c r="C1558" i="4"/>
  <c r="E1557" i="4"/>
  <c r="D1557" i="4"/>
  <c r="C1557" i="4"/>
  <c r="E1556" i="4"/>
  <c r="D1556" i="4"/>
  <c r="C1556" i="4"/>
  <c r="E1555" i="4"/>
  <c r="D1555" i="4"/>
  <c r="C1555" i="4"/>
  <c r="E1554" i="4"/>
  <c r="D1554" i="4"/>
  <c r="C1554" i="4"/>
  <c r="E1553" i="4"/>
  <c r="D1553" i="4"/>
  <c r="C1553" i="4"/>
  <c r="E1552" i="4"/>
  <c r="D1552" i="4"/>
  <c r="C1552" i="4"/>
  <c r="E1551" i="4"/>
  <c r="D1551" i="4"/>
  <c r="C1551" i="4"/>
  <c r="E1550" i="4"/>
  <c r="D1550" i="4"/>
  <c r="C1550" i="4"/>
  <c r="E1549" i="4"/>
  <c r="D1549" i="4"/>
  <c r="C1549" i="4"/>
  <c r="E1548" i="4"/>
  <c r="D1548" i="4"/>
  <c r="C1548" i="4"/>
  <c r="E1547" i="4"/>
  <c r="D1547" i="4"/>
  <c r="C1547" i="4"/>
  <c r="E1546" i="4"/>
  <c r="D1546" i="4"/>
  <c r="C1546" i="4"/>
  <c r="E1545" i="4"/>
  <c r="D1545" i="4"/>
  <c r="C1545" i="4"/>
  <c r="E1544" i="4"/>
  <c r="D1544" i="4"/>
  <c r="C1544" i="4"/>
  <c r="E1543" i="4"/>
  <c r="D1543" i="4"/>
  <c r="C1543" i="4"/>
  <c r="E1542" i="4"/>
  <c r="D1542" i="4"/>
  <c r="C1542" i="4"/>
  <c r="E1541" i="4"/>
  <c r="D1541" i="4"/>
  <c r="C1541" i="4"/>
  <c r="E1540" i="4"/>
  <c r="D1540" i="4"/>
  <c r="C1540" i="4"/>
  <c r="E1539" i="4"/>
  <c r="D1539" i="4"/>
  <c r="C1539" i="4"/>
  <c r="E1538" i="4"/>
  <c r="D1538" i="4"/>
  <c r="C1538" i="4"/>
  <c r="E1537" i="4"/>
  <c r="D1537" i="4"/>
  <c r="C1537" i="4"/>
  <c r="E1536" i="4"/>
  <c r="D1536" i="4"/>
  <c r="C1536" i="4"/>
  <c r="E1535" i="4"/>
  <c r="D1535" i="4"/>
  <c r="C1535" i="4"/>
  <c r="E1534" i="4"/>
  <c r="D1534" i="4"/>
  <c r="C1534" i="4"/>
  <c r="E1533" i="4"/>
  <c r="D1533" i="4"/>
  <c r="C1533" i="4"/>
  <c r="E1532" i="4"/>
  <c r="D1532" i="4"/>
  <c r="C1532" i="4"/>
  <c r="E1531" i="4"/>
  <c r="D1531" i="4"/>
  <c r="C1531" i="4"/>
  <c r="E1530" i="4"/>
  <c r="D1530" i="4"/>
  <c r="C1530" i="4"/>
  <c r="E1529" i="4"/>
  <c r="D1529" i="4"/>
  <c r="C1529" i="4"/>
  <c r="E1528" i="4"/>
  <c r="D1528" i="4"/>
  <c r="C1528" i="4"/>
  <c r="E1527" i="4"/>
  <c r="D1527" i="4"/>
  <c r="C1527" i="4"/>
  <c r="E1526" i="4"/>
  <c r="D1526" i="4"/>
  <c r="C1526" i="4"/>
  <c r="E1525" i="4"/>
  <c r="D1525" i="4"/>
  <c r="C1525" i="4"/>
  <c r="E1524" i="4"/>
  <c r="D1524" i="4"/>
  <c r="C1524" i="4"/>
  <c r="E1523" i="4"/>
  <c r="D1523" i="4"/>
  <c r="C1523" i="4"/>
  <c r="E1522" i="4"/>
  <c r="D1522" i="4"/>
  <c r="C1522" i="4"/>
  <c r="E1521" i="4"/>
  <c r="D1521" i="4"/>
  <c r="C1521" i="4"/>
  <c r="E1520" i="4"/>
  <c r="D1520" i="4"/>
  <c r="C1520" i="4"/>
  <c r="E1519" i="4"/>
  <c r="D1519" i="4"/>
  <c r="C1519" i="4"/>
  <c r="E1518" i="4"/>
  <c r="D1518" i="4"/>
  <c r="C1518" i="4"/>
  <c r="E1517" i="4"/>
  <c r="D1517" i="4"/>
  <c r="C1517" i="4"/>
  <c r="E1516" i="4"/>
  <c r="D1516" i="4"/>
  <c r="C1516" i="4"/>
  <c r="E1515" i="4"/>
  <c r="D1515" i="4"/>
  <c r="C1515" i="4"/>
  <c r="E1514" i="4"/>
  <c r="D1514" i="4"/>
  <c r="C1514" i="4"/>
  <c r="E1513" i="4"/>
  <c r="D1513" i="4"/>
  <c r="C1513" i="4"/>
  <c r="E1512" i="4"/>
  <c r="D1512" i="4"/>
  <c r="C1512" i="4"/>
  <c r="E1511" i="4"/>
  <c r="D1511" i="4"/>
  <c r="C1511" i="4"/>
  <c r="E1510" i="4"/>
  <c r="D1510" i="4"/>
  <c r="C1510" i="4"/>
  <c r="E1509" i="4"/>
  <c r="D1509" i="4"/>
  <c r="C1509" i="4"/>
  <c r="E1508" i="4"/>
  <c r="D1508" i="4"/>
  <c r="C1508" i="4"/>
  <c r="E1507" i="4"/>
  <c r="D1507" i="4"/>
  <c r="C1507" i="4"/>
  <c r="E1506" i="4"/>
  <c r="D1506" i="4"/>
  <c r="C1506" i="4"/>
  <c r="E1505" i="4"/>
  <c r="D1505" i="4"/>
  <c r="C1505" i="4"/>
  <c r="E1504" i="4"/>
  <c r="D1504" i="4"/>
  <c r="C1504" i="4"/>
  <c r="E1503" i="4"/>
  <c r="D1503" i="4"/>
  <c r="C1503" i="4"/>
  <c r="E1502" i="4"/>
  <c r="D1502" i="4"/>
  <c r="C1502" i="4"/>
  <c r="E1501" i="4"/>
  <c r="D1501" i="4"/>
  <c r="C1501" i="4"/>
  <c r="E1500" i="4"/>
  <c r="D1500" i="4"/>
  <c r="C1500" i="4"/>
  <c r="E1499" i="4"/>
  <c r="D1499" i="4"/>
  <c r="C1499" i="4"/>
  <c r="E1498" i="4"/>
  <c r="D1498" i="4"/>
  <c r="C1498" i="4"/>
  <c r="E1497" i="4"/>
  <c r="D1497" i="4"/>
  <c r="C1497" i="4"/>
  <c r="E1496" i="4"/>
  <c r="D1496" i="4"/>
  <c r="C1496" i="4"/>
  <c r="E1495" i="4"/>
  <c r="D1495" i="4"/>
  <c r="C1495" i="4"/>
  <c r="E1494" i="4"/>
  <c r="D1494" i="4"/>
  <c r="C1494" i="4"/>
  <c r="E1493" i="4"/>
  <c r="D1493" i="4"/>
  <c r="C1493" i="4"/>
  <c r="E1492" i="4"/>
  <c r="D1492" i="4"/>
  <c r="C1492" i="4"/>
  <c r="E1491" i="4"/>
  <c r="D1491" i="4"/>
  <c r="C1491" i="4"/>
  <c r="E1490" i="4"/>
  <c r="D1490" i="4"/>
  <c r="C1490" i="4"/>
  <c r="E1489" i="4"/>
  <c r="D1489" i="4"/>
  <c r="C1489" i="4"/>
  <c r="E1488" i="4"/>
  <c r="D1488" i="4"/>
  <c r="C1488" i="4"/>
  <c r="E1487" i="4"/>
  <c r="D1487" i="4"/>
  <c r="C1487" i="4"/>
  <c r="E1486" i="4"/>
  <c r="D1486" i="4"/>
  <c r="C1486" i="4"/>
  <c r="E1485" i="4"/>
  <c r="D1485" i="4"/>
  <c r="C1485" i="4"/>
  <c r="E1484" i="4"/>
  <c r="D1484" i="4"/>
  <c r="C1484" i="4"/>
  <c r="E1483" i="4"/>
  <c r="D1483" i="4"/>
  <c r="C1483" i="4"/>
  <c r="E1482" i="4"/>
  <c r="D1482" i="4"/>
  <c r="C1482" i="4"/>
  <c r="E1481" i="4"/>
  <c r="D1481" i="4"/>
  <c r="C1481" i="4"/>
  <c r="E1480" i="4"/>
  <c r="D1480" i="4"/>
  <c r="C1480" i="4"/>
  <c r="E1479" i="4"/>
  <c r="D1479" i="4"/>
  <c r="C1479" i="4"/>
  <c r="E1478" i="4"/>
  <c r="D1478" i="4"/>
  <c r="C1478" i="4"/>
  <c r="E1477" i="4"/>
  <c r="D1477" i="4"/>
  <c r="C1477" i="4"/>
  <c r="E1476" i="4"/>
  <c r="D1476" i="4"/>
  <c r="C1476" i="4"/>
  <c r="E1475" i="4"/>
  <c r="D1475" i="4"/>
  <c r="C1475" i="4"/>
  <c r="E1474" i="4"/>
  <c r="D1474" i="4"/>
  <c r="C1474" i="4"/>
  <c r="E1473" i="4"/>
  <c r="D1473" i="4"/>
  <c r="C1473" i="4"/>
  <c r="E1472" i="4"/>
  <c r="D1472" i="4"/>
  <c r="C1472" i="4"/>
  <c r="E1471" i="4"/>
  <c r="D1471" i="4"/>
  <c r="C1471" i="4"/>
  <c r="E1470" i="4"/>
  <c r="D1470" i="4"/>
  <c r="C1470" i="4"/>
  <c r="E1469" i="4"/>
  <c r="D1469" i="4"/>
  <c r="C1469" i="4"/>
  <c r="E1468" i="4"/>
  <c r="D1468" i="4"/>
  <c r="C1468" i="4"/>
  <c r="E1467" i="4"/>
  <c r="D1467" i="4"/>
  <c r="C1467" i="4"/>
  <c r="E1466" i="4"/>
  <c r="D1466" i="4"/>
  <c r="C1466" i="4"/>
  <c r="E1465" i="4"/>
  <c r="D1465" i="4"/>
  <c r="C1465" i="4"/>
  <c r="E1464" i="4"/>
  <c r="D1464" i="4"/>
  <c r="C1464" i="4"/>
  <c r="E1463" i="4"/>
  <c r="D1463" i="4"/>
  <c r="C1463" i="4"/>
  <c r="E1462" i="4"/>
  <c r="D1462" i="4"/>
  <c r="C1462" i="4"/>
  <c r="E1461" i="4"/>
  <c r="D1461" i="4"/>
  <c r="C1461" i="4"/>
  <c r="E1460" i="4"/>
  <c r="D1460" i="4"/>
  <c r="C1460" i="4"/>
  <c r="E1459" i="4"/>
  <c r="D1459" i="4"/>
  <c r="C1459" i="4"/>
  <c r="E1458" i="4"/>
  <c r="D1458" i="4"/>
  <c r="C1458" i="4"/>
  <c r="E1457" i="4"/>
  <c r="D1457" i="4"/>
  <c r="C1457" i="4"/>
  <c r="E1456" i="4"/>
  <c r="D1456" i="4"/>
  <c r="C1456" i="4"/>
  <c r="E1455" i="4"/>
  <c r="D1455" i="4"/>
  <c r="C1455" i="4"/>
  <c r="E1454" i="4"/>
  <c r="D1454" i="4"/>
  <c r="C1454" i="4"/>
  <c r="E1453" i="4"/>
  <c r="D1453" i="4"/>
  <c r="C1453" i="4"/>
  <c r="E1452" i="4"/>
  <c r="D1452" i="4"/>
  <c r="C1452" i="4"/>
  <c r="E1451" i="4"/>
  <c r="D1451" i="4"/>
  <c r="C1451" i="4"/>
  <c r="E1450" i="4"/>
  <c r="D1450" i="4"/>
  <c r="C1450" i="4"/>
  <c r="E1449" i="4"/>
  <c r="D1449" i="4"/>
  <c r="C1449" i="4"/>
  <c r="E1448" i="4"/>
  <c r="D1448" i="4"/>
  <c r="C1448" i="4"/>
  <c r="E1447" i="4"/>
  <c r="D1447" i="4"/>
  <c r="C1447" i="4"/>
  <c r="E1446" i="4"/>
  <c r="D1446" i="4"/>
  <c r="C1446" i="4"/>
  <c r="E1445" i="4"/>
  <c r="D1445" i="4"/>
  <c r="C1445" i="4"/>
  <c r="E1444" i="4"/>
  <c r="D1444" i="4"/>
  <c r="C1444" i="4"/>
  <c r="E1443" i="4"/>
  <c r="D1443" i="4"/>
  <c r="C1443" i="4"/>
  <c r="E1442" i="4"/>
  <c r="D1442" i="4"/>
  <c r="C1442" i="4"/>
  <c r="E1441" i="4"/>
  <c r="D1441" i="4"/>
  <c r="C1441" i="4"/>
  <c r="E1440" i="4"/>
  <c r="D1440" i="4"/>
  <c r="C1440" i="4"/>
  <c r="E1439" i="4"/>
  <c r="D1439" i="4"/>
  <c r="C1439" i="4"/>
  <c r="E1438" i="4"/>
  <c r="D1438" i="4"/>
  <c r="C1438" i="4"/>
  <c r="E1437" i="4"/>
  <c r="D1437" i="4"/>
  <c r="C1437" i="4"/>
  <c r="E1436" i="4"/>
  <c r="D1436" i="4"/>
  <c r="C1436" i="4"/>
  <c r="E1435" i="4"/>
  <c r="D1435" i="4"/>
  <c r="C1435" i="4"/>
  <c r="E1434" i="4"/>
  <c r="D1434" i="4"/>
  <c r="C1434" i="4"/>
  <c r="E1433" i="4"/>
  <c r="D1433" i="4"/>
  <c r="C1433" i="4"/>
  <c r="E1432" i="4"/>
  <c r="D1432" i="4"/>
  <c r="C1432" i="4"/>
  <c r="E1431" i="4"/>
  <c r="D1431" i="4"/>
  <c r="C1431" i="4"/>
  <c r="E1430" i="4"/>
  <c r="D1430" i="4"/>
  <c r="C1430" i="4"/>
  <c r="E1429" i="4"/>
  <c r="D1429" i="4"/>
  <c r="C1429" i="4"/>
  <c r="E1428" i="4"/>
  <c r="D1428" i="4"/>
  <c r="C1428" i="4"/>
  <c r="E1427" i="4"/>
  <c r="D1427" i="4"/>
  <c r="C1427" i="4"/>
  <c r="E1426" i="4"/>
  <c r="D1426" i="4"/>
  <c r="C1426" i="4"/>
  <c r="E1425" i="4"/>
  <c r="D1425" i="4"/>
  <c r="C1425" i="4"/>
  <c r="E1424" i="4"/>
  <c r="D1424" i="4"/>
  <c r="C1424" i="4"/>
  <c r="E1423" i="4"/>
  <c r="D1423" i="4"/>
  <c r="C1423" i="4"/>
  <c r="E1422" i="4"/>
  <c r="D1422" i="4"/>
  <c r="C1422" i="4"/>
  <c r="E1421" i="4"/>
  <c r="D1421" i="4"/>
  <c r="C1421" i="4"/>
  <c r="E1420" i="4"/>
  <c r="D1420" i="4"/>
  <c r="C1420" i="4"/>
  <c r="E1419" i="4"/>
  <c r="D1419" i="4"/>
  <c r="C1419" i="4"/>
  <c r="E1418" i="4"/>
  <c r="D1418" i="4"/>
  <c r="C1418" i="4"/>
  <c r="E1417" i="4"/>
  <c r="D1417" i="4"/>
  <c r="C1417" i="4"/>
  <c r="E1416" i="4"/>
  <c r="D1416" i="4"/>
  <c r="C1416" i="4"/>
  <c r="E1415" i="4"/>
  <c r="D1415" i="4"/>
  <c r="C1415" i="4"/>
  <c r="E1414" i="4"/>
  <c r="D1414" i="4"/>
  <c r="C1414" i="4"/>
  <c r="E1413" i="4"/>
  <c r="D1413" i="4"/>
  <c r="C1413" i="4"/>
  <c r="E1412" i="4"/>
  <c r="D1412" i="4"/>
  <c r="C1412" i="4"/>
  <c r="E1411" i="4"/>
  <c r="D1411" i="4"/>
  <c r="C1411" i="4"/>
  <c r="E1410" i="4"/>
  <c r="D1410" i="4"/>
  <c r="C1410" i="4"/>
  <c r="E1409" i="4"/>
  <c r="D1409" i="4"/>
  <c r="C1409" i="4"/>
  <c r="E1408" i="4"/>
  <c r="D1408" i="4"/>
  <c r="C1408" i="4"/>
  <c r="E1407" i="4"/>
  <c r="D1407" i="4"/>
  <c r="C1407" i="4"/>
  <c r="E1406" i="4"/>
  <c r="D1406" i="4"/>
  <c r="C1406" i="4"/>
  <c r="E1405" i="4"/>
  <c r="D1405" i="4"/>
  <c r="C1405" i="4"/>
  <c r="E1404" i="4"/>
  <c r="D1404" i="4"/>
  <c r="C1404" i="4"/>
  <c r="E1403" i="4"/>
  <c r="D1403" i="4"/>
  <c r="C1403" i="4"/>
  <c r="E1402" i="4"/>
  <c r="D1402" i="4"/>
  <c r="C1402" i="4"/>
  <c r="E1401" i="4"/>
  <c r="D1401" i="4"/>
  <c r="C1401" i="4"/>
  <c r="E1400" i="4"/>
  <c r="D1400" i="4"/>
  <c r="C1400" i="4"/>
  <c r="E1399" i="4"/>
  <c r="D1399" i="4"/>
  <c r="C1399" i="4"/>
  <c r="E1398" i="4"/>
  <c r="D1398" i="4"/>
  <c r="C1398" i="4"/>
  <c r="E1397" i="4"/>
  <c r="D1397" i="4"/>
  <c r="C1397" i="4"/>
  <c r="E1396" i="4"/>
  <c r="D1396" i="4"/>
  <c r="C1396" i="4"/>
  <c r="E1395" i="4"/>
  <c r="D1395" i="4"/>
  <c r="C1395" i="4"/>
  <c r="E1394" i="4"/>
  <c r="D1394" i="4"/>
  <c r="C1394" i="4"/>
  <c r="E1393" i="4"/>
  <c r="D1393" i="4"/>
  <c r="C1393" i="4"/>
  <c r="E1392" i="4"/>
  <c r="D1392" i="4"/>
  <c r="C1392" i="4"/>
  <c r="E1391" i="4"/>
  <c r="D1391" i="4"/>
  <c r="C1391" i="4"/>
  <c r="E1390" i="4"/>
  <c r="D1390" i="4"/>
  <c r="C1390" i="4"/>
  <c r="E1389" i="4"/>
  <c r="D1389" i="4"/>
  <c r="C1389" i="4"/>
  <c r="E1388" i="4"/>
  <c r="D1388" i="4"/>
  <c r="C1388" i="4"/>
  <c r="E1387" i="4"/>
  <c r="D1387" i="4"/>
  <c r="C1387" i="4"/>
  <c r="E1386" i="4"/>
  <c r="D1386" i="4"/>
  <c r="C1386" i="4"/>
  <c r="E1385" i="4"/>
  <c r="D1385" i="4"/>
  <c r="C1385" i="4"/>
  <c r="E1384" i="4"/>
  <c r="D1384" i="4"/>
  <c r="C1384" i="4"/>
  <c r="E1383" i="4"/>
  <c r="D1383" i="4"/>
  <c r="C1383" i="4"/>
  <c r="E1382" i="4"/>
  <c r="D1382" i="4"/>
  <c r="C1382" i="4"/>
  <c r="E1381" i="4"/>
  <c r="D1381" i="4"/>
  <c r="C1381" i="4"/>
  <c r="E1380" i="4"/>
  <c r="D1380" i="4"/>
  <c r="C1380" i="4"/>
  <c r="E1379" i="4"/>
  <c r="D1379" i="4"/>
  <c r="C1379" i="4"/>
  <c r="E1378" i="4"/>
  <c r="D1378" i="4"/>
  <c r="C1378" i="4"/>
  <c r="E1377" i="4"/>
  <c r="D1377" i="4"/>
  <c r="C1377" i="4"/>
  <c r="E1376" i="4"/>
  <c r="D1376" i="4"/>
  <c r="C1376" i="4"/>
  <c r="E1375" i="4"/>
  <c r="D1375" i="4"/>
  <c r="C1375" i="4"/>
  <c r="E1374" i="4"/>
  <c r="D1374" i="4"/>
  <c r="C1374" i="4"/>
  <c r="E1373" i="4"/>
  <c r="D1373" i="4"/>
  <c r="C1373" i="4"/>
  <c r="E1372" i="4"/>
  <c r="D1372" i="4"/>
  <c r="C1372" i="4"/>
  <c r="E1371" i="4"/>
  <c r="D1371" i="4"/>
  <c r="C1371" i="4"/>
  <c r="E1370" i="4"/>
  <c r="D1370" i="4"/>
  <c r="C1370" i="4"/>
  <c r="E1369" i="4"/>
  <c r="D1369" i="4"/>
  <c r="C1369" i="4"/>
  <c r="E1368" i="4"/>
  <c r="D1368" i="4"/>
  <c r="C1368" i="4"/>
  <c r="E1367" i="4"/>
  <c r="D1367" i="4"/>
  <c r="C1367" i="4"/>
  <c r="E1366" i="4"/>
  <c r="D1366" i="4"/>
  <c r="C1366" i="4"/>
  <c r="E1365" i="4"/>
  <c r="D1365" i="4"/>
  <c r="C1365" i="4"/>
  <c r="E1364" i="4"/>
  <c r="D1364" i="4"/>
  <c r="C1364" i="4"/>
  <c r="E1363" i="4"/>
  <c r="D1363" i="4"/>
  <c r="C1363" i="4"/>
  <c r="E1362" i="4"/>
  <c r="D1362" i="4"/>
  <c r="C1362" i="4"/>
  <c r="E1361" i="4"/>
  <c r="D1361" i="4"/>
  <c r="C1361" i="4"/>
  <c r="E1360" i="4"/>
  <c r="D1360" i="4"/>
  <c r="C1360" i="4"/>
  <c r="E1359" i="4"/>
  <c r="D1359" i="4"/>
  <c r="C1359" i="4"/>
  <c r="E1358" i="4"/>
  <c r="D1358" i="4"/>
  <c r="C1358" i="4"/>
  <c r="E1357" i="4"/>
  <c r="D1357" i="4"/>
  <c r="C1357" i="4"/>
  <c r="E1356" i="4"/>
  <c r="D1356" i="4"/>
  <c r="C1356" i="4"/>
  <c r="E1355" i="4"/>
  <c r="D1355" i="4"/>
  <c r="C1355" i="4"/>
  <c r="E1354" i="4"/>
  <c r="D1354" i="4"/>
  <c r="C1354" i="4"/>
  <c r="E1353" i="4"/>
  <c r="D1353" i="4"/>
  <c r="C1353" i="4"/>
  <c r="E1352" i="4"/>
  <c r="D1352" i="4"/>
  <c r="C1352" i="4"/>
  <c r="E1351" i="4"/>
  <c r="D1351" i="4"/>
  <c r="C1351" i="4"/>
  <c r="E1350" i="4"/>
  <c r="D1350" i="4"/>
  <c r="C1350" i="4"/>
  <c r="E1349" i="4"/>
  <c r="D1349" i="4"/>
  <c r="C1349" i="4"/>
  <c r="E1348" i="4"/>
  <c r="D1348" i="4"/>
  <c r="C1348" i="4"/>
  <c r="E1347" i="4"/>
  <c r="D1347" i="4"/>
  <c r="C1347" i="4"/>
  <c r="E1346" i="4"/>
  <c r="D1346" i="4"/>
  <c r="C1346" i="4"/>
  <c r="E1345" i="4"/>
  <c r="D1345" i="4"/>
  <c r="C1345" i="4"/>
  <c r="E1344" i="4"/>
  <c r="D1344" i="4"/>
  <c r="C1344" i="4"/>
  <c r="E1343" i="4"/>
  <c r="D1343" i="4"/>
  <c r="C1343" i="4"/>
  <c r="E1342" i="4"/>
  <c r="D1342" i="4"/>
  <c r="C1342" i="4"/>
  <c r="E1341" i="4"/>
  <c r="D1341" i="4"/>
  <c r="C1341" i="4"/>
  <c r="E1340" i="4"/>
  <c r="D1340" i="4"/>
  <c r="C1340" i="4"/>
  <c r="E1339" i="4"/>
  <c r="D1339" i="4"/>
  <c r="C1339" i="4"/>
  <c r="E1338" i="4"/>
  <c r="D1338" i="4"/>
  <c r="C1338" i="4"/>
  <c r="E1337" i="4"/>
  <c r="D1337" i="4"/>
  <c r="C1337" i="4"/>
  <c r="E1336" i="4"/>
  <c r="D1336" i="4"/>
  <c r="C1336" i="4"/>
  <c r="E1335" i="4"/>
  <c r="D1335" i="4"/>
  <c r="C1335" i="4"/>
  <c r="E1334" i="4"/>
  <c r="D1334" i="4"/>
  <c r="C1334" i="4"/>
  <c r="E1333" i="4"/>
  <c r="D1333" i="4"/>
  <c r="C1333" i="4"/>
  <c r="E1332" i="4"/>
  <c r="D1332" i="4"/>
  <c r="C1332" i="4"/>
  <c r="E1331" i="4"/>
  <c r="D1331" i="4"/>
  <c r="C1331" i="4"/>
  <c r="E1330" i="4"/>
  <c r="D1330" i="4"/>
  <c r="C1330" i="4"/>
  <c r="E1329" i="4"/>
  <c r="D1329" i="4"/>
  <c r="C1329" i="4"/>
  <c r="E1328" i="4"/>
  <c r="D1328" i="4"/>
  <c r="C1328" i="4"/>
  <c r="E1327" i="4"/>
  <c r="D1327" i="4"/>
  <c r="C1327" i="4"/>
  <c r="E1326" i="4"/>
  <c r="D1326" i="4"/>
  <c r="C1326" i="4"/>
  <c r="E1325" i="4"/>
  <c r="D1325" i="4"/>
  <c r="C1325" i="4"/>
  <c r="E1324" i="4"/>
  <c r="D1324" i="4"/>
  <c r="C1324" i="4"/>
  <c r="E1323" i="4"/>
  <c r="D1323" i="4"/>
  <c r="C1323" i="4"/>
  <c r="E1322" i="4"/>
  <c r="D1322" i="4"/>
  <c r="C1322" i="4"/>
  <c r="E1321" i="4"/>
  <c r="D1321" i="4"/>
  <c r="C1321" i="4"/>
  <c r="E1320" i="4"/>
  <c r="D1320" i="4"/>
  <c r="C1320" i="4"/>
  <c r="E1319" i="4"/>
  <c r="D1319" i="4"/>
  <c r="C1319" i="4"/>
  <c r="E1318" i="4"/>
  <c r="D1318" i="4"/>
  <c r="C1318" i="4"/>
  <c r="E1317" i="4"/>
  <c r="D1317" i="4"/>
  <c r="C1317" i="4"/>
  <c r="E1316" i="4"/>
  <c r="D1316" i="4"/>
  <c r="C1316" i="4"/>
  <c r="E1315" i="4"/>
  <c r="D1315" i="4"/>
  <c r="C1315" i="4"/>
  <c r="E1314" i="4"/>
  <c r="D1314" i="4"/>
  <c r="C1314" i="4"/>
  <c r="E1313" i="4"/>
  <c r="D1313" i="4"/>
  <c r="C1313" i="4"/>
  <c r="E1312" i="4"/>
  <c r="D1312" i="4"/>
  <c r="C1312" i="4"/>
  <c r="E1311" i="4"/>
  <c r="D1311" i="4"/>
  <c r="C1311" i="4"/>
  <c r="E1310" i="4"/>
  <c r="D1310" i="4"/>
  <c r="C1310" i="4"/>
  <c r="E1309" i="4"/>
  <c r="D1309" i="4"/>
  <c r="C1309" i="4"/>
  <c r="E1308" i="4"/>
  <c r="D1308" i="4"/>
  <c r="C1308" i="4"/>
  <c r="E1307" i="4"/>
  <c r="D1307" i="4"/>
  <c r="C1307" i="4"/>
  <c r="E1306" i="4"/>
  <c r="D1306" i="4"/>
  <c r="C1306" i="4"/>
  <c r="E1305" i="4"/>
  <c r="D1305" i="4"/>
  <c r="C1305" i="4"/>
  <c r="E1304" i="4"/>
  <c r="D1304" i="4"/>
  <c r="C1304" i="4"/>
  <c r="E1303" i="4"/>
  <c r="D1303" i="4"/>
  <c r="C1303" i="4"/>
  <c r="E1302" i="4"/>
  <c r="D1302" i="4"/>
  <c r="C1302" i="4"/>
  <c r="E1301" i="4"/>
  <c r="D1301" i="4"/>
  <c r="C1301" i="4"/>
  <c r="E1300" i="4"/>
  <c r="D1300" i="4"/>
  <c r="C1300" i="4"/>
  <c r="E1299" i="4"/>
  <c r="D1299" i="4"/>
  <c r="C1299" i="4"/>
  <c r="E1298" i="4"/>
  <c r="D1298" i="4"/>
  <c r="C1298" i="4"/>
  <c r="E1297" i="4"/>
  <c r="D1297" i="4"/>
  <c r="C1297" i="4"/>
  <c r="E1296" i="4"/>
  <c r="D1296" i="4"/>
  <c r="C1296" i="4"/>
  <c r="E1295" i="4"/>
  <c r="D1295" i="4"/>
  <c r="C1295" i="4"/>
  <c r="E1294" i="4"/>
  <c r="D1294" i="4"/>
  <c r="C1294" i="4"/>
  <c r="E1293" i="4"/>
  <c r="D1293" i="4"/>
  <c r="C1293" i="4"/>
  <c r="E1292" i="4"/>
  <c r="D1292" i="4"/>
  <c r="C1292" i="4"/>
  <c r="E1291" i="4"/>
  <c r="D1291" i="4"/>
  <c r="C1291" i="4"/>
  <c r="E1290" i="4"/>
  <c r="D1290" i="4"/>
  <c r="C1290" i="4"/>
  <c r="E1289" i="4"/>
  <c r="D1289" i="4"/>
  <c r="C1289" i="4"/>
  <c r="E1288" i="4"/>
  <c r="D1288" i="4"/>
  <c r="C1288" i="4"/>
  <c r="E1287" i="4"/>
  <c r="D1287" i="4"/>
  <c r="C1287" i="4"/>
  <c r="E1286" i="4"/>
  <c r="D1286" i="4"/>
  <c r="C1286" i="4"/>
  <c r="E1285" i="4"/>
  <c r="D1285" i="4"/>
  <c r="C1285" i="4"/>
  <c r="E1284" i="4"/>
  <c r="D1284" i="4"/>
  <c r="C1284" i="4"/>
  <c r="E1283" i="4"/>
  <c r="D1283" i="4"/>
  <c r="C1283" i="4"/>
  <c r="E1282" i="4"/>
  <c r="D1282" i="4"/>
  <c r="C1282" i="4"/>
  <c r="E1281" i="4"/>
  <c r="D1281" i="4"/>
  <c r="C1281" i="4"/>
  <c r="E1280" i="4"/>
  <c r="D1280" i="4"/>
  <c r="C1280" i="4"/>
  <c r="E1279" i="4"/>
  <c r="D1279" i="4"/>
  <c r="C1279" i="4"/>
  <c r="E1278" i="4"/>
  <c r="D1278" i="4"/>
  <c r="C1278" i="4"/>
  <c r="E1277" i="4"/>
  <c r="D1277" i="4"/>
  <c r="C1277" i="4"/>
  <c r="E1276" i="4"/>
  <c r="D1276" i="4"/>
  <c r="C1276" i="4"/>
  <c r="E1275" i="4"/>
  <c r="D1275" i="4"/>
  <c r="C1275" i="4"/>
  <c r="E1274" i="4"/>
  <c r="D1274" i="4"/>
  <c r="C1274" i="4"/>
  <c r="E1273" i="4"/>
  <c r="D1273" i="4"/>
  <c r="C1273" i="4"/>
  <c r="E1272" i="4"/>
  <c r="D1272" i="4"/>
  <c r="C1272" i="4"/>
  <c r="E1271" i="4"/>
  <c r="D1271" i="4"/>
  <c r="C1271" i="4"/>
  <c r="E1270" i="4"/>
  <c r="D1270" i="4"/>
  <c r="C1270" i="4"/>
  <c r="E1269" i="4"/>
  <c r="D1269" i="4"/>
  <c r="C1269" i="4"/>
  <c r="E1268" i="4"/>
  <c r="D1268" i="4"/>
  <c r="C1268" i="4"/>
  <c r="E1267" i="4"/>
  <c r="D1267" i="4"/>
  <c r="C1267" i="4"/>
  <c r="E1266" i="4"/>
  <c r="D1266" i="4"/>
  <c r="C1266" i="4"/>
  <c r="E1265" i="4"/>
  <c r="D1265" i="4"/>
  <c r="C1265" i="4"/>
  <c r="E1264" i="4"/>
  <c r="D1264" i="4"/>
  <c r="C1264" i="4"/>
  <c r="E1263" i="4"/>
  <c r="D1263" i="4"/>
  <c r="C1263" i="4"/>
  <c r="E1262" i="4"/>
  <c r="D1262" i="4"/>
  <c r="C1262" i="4"/>
  <c r="E1261" i="4"/>
  <c r="D1261" i="4"/>
  <c r="C1261" i="4"/>
  <c r="E1260" i="4"/>
  <c r="D1260" i="4"/>
  <c r="C1260" i="4"/>
  <c r="E1259" i="4"/>
  <c r="D1259" i="4"/>
  <c r="C1259" i="4"/>
  <c r="E1258" i="4"/>
  <c r="D1258" i="4"/>
  <c r="C1258" i="4"/>
  <c r="E1257" i="4"/>
  <c r="D1257" i="4"/>
  <c r="C1257" i="4"/>
  <c r="E1256" i="4"/>
  <c r="D1256" i="4"/>
  <c r="C1256" i="4"/>
  <c r="E1255" i="4"/>
  <c r="D1255" i="4"/>
  <c r="C1255" i="4"/>
  <c r="E1254" i="4"/>
  <c r="D1254" i="4"/>
  <c r="C1254" i="4"/>
  <c r="E1253" i="4"/>
  <c r="D1253" i="4"/>
  <c r="C1253" i="4"/>
  <c r="E1252" i="4"/>
  <c r="D1252" i="4"/>
  <c r="C1252" i="4"/>
  <c r="E1251" i="4"/>
  <c r="D1251" i="4"/>
  <c r="C1251" i="4"/>
  <c r="E1250" i="4"/>
  <c r="D1250" i="4"/>
  <c r="C1250" i="4"/>
  <c r="E1249" i="4"/>
  <c r="D1249" i="4"/>
  <c r="C1249" i="4"/>
  <c r="E1248" i="4"/>
  <c r="D1248" i="4"/>
  <c r="C1248" i="4"/>
  <c r="E1247" i="4"/>
  <c r="D1247" i="4"/>
  <c r="C1247" i="4"/>
  <c r="E1246" i="4"/>
  <c r="D1246" i="4"/>
  <c r="C1246" i="4"/>
  <c r="E1245" i="4"/>
  <c r="D1245" i="4"/>
  <c r="C1245" i="4"/>
  <c r="E1244" i="4"/>
  <c r="D1244" i="4"/>
  <c r="C1244" i="4"/>
  <c r="E1243" i="4"/>
  <c r="D1243" i="4"/>
  <c r="C1243" i="4"/>
  <c r="E1242" i="4"/>
  <c r="D1242" i="4"/>
  <c r="C1242" i="4"/>
  <c r="E1241" i="4"/>
  <c r="D1241" i="4"/>
  <c r="C1241" i="4"/>
  <c r="E1240" i="4"/>
  <c r="D1240" i="4"/>
  <c r="C1240" i="4"/>
  <c r="E1239" i="4"/>
  <c r="D1239" i="4"/>
  <c r="C1239" i="4"/>
  <c r="E1238" i="4"/>
  <c r="D1238" i="4"/>
  <c r="C1238" i="4"/>
  <c r="E1237" i="4"/>
  <c r="D1237" i="4"/>
  <c r="C1237" i="4"/>
  <c r="E1236" i="4"/>
  <c r="D1236" i="4"/>
  <c r="C1236" i="4"/>
  <c r="E1235" i="4"/>
  <c r="D1235" i="4"/>
  <c r="C1235" i="4"/>
  <c r="E1234" i="4"/>
  <c r="D1234" i="4"/>
  <c r="C1234" i="4"/>
  <c r="E1233" i="4"/>
  <c r="D1233" i="4"/>
  <c r="C1233" i="4"/>
  <c r="E1232" i="4"/>
  <c r="D1232" i="4"/>
  <c r="C1232" i="4"/>
  <c r="E1231" i="4"/>
  <c r="D1231" i="4"/>
  <c r="C1231" i="4"/>
  <c r="E1230" i="4"/>
  <c r="D1230" i="4"/>
  <c r="C1230" i="4"/>
  <c r="E1229" i="4"/>
  <c r="D1229" i="4"/>
  <c r="C1229" i="4"/>
  <c r="E1228" i="4"/>
  <c r="D1228" i="4"/>
  <c r="C1228" i="4"/>
  <c r="E1227" i="4"/>
  <c r="D1227" i="4"/>
  <c r="C1227" i="4"/>
  <c r="E1226" i="4"/>
  <c r="D1226" i="4"/>
  <c r="C1226" i="4"/>
  <c r="E1225" i="4"/>
  <c r="D1225" i="4"/>
  <c r="C1225" i="4"/>
  <c r="E1224" i="4"/>
  <c r="D1224" i="4"/>
  <c r="C1224" i="4"/>
  <c r="E1223" i="4"/>
  <c r="D1223" i="4"/>
  <c r="C1223" i="4"/>
  <c r="E1222" i="4"/>
  <c r="D1222" i="4"/>
  <c r="C1222" i="4"/>
  <c r="E1221" i="4"/>
  <c r="D1221" i="4"/>
  <c r="C1221" i="4"/>
  <c r="E1220" i="4"/>
  <c r="D1220" i="4"/>
  <c r="C1220" i="4"/>
  <c r="E1219" i="4"/>
  <c r="D1219" i="4"/>
  <c r="C1219" i="4"/>
  <c r="E1218" i="4"/>
  <c r="D1218" i="4"/>
  <c r="C1218" i="4"/>
  <c r="E1217" i="4"/>
  <c r="D1217" i="4"/>
  <c r="C1217" i="4"/>
  <c r="E1216" i="4"/>
  <c r="D1216" i="4"/>
  <c r="C1216" i="4"/>
  <c r="E1215" i="4"/>
  <c r="D1215" i="4"/>
  <c r="C1215" i="4"/>
  <c r="E1214" i="4"/>
  <c r="D1214" i="4"/>
  <c r="C1214" i="4"/>
  <c r="E1213" i="4"/>
  <c r="D1213" i="4"/>
  <c r="C1213" i="4"/>
  <c r="E1212" i="4"/>
  <c r="D1212" i="4"/>
  <c r="C1212" i="4"/>
  <c r="E1211" i="4"/>
  <c r="D1211" i="4"/>
  <c r="C1211" i="4"/>
  <c r="E1210" i="4"/>
  <c r="D1210" i="4"/>
  <c r="C1210" i="4"/>
  <c r="E1209" i="4"/>
  <c r="D1209" i="4"/>
  <c r="C1209" i="4"/>
  <c r="E1208" i="4"/>
  <c r="D1208" i="4"/>
  <c r="C1208" i="4"/>
  <c r="E1207" i="4"/>
  <c r="D1207" i="4"/>
  <c r="C1207" i="4"/>
  <c r="E1206" i="4"/>
  <c r="D1206" i="4"/>
  <c r="C1206" i="4"/>
  <c r="E1205" i="4"/>
  <c r="D1205" i="4"/>
  <c r="C1205" i="4"/>
  <c r="E1204" i="4"/>
  <c r="D1204" i="4"/>
  <c r="C1204" i="4"/>
  <c r="E1203" i="4"/>
  <c r="D1203" i="4"/>
  <c r="C1203" i="4"/>
  <c r="E1202" i="4"/>
  <c r="D1202" i="4"/>
  <c r="C1202" i="4"/>
  <c r="E1201" i="4"/>
  <c r="D1201" i="4"/>
  <c r="C1201" i="4"/>
  <c r="E1200" i="4"/>
  <c r="D1200" i="4"/>
  <c r="C1200" i="4"/>
  <c r="E1199" i="4"/>
  <c r="D1199" i="4"/>
  <c r="C1199" i="4"/>
  <c r="E1198" i="4"/>
  <c r="D1198" i="4"/>
  <c r="C1198" i="4"/>
  <c r="E1197" i="4"/>
  <c r="D1197" i="4"/>
  <c r="C1197" i="4"/>
  <c r="E1196" i="4"/>
  <c r="D1196" i="4"/>
  <c r="C1196" i="4"/>
  <c r="E1195" i="4"/>
  <c r="D1195" i="4"/>
  <c r="C1195" i="4"/>
  <c r="E1194" i="4"/>
  <c r="D1194" i="4"/>
  <c r="C1194" i="4"/>
  <c r="E1193" i="4"/>
  <c r="D1193" i="4"/>
  <c r="C1193" i="4"/>
  <c r="E1192" i="4"/>
  <c r="D1192" i="4"/>
  <c r="C1192" i="4"/>
  <c r="E1191" i="4"/>
  <c r="D1191" i="4"/>
  <c r="C1191" i="4"/>
  <c r="E1190" i="4"/>
  <c r="D1190" i="4"/>
  <c r="C1190" i="4"/>
  <c r="E1189" i="4"/>
  <c r="D1189" i="4"/>
  <c r="C1189" i="4"/>
  <c r="E1188" i="4"/>
  <c r="D1188" i="4"/>
  <c r="C1188" i="4"/>
  <c r="E1187" i="4"/>
  <c r="D1187" i="4"/>
  <c r="C1187" i="4"/>
  <c r="E1186" i="4"/>
  <c r="D1186" i="4"/>
  <c r="C1186" i="4"/>
  <c r="E1185" i="4"/>
  <c r="D1185" i="4"/>
  <c r="C1185" i="4"/>
  <c r="E1184" i="4"/>
  <c r="D1184" i="4"/>
  <c r="C1184" i="4"/>
  <c r="E1183" i="4"/>
  <c r="D1183" i="4"/>
  <c r="C1183" i="4"/>
  <c r="E1182" i="4"/>
  <c r="D1182" i="4"/>
  <c r="C1182" i="4"/>
  <c r="E1181" i="4"/>
  <c r="D1181" i="4"/>
  <c r="C1181" i="4"/>
  <c r="E1180" i="4"/>
  <c r="D1180" i="4"/>
  <c r="C1180" i="4"/>
  <c r="E1179" i="4"/>
  <c r="D1179" i="4"/>
  <c r="C1179" i="4"/>
  <c r="E1178" i="4"/>
  <c r="D1178" i="4"/>
  <c r="C1178" i="4"/>
  <c r="E1177" i="4"/>
  <c r="D1177" i="4"/>
  <c r="C1177" i="4"/>
  <c r="E1176" i="4"/>
  <c r="D1176" i="4"/>
  <c r="C1176" i="4"/>
  <c r="E1175" i="4"/>
  <c r="D1175" i="4"/>
  <c r="C1175" i="4"/>
  <c r="E1174" i="4"/>
  <c r="D1174" i="4"/>
  <c r="C1174" i="4"/>
  <c r="E1173" i="4"/>
  <c r="D1173" i="4"/>
  <c r="C1173" i="4"/>
  <c r="E1172" i="4"/>
  <c r="D1172" i="4"/>
  <c r="C1172" i="4"/>
  <c r="E1171" i="4"/>
  <c r="D1171" i="4"/>
  <c r="C1171" i="4"/>
  <c r="E1170" i="4"/>
  <c r="D1170" i="4"/>
  <c r="C1170" i="4"/>
  <c r="E1169" i="4"/>
  <c r="D1169" i="4"/>
  <c r="C1169" i="4"/>
  <c r="E1168" i="4"/>
  <c r="D1168" i="4"/>
  <c r="C1168" i="4"/>
  <c r="E1167" i="4"/>
  <c r="D1167" i="4"/>
  <c r="C1167" i="4"/>
  <c r="E1166" i="4"/>
  <c r="D1166" i="4"/>
  <c r="C1166" i="4"/>
  <c r="E1165" i="4"/>
  <c r="D1165" i="4"/>
  <c r="C1165" i="4"/>
  <c r="E1164" i="4"/>
  <c r="D1164" i="4"/>
  <c r="C1164" i="4"/>
  <c r="E1163" i="4"/>
  <c r="D1163" i="4"/>
  <c r="C1163" i="4"/>
  <c r="E1162" i="4"/>
  <c r="D1162" i="4"/>
  <c r="C1162" i="4"/>
  <c r="E1161" i="4"/>
  <c r="D1161" i="4"/>
  <c r="C1161" i="4"/>
  <c r="E1160" i="4"/>
  <c r="D1160" i="4"/>
  <c r="C1160" i="4"/>
  <c r="E1159" i="4"/>
  <c r="D1159" i="4"/>
  <c r="C1159" i="4"/>
  <c r="E1158" i="4"/>
  <c r="D1158" i="4"/>
  <c r="C1158" i="4"/>
  <c r="E1157" i="4"/>
  <c r="D1157" i="4"/>
  <c r="C1157" i="4"/>
  <c r="E1156" i="4"/>
  <c r="D1156" i="4"/>
  <c r="C1156" i="4"/>
  <c r="E1155" i="4"/>
  <c r="D1155" i="4"/>
  <c r="C1155" i="4"/>
  <c r="E1154" i="4"/>
  <c r="D1154" i="4"/>
  <c r="C1154" i="4"/>
  <c r="E1153" i="4"/>
  <c r="D1153" i="4"/>
  <c r="C1153" i="4"/>
  <c r="E1152" i="4"/>
  <c r="D1152" i="4"/>
  <c r="C1152" i="4"/>
  <c r="E1151" i="4"/>
  <c r="D1151" i="4"/>
  <c r="C1151" i="4"/>
  <c r="E1150" i="4"/>
  <c r="D1150" i="4"/>
  <c r="C1150" i="4"/>
  <c r="E1149" i="4"/>
  <c r="D1149" i="4"/>
  <c r="C1149" i="4"/>
  <c r="E1148" i="4"/>
  <c r="D1148" i="4"/>
  <c r="C1148" i="4"/>
  <c r="E1147" i="4"/>
  <c r="D1147" i="4"/>
  <c r="C1147" i="4"/>
  <c r="E1146" i="4"/>
  <c r="D1146" i="4"/>
  <c r="C1146" i="4"/>
  <c r="E1145" i="4"/>
  <c r="D1145" i="4"/>
  <c r="C1145" i="4"/>
  <c r="E1144" i="4"/>
  <c r="D1144" i="4"/>
  <c r="C1144" i="4"/>
  <c r="E1143" i="4"/>
  <c r="D1143" i="4"/>
  <c r="C1143" i="4"/>
  <c r="E1142" i="4"/>
  <c r="D1142" i="4"/>
  <c r="C1142" i="4"/>
  <c r="E1141" i="4"/>
  <c r="D1141" i="4"/>
  <c r="C1141" i="4"/>
  <c r="E1140" i="4"/>
  <c r="D1140" i="4"/>
  <c r="C1140" i="4"/>
  <c r="E1139" i="4"/>
  <c r="D1139" i="4"/>
  <c r="C1139" i="4"/>
  <c r="E1138" i="4"/>
  <c r="D1138" i="4"/>
  <c r="C1138" i="4"/>
  <c r="E1137" i="4"/>
  <c r="D1137" i="4"/>
  <c r="C1137" i="4"/>
  <c r="E1136" i="4"/>
  <c r="D1136" i="4"/>
  <c r="C1136" i="4"/>
  <c r="E1135" i="4"/>
  <c r="D1135" i="4"/>
  <c r="C1135" i="4"/>
  <c r="E1134" i="4"/>
  <c r="D1134" i="4"/>
  <c r="C1134" i="4"/>
  <c r="E1133" i="4"/>
  <c r="D1133" i="4"/>
  <c r="C1133" i="4"/>
  <c r="E1132" i="4"/>
  <c r="D1132" i="4"/>
  <c r="C1132" i="4"/>
  <c r="E1131" i="4"/>
  <c r="D1131" i="4"/>
  <c r="C1131" i="4"/>
  <c r="E1130" i="4"/>
  <c r="D1130" i="4"/>
  <c r="C1130" i="4"/>
  <c r="E1129" i="4"/>
  <c r="D1129" i="4"/>
  <c r="C1129" i="4"/>
  <c r="E1128" i="4"/>
  <c r="D1128" i="4"/>
  <c r="C1128" i="4"/>
  <c r="E1127" i="4"/>
  <c r="D1127" i="4"/>
  <c r="C1127" i="4"/>
  <c r="E1126" i="4"/>
  <c r="D1126" i="4"/>
  <c r="C1126" i="4"/>
  <c r="E1125" i="4"/>
  <c r="D1125" i="4"/>
  <c r="C1125" i="4"/>
  <c r="E1124" i="4"/>
  <c r="D1124" i="4"/>
  <c r="C1124" i="4"/>
  <c r="E1123" i="4"/>
  <c r="D1123" i="4"/>
  <c r="C1123" i="4"/>
  <c r="E1122" i="4"/>
  <c r="D1122" i="4"/>
  <c r="C1122" i="4"/>
  <c r="E1121" i="4"/>
  <c r="D1121" i="4"/>
  <c r="C1121" i="4"/>
  <c r="E1120" i="4"/>
  <c r="D1120" i="4"/>
  <c r="C1120" i="4"/>
  <c r="E1119" i="4"/>
  <c r="D1119" i="4"/>
  <c r="C1119" i="4"/>
  <c r="E1118" i="4"/>
  <c r="D1118" i="4"/>
  <c r="C1118" i="4"/>
  <c r="E1117" i="4"/>
  <c r="D1117" i="4"/>
  <c r="C1117" i="4"/>
  <c r="E1116" i="4"/>
  <c r="D1116" i="4"/>
  <c r="C1116" i="4"/>
  <c r="E1115" i="4"/>
  <c r="D1115" i="4"/>
  <c r="C1115" i="4"/>
  <c r="E1114" i="4"/>
  <c r="D1114" i="4"/>
  <c r="C1114" i="4"/>
  <c r="E1113" i="4"/>
  <c r="D1113" i="4"/>
  <c r="C1113" i="4"/>
  <c r="E1112" i="4"/>
  <c r="D1112" i="4"/>
  <c r="C1112" i="4"/>
  <c r="E1111" i="4"/>
  <c r="D1111" i="4"/>
  <c r="C1111" i="4"/>
  <c r="E1110" i="4"/>
  <c r="D1110" i="4"/>
  <c r="C1110" i="4"/>
  <c r="E1109" i="4"/>
  <c r="D1109" i="4"/>
  <c r="C1109" i="4"/>
  <c r="E1108" i="4"/>
  <c r="D1108" i="4"/>
  <c r="C1108" i="4"/>
  <c r="E1107" i="4"/>
  <c r="D1107" i="4"/>
  <c r="C1107" i="4"/>
  <c r="E1106" i="4"/>
  <c r="D1106" i="4"/>
  <c r="C1106" i="4"/>
  <c r="E1105" i="4"/>
  <c r="D1105" i="4"/>
  <c r="C1105" i="4"/>
  <c r="E1104" i="4"/>
  <c r="D1104" i="4"/>
  <c r="C1104" i="4"/>
  <c r="E1103" i="4"/>
  <c r="D1103" i="4"/>
  <c r="C1103" i="4"/>
  <c r="E1102" i="4"/>
  <c r="D1102" i="4"/>
  <c r="C1102" i="4"/>
  <c r="E1101" i="4"/>
  <c r="D1101" i="4"/>
  <c r="C1101" i="4"/>
  <c r="E1100" i="4"/>
  <c r="D1100" i="4"/>
  <c r="C1100" i="4"/>
  <c r="E1099" i="4"/>
  <c r="D1099" i="4"/>
  <c r="C1099" i="4"/>
  <c r="E1098" i="4"/>
  <c r="D1098" i="4"/>
  <c r="C1098" i="4"/>
  <c r="E1097" i="4"/>
  <c r="D1097" i="4"/>
  <c r="C1097" i="4"/>
  <c r="E1096" i="4"/>
  <c r="D1096" i="4"/>
  <c r="C1096" i="4"/>
  <c r="E1095" i="4"/>
  <c r="D1095" i="4"/>
  <c r="C1095" i="4"/>
  <c r="E1094" i="4"/>
  <c r="D1094" i="4"/>
  <c r="C1094" i="4"/>
  <c r="E1093" i="4"/>
  <c r="D1093" i="4"/>
  <c r="C1093" i="4"/>
  <c r="E1092" i="4"/>
  <c r="D1092" i="4"/>
  <c r="C1092" i="4"/>
  <c r="E1091" i="4"/>
  <c r="D1091" i="4"/>
  <c r="C1091" i="4"/>
  <c r="E1090" i="4"/>
  <c r="D1090" i="4"/>
  <c r="C1090" i="4"/>
  <c r="E1089" i="4"/>
  <c r="D1089" i="4"/>
  <c r="C1089" i="4"/>
  <c r="E1088" i="4"/>
  <c r="D1088" i="4"/>
  <c r="C1088" i="4"/>
  <c r="E1087" i="4"/>
  <c r="D1087" i="4"/>
  <c r="C1087" i="4"/>
  <c r="E1086" i="4"/>
  <c r="D1086" i="4"/>
  <c r="C1086" i="4"/>
  <c r="E1085" i="4"/>
  <c r="D1085" i="4"/>
  <c r="C1085" i="4"/>
  <c r="E1084" i="4"/>
  <c r="D1084" i="4"/>
  <c r="C1084" i="4"/>
  <c r="E1083" i="4"/>
  <c r="D1083" i="4"/>
  <c r="C1083" i="4"/>
  <c r="E1082" i="4"/>
  <c r="D1082" i="4"/>
  <c r="C1082" i="4"/>
  <c r="E1081" i="4"/>
  <c r="D1081" i="4"/>
  <c r="C1081" i="4"/>
  <c r="E1080" i="4"/>
  <c r="D1080" i="4"/>
  <c r="C1080" i="4"/>
  <c r="E1079" i="4"/>
  <c r="D1079" i="4"/>
  <c r="C1079" i="4"/>
  <c r="E1078" i="4"/>
  <c r="D1078" i="4"/>
  <c r="C1078" i="4"/>
  <c r="E1077" i="4"/>
  <c r="D1077" i="4"/>
  <c r="C1077" i="4"/>
  <c r="E1076" i="4"/>
  <c r="D1076" i="4"/>
  <c r="C1076" i="4"/>
  <c r="E1075" i="4"/>
  <c r="D1075" i="4"/>
  <c r="C1075" i="4"/>
  <c r="E1074" i="4"/>
  <c r="D1074" i="4"/>
  <c r="C1074" i="4"/>
  <c r="E1073" i="4"/>
  <c r="D1073" i="4"/>
  <c r="C1073" i="4"/>
  <c r="E1072" i="4"/>
  <c r="D1072" i="4"/>
  <c r="C1072" i="4"/>
  <c r="E1071" i="4"/>
  <c r="D1071" i="4"/>
  <c r="C1071" i="4"/>
  <c r="E1070" i="4"/>
  <c r="D1070" i="4"/>
  <c r="C1070" i="4"/>
  <c r="E1069" i="4"/>
  <c r="D1069" i="4"/>
  <c r="C1069" i="4"/>
  <c r="E1068" i="4"/>
  <c r="D1068" i="4"/>
  <c r="C1068" i="4"/>
  <c r="E1067" i="4"/>
  <c r="D1067" i="4"/>
  <c r="C1067" i="4"/>
  <c r="E1066" i="4"/>
  <c r="D1066" i="4"/>
  <c r="C1066" i="4"/>
  <c r="E1065" i="4"/>
  <c r="D1065" i="4"/>
  <c r="C1065" i="4"/>
  <c r="E1064" i="4"/>
  <c r="D1064" i="4"/>
  <c r="C1064" i="4"/>
  <c r="E1063" i="4"/>
  <c r="D1063" i="4"/>
  <c r="C1063" i="4"/>
  <c r="E1062" i="4"/>
  <c r="D1062" i="4"/>
  <c r="C1062" i="4"/>
  <c r="E1061" i="4"/>
  <c r="D1061" i="4"/>
  <c r="C1061" i="4"/>
  <c r="E1060" i="4"/>
  <c r="D1060" i="4"/>
  <c r="C1060" i="4"/>
  <c r="E1059" i="4"/>
  <c r="D1059" i="4"/>
  <c r="C1059" i="4"/>
  <c r="E1058" i="4"/>
  <c r="D1058" i="4"/>
  <c r="C1058" i="4"/>
  <c r="E1057" i="4"/>
  <c r="D1057" i="4"/>
  <c r="C1057" i="4"/>
  <c r="E1056" i="4"/>
  <c r="D1056" i="4"/>
  <c r="C1056" i="4"/>
  <c r="E1055" i="4"/>
  <c r="D1055" i="4"/>
  <c r="C1055" i="4"/>
  <c r="E1054" i="4"/>
  <c r="D1054" i="4"/>
  <c r="C1054" i="4"/>
  <c r="E1053" i="4"/>
  <c r="D1053" i="4"/>
  <c r="C1053" i="4"/>
  <c r="E1052" i="4"/>
  <c r="D1052" i="4"/>
  <c r="C1052" i="4"/>
  <c r="E1051" i="4"/>
  <c r="D1051" i="4"/>
  <c r="C1051" i="4"/>
  <c r="E1050" i="4"/>
  <c r="D1050" i="4"/>
  <c r="C1050" i="4"/>
  <c r="E1049" i="4"/>
  <c r="D1049" i="4"/>
  <c r="C1049" i="4"/>
  <c r="E1048" i="4"/>
  <c r="D1048" i="4"/>
  <c r="C1048" i="4"/>
  <c r="E1047" i="4"/>
  <c r="D1047" i="4"/>
  <c r="C1047" i="4"/>
  <c r="E1046" i="4"/>
  <c r="D1046" i="4"/>
  <c r="C1046" i="4"/>
  <c r="E1045" i="4"/>
  <c r="D1045" i="4"/>
  <c r="C1045" i="4"/>
  <c r="E1044" i="4"/>
  <c r="D1044" i="4"/>
  <c r="C1044" i="4"/>
  <c r="E1043" i="4"/>
  <c r="D1043" i="4"/>
  <c r="C1043" i="4"/>
  <c r="E1042" i="4"/>
  <c r="D1042" i="4"/>
  <c r="C1042" i="4"/>
  <c r="E1041" i="4"/>
  <c r="D1041" i="4"/>
  <c r="C1041" i="4"/>
  <c r="E1040" i="4"/>
  <c r="D1040" i="4"/>
  <c r="C1040" i="4"/>
  <c r="E1039" i="4"/>
  <c r="D1039" i="4"/>
  <c r="C1039" i="4"/>
  <c r="E1038" i="4"/>
  <c r="D1038" i="4"/>
  <c r="C1038" i="4"/>
  <c r="E1037" i="4"/>
  <c r="D1037" i="4"/>
  <c r="C1037" i="4"/>
  <c r="E1036" i="4"/>
  <c r="D1036" i="4"/>
  <c r="C1036" i="4"/>
  <c r="E1035" i="4"/>
  <c r="D1035" i="4"/>
  <c r="C1035" i="4"/>
  <c r="E1034" i="4"/>
  <c r="D1034" i="4"/>
  <c r="C1034" i="4"/>
  <c r="E1033" i="4"/>
  <c r="D1033" i="4"/>
  <c r="C1033" i="4"/>
  <c r="E1032" i="4"/>
  <c r="D1032" i="4"/>
  <c r="C1032" i="4"/>
  <c r="E1031" i="4"/>
  <c r="D1031" i="4"/>
  <c r="C1031" i="4"/>
  <c r="E1030" i="4"/>
  <c r="D1030" i="4"/>
  <c r="C1030" i="4"/>
  <c r="E1029" i="4"/>
  <c r="D1029" i="4"/>
  <c r="C1029" i="4"/>
  <c r="E1028" i="4"/>
  <c r="D1028" i="4"/>
  <c r="C1028" i="4"/>
  <c r="E1027" i="4"/>
  <c r="D1027" i="4"/>
  <c r="C1027" i="4"/>
  <c r="E1026" i="4"/>
  <c r="D1026" i="4"/>
  <c r="C1026" i="4"/>
  <c r="E1025" i="4"/>
  <c r="D1025" i="4"/>
  <c r="C1025" i="4"/>
  <c r="E1024" i="4"/>
  <c r="D1024" i="4"/>
  <c r="C1024" i="4"/>
  <c r="E1023" i="4"/>
  <c r="D1023" i="4"/>
  <c r="C1023" i="4"/>
  <c r="E1022" i="4"/>
  <c r="D1022" i="4"/>
  <c r="C1022" i="4"/>
  <c r="E1021" i="4"/>
  <c r="D1021" i="4"/>
  <c r="C1021" i="4"/>
  <c r="E1020" i="4"/>
  <c r="D1020" i="4"/>
  <c r="C1020" i="4"/>
  <c r="E1019" i="4"/>
  <c r="D1019" i="4"/>
  <c r="C1019" i="4"/>
  <c r="E1018" i="4"/>
  <c r="D1018" i="4"/>
  <c r="C1018" i="4"/>
  <c r="E1017" i="4"/>
  <c r="D1017" i="4"/>
  <c r="C1017" i="4"/>
  <c r="E1016" i="4"/>
  <c r="D1016" i="4"/>
  <c r="C1016" i="4"/>
  <c r="E1015" i="4"/>
  <c r="D1015" i="4"/>
  <c r="C1015" i="4"/>
  <c r="E1014" i="4"/>
  <c r="D1014" i="4"/>
  <c r="C1014" i="4"/>
  <c r="E1013" i="4"/>
  <c r="D1013" i="4"/>
  <c r="C1013" i="4"/>
  <c r="E1012" i="4"/>
  <c r="D1012" i="4"/>
  <c r="C1012" i="4"/>
  <c r="E1011" i="4"/>
  <c r="D1011" i="4"/>
  <c r="C1011" i="4"/>
  <c r="E1010" i="4"/>
  <c r="D1010" i="4"/>
  <c r="C1010" i="4"/>
  <c r="E1009" i="4"/>
  <c r="D1009" i="4"/>
  <c r="C1009" i="4"/>
  <c r="E1008" i="4"/>
  <c r="D1008" i="4"/>
  <c r="C1008" i="4"/>
  <c r="E1007" i="4"/>
  <c r="D1007" i="4"/>
  <c r="C1007" i="4"/>
  <c r="E1006" i="4"/>
  <c r="D1006" i="4"/>
  <c r="C1006" i="4"/>
  <c r="E1005" i="4"/>
  <c r="D1005" i="4"/>
  <c r="C1005" i="4"/>
  <c r="E1004" i="4"/>
  <c r="D1004" i="4"/>
  <c r="C1004" i="4"/>
  <c r="E1003" i="4"/>
  <c r="D1003" i="4"/>
  <c r="C1003" i="4"/>
  <c r="E1002" i="4"/>
  <c r="D1002" i="4"/>
  <c r="C1002" i="4"/>
  <c r="E1001" i="4"/>
  <c r="D1001" i="4"/>
  <c r="C1001" i="4"/>
  <c r="E1000" i="4"/>
  <c r="D1000" i="4"/>
  <c r="C1000" i="4"/>
  <c r="E999" i="4"/>
  <c r="D999" i="4"/>
  <c r="C999" i="4"/>
  <c r="E998" i="4"/>
  <c r="D998" i="4"/>
  <c r="C998" i="4"/>
  <c r="E997" i="4"/>
  <c r="D997" i="4"/>
  <c r="C997" i="4"/>
  <c r="E996" i="4"/>
  <c r="D996" i="4"/>
  <c r="C996" i="4"/>
  <c r="E995" i="4"/>
  <c r="D995" i="4"/>
  <c r="C995" i="4"/>
  <c r="E994" i="4"/>
  <c r="D994" i="4"/>
  <c r="C994" i="4"/>
  <c r="E993" i="4"/>
  <c r="D993" i="4"/>
  <c r="C993" i="4"/>
  <c r="E992" i="4"/>
  <c r="D992" i="4"/>
  <c r="C992" i="4"/>
  <c r="E991" i="4"/>
  <c r="D991" i="4"/>
  <c r="C991" i="4"/>
  <c r="E990" i="4"/>
  <c r="D990" i="4"/>
  <c r="C990" i="4"/>
  <c r="E989" i="4"/>
  <c r="D989" i="4"/>
  <c r="C989" i="4"/>
  <c r="E988" i="4"/>
  <c r="D988" i="4"/>
  <c r="C988" i="4"/>
  <c r="E987" i="4"/>
  <c r="D987" i="4"/>
  <c r="C987" i="4"/>
  <c r="E986" i="4"/>
  <c r="D986" i="4"/>
  <c r="C986" i="4"/>
  <c r="E985" i="4"/>
  <c r="D985" i="4"/>
  <c r="C985" i="4"/>
  <c r="E984" i="4"/>
  <c r="D984" i="4"/>
  <c r="C984" i="4"/>
  <c r="E983" i="4"/>
  <c r="D983" i="4"/>
  <c r="C983" i="4"/>
  <c r="E982" i="4"/>
  <c r="D982" i="4"/>
  <c r="C982" i="4"/>
  <c r="E981" i="4"/>
  <c r="D981" i="4"/>
  <c r="C981" i="4"/>
  <c r="E980" i="4"/>
  <c r="D980" i="4"/>
  <c r="C980" i="4"/>
  <c r="E979" i="4"/>
  <c r="D979" i="4"/>
  <c r="C979" i="4"/>
  <c r="E978" i="4"/>
  <c r="D978" i="4"/>
  <c r="C978" i="4"/>
  <c r="E977" i="4"/>
  <c r="D977" i="4"/>
  <c r="C977" i="4"/>
  <c r="E976" i="4"/>
  <c r="D976" i="4"/>
  <c r="C976" i="4"/>
  <c r="E975" i="4"/>
  <c r="D975" i="4"/>
  <c r="C975" i="4"/>
  <c r="E974" i="4"/>
  <c r="D974" i="4"/>
  <c r="C974" i="4"/>
  <c r="E973" i="4"/>
  <c r="D973" i="4"/>
  <c r="C973" i="4"/>
  <c r="E972" i="4"/>
  <c r="D972" i="4"/>
  <c r="C972" i="4"/>
  <c r="E971" i="4"/>
  <c r="D971" i="4"/>
  <c r="C971" i="4"/>
  <c r="E970" i="4"/>
  <c r="D970" i="4"/>
  <c r="C970" i="4"/>
  <c r="E969" i="4"/>
  <c r="D969" i="4"/>
  <c r="C969" i="4"/>
  <c r="E968" i="4"/>
  <c r="D968" i="4"/>
  <c r="C968" i="4"/>
  <c r="E967" i="4"/>
  <c r="D967" i="4"/>
  <c r="C967" i="4"/>
  <c r="E966" i="4"/>
  <c r="D966" i="4"/>
  <c r="C966" i="4"/>
  <c r="E965" i="4"/>
  <c r="D965" i="4"/>
  <c r="C965" i="4"/>
  <c r="E964" i="4"/>
  <c r="D964" i="4"/>
  <c r="C964" i="4"/>
  <c r="E963" i="4"/>
  <c r="D963" i="4"/>
  <c r="C963" i="4"/>
  <c r="E962" i="4"/>
  <c r="D962" i="4"/>
  <c r="C962" i="4"/>
  <c r="E961" i="4"/>
  <c r="D961" i="4"/>
  <c r="C961" i="4"/>
  <c r="E960" i="4"/>
  <c r="D960" i="4"/>
  <c r="C960" i="4"/>
  <c r="E959" i="4"/>
  <c r="D959" i="4"/>
  <c r="C959" i="4"/>
  <c r="E958" i="4"/>
  <c r="D958" i="4"/>
  <c r="C958" i="4"/>
  <c r="E957" i="4"/>
  <c r="D957" i="4"/>
  <c r="C957" i="4"/>
  <c r="E956" i="4"/>
  <c r="D956" i="4"/>
  <c r="C956" i="4"/>
  <c r="E955" i="4"/>
  <c r="D955" i="4"/>
  <c r="C955" i="4"/>
  <c r="E954" i="4"/>
  <c r="D954" i="4"/>
  <c r="C954" i="4"/>
  <c r="E953" i="4"/>
  <c r="D953" i="4"/>
  <c r="C953" i="4"/>
  <c r="E952" i="4"/>
  <c r="D952" i="4"/>
  <c r="C952" i="4"/>
  <c r="E951" i="4"/>
  <c r="D951" i="4"/>
  <c r="C951" i="4"/>
  <c r="E950" i="4"/>
  <c r="D950" i="4"/>
  <c r="C950" i="4"/>
  <c r="E949" i="4"/>
  <c r="D949" i="4"/>
  <c r="C949" i="4"/>
  <c r="E948" i="4"/>
  <c r="D948" i="4"/>
  <c r="C948" i="4"/>
  <c r="E947" i="4"/>
  <c r="D947" i="4"/>
  <c r="C947" i="4"/>
  <c r="E946" i="4"/>
  <c r="D946" i="4"/>
  <c r="C946" i="4"/>
  <c r="E945" i="4"/>
  <c r="D945" i="4"/>
  <c r="C945" i="4"/>
  <c r="E944" i="4"/>
  <c r="D944" i="4"/>
  <c r="C944" i="4"/>
  <c r="E943" i="4"/>
  <c r="D943" i="4"/>
  <c r="C943" i="4"/>
  <c r="E942" i="4"/>
  <c r="D942" i="4"/>
  <c r="C942" i="4"/>
  <c r="E941" i="4"/>
  <c r="D941" i="4"/>
  <c r="C941" i="4"/>
  <c r="E940" i="4"/>
  <c r="D940" i="4"/>
  <c r="C940" i="4"/>
  <c r="E939" i="4"/>
  <c r="D939" i="4"/>
  <c r="C939" i="4"/>
  <c r="E938" i="4"/>
  <c r="D938" i="4"/>
  <c r="C938" i="4"/>
  <c r="E937" i="4"/>
  <c r="D937" i="4"/>
  <c r="C937" i="4"/>
  <c r="E936" i="4"/>
  <c r="D936" i="4"/>
  <c r="C936" i="4"/>
  <c r="E935" i="4"/>
  <c r="D935" i="4"/>
  <c r="C935" i="4"/>
  <c r="E934" i="4"/>
  <c r="D934" i="4"/>
  <c r="C934" i="4"/>
  <c r="E933" i="4"/>
  <c r="D933" i="4"/>
  <c r="C933" i="4"/>
  <c r="E932" i="4"/>
  <c r="D932" i="4"/>
  <c r="C932" i="4"/>
  <c r="E931" i="4"/>
  <c r="D931" i="4"/>
  <c r="C931" i="4"/>
  <c r="E930" i="4"/>
  <c r="D930" i="4"/>
  <c r="C930" i="4"/>
  <c r="E929" i="4"/>
  <c r="D929" i="4"/>
  <c r="C929" i="4"/>
  <c r="E928" i="4"/>
  <c r="D928" i="4"/>
  <c r="C928" i="4"/>
  <c r="E927" i="4"/>
  <c r="D927" i="4"/>
  <c r="C927" i="4"/>
  <c r="E926" i="4"/>
  <c r="D926" i="4"/>
  <c r="C926" i="4"/>
  <c r="E925" i="4"/>
  <c r="D925" i="4"/>
  <c r="C925" i="4"/>
  <c r="E924" i="4"/>
  <c r="D924" i="4"/>
  <c r="C924" i="4"/>
  <c r="E923" i="4"/>
  <c r="D923" i="4"/>
  <c r="C923" i="4"/>
  <c r="E922" i="4"/>
  <c r="D922" i="4"/>
  <c r="C922" i="4"/>
  <c r="E921" i="4"/>
  <c r="D921" i="4"/>
  <c r="C921" i="4"/>
  <c r="E920" i="4"/>
  <c r="D920" i="4"/>
  <c r="C920" i="4"/>
  <c r="E919" i="4"/>
  <c r="D919" i="4"/>
  <c r="C919" i="4"/>
  <c r="E918" i="4"/>
  <c r="D918" i="4"/>
  <c r="C918" i="4"/>
  <c r="E917" i="4"/>
  <c r="D917" i="4"/>
  <c r="C917" i="4"/>
  <c r="E916" i="4"/>
  <c r="D916" i="4"/>
  <c r="C916" i="4"/>
  <c r="E915" i="4"/>
  <c r="D915" i="4"/>
  <c r="C915" i="4"/>
  <c r="E914" i="4"/>
  <c r="D914" i="4"/>
  <c r="C914" i="4"/>
  <c r="E913" i="4"/>
  <c r="D913" i="4"/>
  <c r="C913" i="4"/>
  <c r="E912" i="4"/>
  <c r="D912" i="4"/>
  <c r="C912" i="4"/>
  <c r="E911" i="4"/>
  <c r="D911" i="4"/>
  <c r="C911" i="4"/>
  <c r="E910" i="4"/>
  <c r="D910" i="4"/>
  <c r="C910" i="4"/>
  <c r="E909" i="4"/>
  <c r="D909" i="4"/>
  <c r="C909" i="4"/>
  <c r="E908" i="4"/>
  <c r="D908" i="4"/>
  <c r="C908" i="4"/>
  <c r="E907" i="4"/>
  <c r="D907" i="4"/>
  <c r="C907" i="4"/>
  <c r="E906" i="4"/>
  <c r="D906" i="4"/>
  <c r="C906" i="4"/>
  <c r="E905" i="4"/>
  <c r="D905" i="4"/>
  <c r="C905" i="4"/>
  <c r="E904" i="4"/>
  <c r="D904" i="4"/>
  <c r="C904" i="4"/>
  <c r="E903" i="4"/>
  <c r="D903" i="4"/>
  <c r="C903" i="4"/>
  <c r="E902" i="4"/>
  <c r="D902" i="4"/>
  <c r="C902" i="4"/>
  <c r="E901" i="4"/>
  <c r="D901" i="4"/>
  <c r="C901" i="4"/>
  <c r="E900" i="4"/>
  <c r="D900" i="4"/>
  <c r="C900" i="4"/>
  <c r="E899" i="4"/>
  <c r="D899" i="4"/>
  <c r="C899" i="4"/>
  <c r="E898" i="4"/>
  <c r="D898" i="4"/>
  <c r="C898" i="4"/>
  <c r="E897" i="4"/>
  <c r="D897" i="4"/>
  <c r="C897" i="4"/>
  <c r="E896" i="4"/>
  <c r="D896" i="4"/>
  <c r="C896" i="4"/>
  <c r="E895" i="4"/>
  <c r="D895" i="4"/>
  <c r="C895" i="4"/>
  <c r="E894" i="4"/>
  <c r="D894" i="4"/>
  <c r="C894" i="4"/>
  <c r="E893" i="4"/>
  <c r="D893" i="4"/>
  <c r="C893" i="4"/>
  <c r="E892" i="4"/>
  <c r="D892" i="4"/>
  <c r="C892" i="4"/>
  <c r="E891" i="4"/>
  <c r="D891" i="4"/>
  <c r="C891" i="4"/>
  <c r="E890" i="4"/>
  <c r="D890" i="4"/>
  <c r="C890" i="4"/>
  <c r="E889" i="4"/>
  <c r="D889" i="4"/>
  <c r="C889" i="4"/>
  <c r="E888" i="4"/>
  <c r="D888" i="4"/>
  <c r="C888" i="4"/>
  <c r="E887" i="4"/>
  <c r="D887" i="4"/>
  <c r="C887" i="4"/>
  <c r="E886" i="4"/>
  <c r="D886" i="4"/>
  <c r="C886" i="4"/>
  <c r="E885" i="4"/>
  <c r="D885" i="4"/>
  <c r="C885" i="4"/>
  <c r="E884" i="4"/>
  <c r="D884" i="4"/>
  <c r="C884" i="4"/>
  <c r="E883" i="4"/>
  <c r="D883" i="4"/>
  <c r="C883" i="4"/>
  <c r="E882" i="4"/>
  <c r="D882" i="4"/>
  <c r="C882" i="4"/>
  <c r="E881" i="4"/>
  <c r="D881" i="4"/>
  <c r="C881" i="4"/>
  <c r="E880" i="4"/>
  <c r="D880" i="4"/>
  <c r="C880" i="4"/>
  <c r="E879" i="4"/>
  <c r="D879" i="4"/>
  <c r="C879" i="4"/>
  <c r="E878" i="4"/>
  <c r="D878" i="4"/>
  <c r="C878" i="4"/>
  <c r="E877" i="4"/>
  <c r="D877" i="4"/>
  <c r="C877" i="4"/>
  <c r="E876" i="4"/>
  <c r="D876" i="4"/>
  <c r="C876" i="4"/>
  <c r="E875" i="4"/>
  <c r="D875" i="4"/>
  <c r="C875" i="4"/>
  <c r="E874" i="4"/>
  <c r="D874" i="4"/>
  <c r="C874" i="4"/>
  <c r="E873" i="4"/>
  <c r="D873" i="4"/>
  <c r="C873" i="4"/>
  <c r="E872" i="4"/>
  <c r="D872" i="4"/>
  <c r="C872" i="4"/>
  <c r="E871" i="4"/>
  <c r="D871" i="4"/>
  <c r="C871" i="4"/>
  <c r="E870" i="4"/>
  <c r="D870" i="4"/>
  <c r="C870" i="4"/>
  <c r="E869" i="4"/>
  <c r="D869" i="4"/>
  <c r="C869" i="4"/>
  <c r="E868" i="4"/>
  <c r="D868" i="4"/>
  <c r="C868" i="4"/>
  <c r="E867" i="4"/>
  <c r="D867" i="4"/>
  <c r="C867" i="4"/>
  <c r="E866" i="4"/>
  <c r="D866" i="4"/>
  <c r="C866" i="4"/>
  <c r="E865" i="4"/>
  <c r="D865" i="4"/>
  <c r="C865" i="4"/>
  <c r="E864" i="4"/>
  <c r="D864" i="4"/>
  <c r="C864" i="4"/>
  <c r="E863" i="4"/>
  <c r="D863" i="4"/>
  <c r="C863" i="4"/>
  <c r="E862" i="4"/>
  <c r="D862" i="4"/>
  <c r="C862" i="4"/>
  <c r="E861" i="4"/>
  <c r="D861" i="4"/>
  <c r="C861" i="4"/>
  <c r="E860" i="4"/>
  <c r="D860" i="4"/>
  <c r="C860" i="4"/>
  <c r="E859" i="4"/>
  <c r="D859" i="4"/>
  <c r="C859" i="4"/>
  <c r="E858" i="4"/>
  <c r="D858" i="4"/>
  <c r="C858" i="4"/>
  <c r="E857" i="4"/>
  <c r="D857" i="4"/>
  <c r="C857" i="4"/>
  <c r="E856" i="4"/>
  <c r="D856" i="4"/>
  <c r="C856" i="4"/>
  <c r="E855" i="4"/>
  <c r="D855" i="4"/>
  <c r="C855" i="4"/>
  <c r="E854" i="4"/>
  <c r="D854" i="4"/>
  <c r="C854" i="4"/>
  <c r="E853" i="4"/>
  <c r="D853" i="4"/>
  <c r="C853" i="4"/>
  <c r="E852" i="4"/>
  <c r="D852" i="4"/>
  <c r="C852" i="4"/>
  <c r="E851" i="4"/>
  <c r="D851" i="4"/>
  <c r="C851" i="4"/>
  <c r="E850" i="4"/>
  <c r="D850" i="4"/>
  <c r="C850" i="4"/>
  <c r="E849" i="4"/>
  <c r="D849" i="4"/>
  <c r="C849" i="4"/>
  <c r="E848" i="4"/>
  <c r="D848" i="4"/>
  <c r="C848" i="4"/>
  <c r="E847" i="4"/>
  <c r="D847" i="4"/>
  <c r="C847" i="4"/>
  <c r="E846" i="4"/>
  <c r="D846" i="4"/>
  <c r="C846" i="4"/>
  <c r="E845" i="4"/>
  <c r="D845" i="4"/>
  <c r="C845" i="4"/>
  <c r="E844" i="4"/>
  <c r="D844" i="4"/>
  <c r="C844" i="4"/>
  <c r="E843" i="4"/>
  <c r="D843" i="4"/>
  <c r="C843" i="4"/>
  <c r="E842" i="4"/>
  <c r="D842" i="4"/>
  <c r="C842" i="4"/>
  <c r="E841" i="4"/>
  <c r="D841" i="4"/>
  <c r="C841" i="4"/>
  <c r="E840" i="4"/>
  <c r="D840" i="4"/>
  <c r="C840" i="4"/>
  <c r="E839" i="4"/>
  <c r="D839" i="4"/>
  <c r="C839" i="4"/>
  <c r="E838" i="4"/>
  <c r="D838" i="4"/>
  <c r="C838" i="4"/>
  <c r="E837" i="4"/>
  <c r="D837" i="4"/>
  <c r="C837" i="4"/>
  <c r="E836" i="4"/>
  <c r="D836" i="4"/>
  <c r="C836" i="4"/>
  <c r="E835" i="4"/>
  <c r="D835" i="4"/>
  <c r="C835" i="4"/>
  <c r="E834" i="4"/>
  <c r="D834" i="4"/>
  <c r="C834" i="4"/>
  <c r="E833" i="4"/>
  <c r="D833" i="4"/>
  <c r="C833" i="4"/>
  <c r="E832" i="4"/>
  <c r="D832" i="4"/>
  <c r="C832" i="4"/>
  <c r="E831" i="4"/>
  <c r="D831" i="4"/>
  <c r="C831" i="4"/>
  <c r="E830" i="4"/>
  <c r="D830" i="4"/>
  <c r="C830" i="4"/>
  <c r="E829" i="4"/>
  <c r="D829" i="4"/>
  <c r="C829" i="4"/>
  <c r="E828" i="4"/>
  <c r="D828" i="4"/>
  <c r="C828" i="4"/>
  <c r="E827" i="4"/>
  <c r="D827" i="4"/>
  <c r="C827" i="4"/>
  <c r="E826" i="4"/>
  <c r="D826" i="4"/>
  <c r="C826" i="4"/>
  <c r="E825" i="4"/>
  <c r="D825" i="4"/>
  <c r="C825" i="4"/>
  <c r="E824" i="4"/>
  <c r="D824" i="4"/>
  <c r="C824" i="4"/>
  <c r="E823" i="4"/>
  <c r="D823" i="4"/>
  <c r="C823" i="4"/>
  <c r="E822" i="4"/>
  <c r="D822" i="4"/>
  <c r="C822" i="4"/>
  <c r="E821" i="4"/>
  <c r="D821" i="4"/>
  <c r="C821" i="4"/>
  <c r="E820" i="4"/>
  <c r="D820" i="4"/>
  <c r="C820" i="4"/>
  <c r="E819" i="4"/>
  <c r="D819" i="4"/>
  <c r="C819" i="4"/>
  <c r="E818" i="4"/>
  <c r="D818" i="4"/>
  <c r="C818" i="4"/>
  <c r="E817" i="4"/>
  <c r="D817" i="4"/>
  <c r="C817" i="4"/>
  <c r="E816" i="4"/>
  <c r="D816" i="4"/>
  <c r="C816" i="4"/>
  <c r="E815" i="4"/>
  <c r="D815" i="4"/>
  <c r="C815" i="4"/>
  <c r="E814" i="4"/>
  <c r="D814" i="4"/>
  <c r="C814" i="4"/>
  <c r="E813" i="4"/>
  <c r="D813" i="4"/>
  <c r="C813" i="4"/>
  <c r="E812" i="4"/>
  <c r="D812" i="4"/>
  <c r="C812" i="4"/>
  <c r="E811" i="4"/>
  <c r="D811" i="4"/>
  <c r="C811" i="4"/>
  <c r="E810" i="4"/>
  <c r="D810" i="4"/>
  <c r="C810" i="4"/>
  <c r="E809" i="4"/>
  <c r="D809" i="4"/>
  <c r="C809" i="4"/>
  <c r="E808" i="4"/>
  <c r="D808" i="4"/>
  <c r="C808" i="4"/>
  <c r="E807" i="4"/>
  <c r="D807" i="4"/>
  <c r="C807" i="4"/>
  <c r="E806" i="4"/>
  <c r="D806" i="4"/>
  <c r="C806" i="4"/>
  <c r="E805" i="4"/>
  <c r="D805" i="4"/>
  <c r="C805" i="4"/>
  <c r="E804" i="4"/>
  <c r="D804" i="4"/>
  <c r="C804" i="4"/>
  <c r="E803" i="4"/>
  <c r="D803" i="4"/>
  <c r="C803" i="4"/>
  <c r="E802" i="4"/>
  <c r="D802" i="4"/>
  <c r="C802" i="4"/>
  <c r="E801" i="4"/>
  <c r="D801" i="4"/>
  <c r="C801" i="4"/>
  <c r="E800" i="4"/>
  <c r="D800" i="4"/>
  <c r="C800" i="4"/>
  <c r="E799" i="4"/>
  <c r="D799" i="4"/>
  <c r="C799" i="4"/>
  <c r="E798" i="4"/>
  <c r="D798" i="4"/>
  <c r="C798" i="4"/>
  <c r="E797" i="4"/>
  <c r="D797" i="4"/>
  <c r="C797" i="4"/>
  <c r="E796" i="4"/>
  <c r="D796" i="4"/>
  <c r="C796" i="4"/>
  <c r="E795" i="4"/>
  <c r="D795" i="4"/>
  <c r="C795" i="4"/>
  <c r="E794" i="4"/>
  <c r="D794" i="4"/>
  <c r="C794" i="4"/>
  <c r="E793" i="4"/>
  <c r="D793" i="4"/>
  <c r="C793" i="4"/>
  <c r="E792" i="4"/>
  <c r="D792" i="4"/>
  <c r="C792" i="4"/>
  <c r="E791" i="4"/>
  <c r="D791" i="4"/>
  <c r="C791" i="4"/>
  <c r="E790" i="4"/>
  <c r="D790" i="4"/>
  <c r="C790" i="4"/>
  <c r="E789" i="4"/>
  <c r="D789" i="4"/>
  <c r="C789" i="4"/>
  <c r="E788" i="4"/>
  <c r="D788" i="4"/>
  <c r="C788" i="4"/>
  <c r="E787" i="4"/>
  <c r="D787" i="4"/>
  <c r="C787" i="4"/>
  <c r="E786" i="4"/>
  <c r="D786" i="4"/>
  <c r="C786" i="4"/>
  <c r="E785" i="4"/>
  <c r="D785" i="4"/>
  <c r="C785" i="4"/>
  <c r="E784" i="4"/>
  <c r="D784" i="4"/>
  <c r="C784" i="4"/>
  <c r="E783" i="4"/>
  <c r="D783" i="4"/>
  <c r="C783" i="4"/>
  <c r="E782" i="4"/>
  <c r="D782" i="4"/>
  <c r="C782" i="4"/>
  <c r="E781" i="4"/>
  <c r="D781" i="4"/>
  <c r="C781" i="4"/>
  <c r="E780" i="4"/>
  <c r="D780" i="4"/>
  <c r="C780" i="4"/>
  <c r="E779" i="4"/>
  <c r="D779" i="4"/>
  <c r="C779" i="4"/>
  <c r="E778" i="4"/>
  <c r="D778" i="4"/>
  <c r="C778" i="4"/>
  <c r="E777" i="4"/>
  <c r="D777" i="4"/>
  <c r="C777" i="4"/>
  <c r="E776" i="4"/>
  <c r="D776" i="4"/>
  <c r="C776" i="4"/>
  <c r="E775" i="4"/>
  <c r="D775" i="4"/>
  <c r="C775" i="4"/>
  <c r="E774" i="4"/>
  <c r="D774" i="4"/>
  <c r="C774" i="4"/>
  <c r="E773" i="4"/>
  <c r="D773" i="4"/>
  <c r="C773" i="4"/>
  <c r="E772" i="4"/>
  <c r="D772" i="4"/>
  <c r="C772" i="4"/>
  <c r="E771" i="4"/>
  <c r="D771" i="4"/>
  <c r="C771" i="4"/>
  <c r="E770" i="4"/>
  <c r="D770" i="4"/>
  <c r="C770" i="4"/>
  <c r="E769" i="4"/>
  <c r="D769" i="4"/>
  <c r="C769" i="4"/>
  <c r="E768" i="4"/>
  <c r="D768" i="4"/>
  <c r="C768" i="4"/>
  <c r="E767" i="4"/>
  <c r="D767" i="4"/>
  <c r="C767" i="4"/>
  <c r="E766" i="4"/>
  <c r="D766" i="4"/>
  <c r="C766" i="4"/>
  <c r="E765" i="4"/>
  <c r="D765" i="4"/>
  <c r="C765" i="4"/>
  <c r="E764" i="4"/>
  <c r="D764" i="4"/>
  <c r="C764" i="4"/>
  <c r="E763" i="4"/>
  <c r="D763" i="4"/>
  <c r="C763" i="4"/>
  <c r="E762" i="4"/>
  <c r="D762" i="4"/>
  <c r="C762" i="4"/>
  <c r="E761" i="4"/>
  <c r="D761" i="4"/>
  <c r="C761" i="4"/>
  <c r="E760" i="4"/>
  <c r="D760" i="4"/>
  <c r="C760" i="4"/>
  <c r="E759" i="4"/>
  <c r="D759" i="4"/>
  <c r="C759" i="4"/>
  <c r="E758" i="4"/>
  <c r="D758" i="4"/>
  <c r="C758" i="4"/>
  <c r="E757" i="4"/>
  <c r="D757" i="4"/>
  <c r="C757" i="4"/>
  <c r="E756" i="4"/>
  <c r="D756" i="4"/>
  <c r="C756" i="4"/>
  <c r="E755" i="4"/>
  <c r="D755" i="4"/>
  <c r="C755" i="4"/>
  <c r="E754" i="4"/>
  <c r="D754" i="4"/>
  <c r="C754" i="4"/>
  <c r="E753" i="4"/>
  <c r="D753" i="4"/>
  <c r="C753" i="4"/>
  <c r="E752" i="4"/>
  <c r="D752" i="4"/>
  <c r="C752" i="4"/>
  <c r="E751" i="4"/>
  <c r="D751" i="4"/>
  <c r="C751" i="4"/>
  <c r="E750" i="4"/>
  <c r="D750" i="4"/>
  <c r="C750" i="4"/>
  <c r="E749" i="4"/>
  <c r="D749" i="4"/>
  <c r="C749" i="4"/>
  <c r="E748" i="4"/>
  <c r="D748" i="4"/>
  <c r="C748" i="4"/>
  <c r="E747" i="4"/>
  <c r="D747" i="4"/>
  <c r="C747" i="4"/>
  <c r="E746" i="4"/>
  <c r="D746" i="4"/>
  <c r="C746" i="4"/>
  <c r="E745" i="4"/>
  <c r="D745" i="4"/>
  <c r="C745" i="4"/>
  <c r="E744" i="4"/>
  <c r="D744" i="4"/>
  <c r="C744" i="4"/>
  <c r="E743" i="4"/>
  <c r="D743" i="4"/>
  <c r="C743" i="4"/>
  <c r="E742" i="4"/>
  <c r="D742" i="4"/>
  <c r="C742" i="4"/>
  <c r="E741" i="4"/>
  <c r="D741" i="4"/>
  <c r="C741" i="4"/>
  <c r="E740" i="4"/>
  <c r="D740" i="4"/>
  <c r="C740" i="4"/>
  <c r="E739" i="4"/>
  <c r="D739" i="4"/>
  <c r="C739" i="4"/>
  <c r="E738" i="4"/>
  <c r="D738" i="4"/>
  <c r="C738" i="4"/>
  <c r="E737" i="4"/>
  <c r="D737" i="4"/>
  <c r="C737" i="4"/>
  <c r="E736" i="4"/>
  <c r="D736" i="4"/>
  <c r="C736" i="4"/>
  <c r="E735" i="4"/>
  <c r="D735" i="4"/>
  <c r="C735" i="4"/>
  <c r="E734" i="4"/>
  <c r="D734" i="4"/>
  <c r="C734" i="4"/>
  <c r="E733" i="4"/>
  <c r="D733" i="4"/>
  <c r="C733" i="4"/>
  <c r="E732" i="4"/>
  <c r="D732" i="4"/>
  <c r="C732" i="4"/>
  <c r="E731" i="4"/>
  <c r="D731" i="4"/>
  <c r="C731" i="4"/>
  <c r="E730" i="4"/>
  <c r="D730" i="4"/>
  <c r="C730" i="4"/>
  <c r="E729" i="4"/>
  <c r="D729" i="4"/>
  <c r="C729" i="4"/>
  <c r="E728" i="4"/>
  <c r="D728" i="4"/>
  <c r="C728" i="4"/>
  <c r="E727" i="4"/>
  <c r="D727" i="4"/>
  <c r="C727" i="4"/>
  <c r="E726" i="4"/>
  <c r="D726" i="4"/>
  <c r="C726" i="4"/>
  <c r="E725" i="4"/>
  <c r="D725" i="4"/>
  <c r="C725" i="4"/>
  <c r="E724" i="4"/>
  <c r="D724" i="4"/>
  <c r="C724" i="4"/>
  <c r="E723" i="4"/>
  <c r="D723" i="4"/>
  <c r="C723" i="4"/>
  <c r="E722" i="4"/>
  <c r="D722" i="4"/>
  <c r="C722" i="4"/>
  <c r="E721" i="4"/>
  <c r="D721" i="4"/>
  <c r="C721" i="4"/>
  <c r="E720" i="4"/>
  <c r="D720" i="4"/>
  <c r="C720" i="4"/>
  <c r="E719" i="4"/>
  <c r="D719" i="4"/>
  <c r="C719" i="4"/>
  <c r="E718" i="4"/>
  <c r="D718" i="4"/>
  <c r="C718" i="4"/>
  <c r="E717" i="4"/>
  <c r="D717" i="4"/>
  <c r="C717" i="4"/>
  <c r="E716" i="4"/>
  <c r="D716" i="4"/>
  <c r="C716" i="4"/>
  <c r="E715" i="4"/>
  <c r="D715" i="4"/>
  <c r="C715" i="4"/>
  <c r="E714" i="4"/>
  <c r="D714" i="4"/>
  <c r="C714" i="4"/>
  <c r="E713" i="4"/>
  <c r="D713" i="4"/>
  <c r="C713" i="4"/>
  <c r="E712" i="4"/>
  <c r="D712" i="4"/>
  <c r="C712" i="4"/>
  <c r="E711" i="4"/>
  <c r="D711" i="4"/>
  <c r="C711" i="4"/>
  <c r="E710" i="4"/>
  <c r="D710" i="4"/>
  <c r="C710" i="4"/>
  <c r="E709" i="4"/>
  <c r="D709" i="4"/>
  <c r="C709" i="4"/>
  <c r="E708" i="4"/>
  <c r="D708" i="4"/>
  <c r="C708" i="4"/>
  <c r="E707" i="4"/>
  <c r="D707" i="4"/>
  <c r="C707" i="4"/>
  <c r="E706" i="4"/>
  <c r="D706" i="4"/>
  <c r="C706" i="4"/>
  <c r="E705" i="4"/>
  <c r="D705" i="4"/>
  <c r="C705" i="4"/>
  <c r="E704" i="4"/>
  <c r="D704" i="4"/>
  <c r="C704" i="4"/>
  <c r="E703" i="4"/>
  <c r="D703" i="4"/>
  <c r="C703" i="4"/>
  <c r="E702" i="4"/>
  <c r="D702" i="4"/>
  <c r="C702" i="4"/>
  <c r="E701" i="4"/>
  <c r="D701" i="4"/>
  <c r="C701" i="4"/>
  <c r="E700" i="4"/>
  <c r="D700" i="4"/>
  <c r="C700" i="4"/>
  <c r="E699" i="4"/>
  <c r="D699" i="4"/>
  <c r="C699" i="4"/>
  <c r="E698" i="4"/>
  <c r="D698" i="4"/>
  <c r="C698" i="4"/>
  <c r="E697" i="4"/>
  <c r="D697" i="4"/>
  <c r="C697" i="4"/>
  <c r="E696" i="4"/>
  <c r="D696" i="4"/>
  <c r="C696" i="4"/>
  <c r="E695" i="4"/>
  <c r="D695" i="4"/>
  <c r="C695" i="4"/>
  <c r="E694" i="4"/>
  <c r="D694" i="4"/>
  <c r="C694" i="4"/>
  <c r="E693" i="4"/>
  <c r="D693" i="4"/>
  <c r="C693" i="4"/>
  <c r="E692" i="4"/>
  <c r="D692" i="4"/>
  <c r="C692" i="4"/>
  <c r="E691" i="4"/>
  <c r="D691" i="4"/>
  <c r="C691" i="4"/>
  <c r="E690" i="4"/>
  <c r="D690" i="4"/>
  <c r="C690" i="4"/>
  <c r="E689" i="4"/>
  <c r="D689" i="4"/>
  <c r="C689" i="4"/>
  <c r="E688" i="4"/>
  <c r="D688" i="4"/>
  <c r="C688" i="4"/>
  <c r="E687" i="4"/>
  <c r="D687" i="4"/>
  <c r="C687" i="4"/>
  <c r="E686" i="4"/>
  <c r="D686" i="4"/>
  <c r="C686" i="4"/>
  <c r="E685" i="4"/>
  <c r="D685" i="4"/>
  <c r="C685" i="4"/>
  <c r="E684" i="4"/>
  <c r="D684" i="4"/>
  <c r="C684" i="4"/>
  <c r="E683" i="4"/>
  <c r="D683" i="4"/>
  <c r="C683" i="4"/>
  <c r="E682" i="4"/>
  <c r="D682" i="4"/>
  <c r="C682" i="4"/>
  <c r="E681" i="4"/>
  <c r="D681" i="4"/>
  <c r="C681" i="4"/>
  <c r="E680" i="4"/>
  <c r="D680" i="4"/>
  <c r="C680" i="4"/>
  <c r="E679" i="4"/>
  <c r="D679" i="4"/>
  <c r="C679" i="4"/>
  <c r="E678" i="4"/>
  <c r="D678" i="4"/>
  <c r="C678" i="4"/>
  <c r="E677" i="4"/>
  <c r="D677" i="4"/>
  <c r="C677" i="4"/>
  <c r="E676" i="4"/>
  <c r="D676" i="4"/>
  <c r="C676" i="4"/>
  <c r="E675" i="4"/>
  <c r="D675" i="4"/>
  <c r="C675" i="4"/>
  <c r="E674" i="4"/>
  <c r="D674" i="4"/>
  <c r="C674" i="4"/>
  <c r="E673" i="4"/>
  <c r="D673" i="4"/>
  <c r="C673" i="4"/>
  <c r="E672" i="4"/>
  <c r="D672" i="4"/>
  <c r="C672" i="4"/>
  <c r="E671" i="4"/>
  <c r="D671" i="4"/>
  <c r="C671" i="4"/>
  <c r="E670" i="4"/>
  <c r="D670" i="4"/>
  <c r="C670" i="4"/>
  <c r="E669" i="4"/>
  <c r="D669" i="4"/>
  <c r="C669" i="4"/>
  <c r="E668" i="4"/>
  <c r="D668" i="4"/>
  <c r="C668" i="4"/>
  <c r="E667" i="4"/>
  <c r="D667" i="4"/>
  <c r="C667" i="4"/>
  <c r="E666" i="4"/>
  <c r="D666" i="4"/>
  <c r="C666" i="4"/>
  <c r="E665" i="4"/>
  <c r="D665" i="4"/>
  <c r="C665" i="4"/>
  <c r="E664" i="4"/>
  <c r="D664" i="4"/>
  <c r="C664" i="4"/>
  <c r="E663" i="4"/>
  <c r="D663" i="4"/>
  <c r="C663" i="4"/>
  <c r="E662" i="4"/>
  <c r="D662" i="4"/>
  <c r="C662" i="4"/>
  <c r="E661" i="4"/>
  <c r="D661" i="4"/>
  <c r="C661" i="4"/>
  <c r="E660" i="4"/>
  <c r="D660" i="4"/>
  <c r="C660" i="4"/>
  <c r="E659" i="4"/>
  <c r="D659" i="4"/>
  <c r="C659" i="4"/>
  <c r="E658" i="4"/>
  <c r="D658" i="4"/>
  <c r="C658" i="4"/>
  <c r="E657" i="4"/>
  <c r="D657" i="4"/>
  <c r="C657" i="4"/>
  <c r="E656" i="4"/>
  <c r="D656" i="4"/>
  <c r="C656" i="4"/>
  <c r="E655" i="4"/>
  <c r="D655" i="4"/>
  <c r="C655" i="4"/>
  <c r="E654" i="4"/>
  <c r="D654" i="4"/>
  <c r="C654" i="4"/>
  <c r="E653" i="4"/>
  <c r="D653" i="4"/>
  <c r="C653" i="4"/>
  <c r="E652" i="4"/>
  <c r="D652" i="4"/>
  <c r="C652" i="4"/>
  <c r="E651" i="4"/>
  <c r="D651" i="4"/>
  <c r="C651" i="4"/>
  <c r="E650" i="4"/>
  <c r="D650" i="4"/>
  <c r="C650" i="4"/>
  <c r="E649" i="4"/>
  <c r="D649" i="4"/>
  <c r="C649" i="4"/>
  <c r="E648" i="4"/>
  <c r="D648" i="4"/>
  <c r="C648" i="4"/>
  <c r="E647" i="4"/>
  <c r="D647" i="4"/>
  <c r="C647" i="4"/>
  <c r="E646" i="4"/>
  <c r="D646" i="4"/>
  <c r="C646" i="4"/>
  <c r="E645" i="4"/>
  <c r="D645" i="4"/>
  <c r="C645" i="4"/>
  <c r="E644" i="4"/>
  <c r="D644" i="4"/>
  <c r="C644" i="4"/>
  <c r="E643" i="4"/>
  <c r="D643" i="4"/>
  <c r="C643" i="4"/>
  <c r="E642" i="4"/>
  <c r="D642" i="4"/>
  <c r="C642" i="4"/>
  <c r="E641" i="4"/>
  <c r="D641" i="4"/>
  <c r="C641" i="4"/>
  <c r="E640" i="4"/>
  <c r="D640" i="4"/>
  <c r="C640" i="4"/>
  <c r="E639" i="4"/>
  <c r="D639" i="4"/>
  <c r="C639" i="4"/>
  <c r="E638" i="4"/>
  <c r="D638" i="4"/>
  <c r="C638" i="4"/>
  <c r="E637" i="4"/>
  <c r="D637" i="4"/>
  <c r="C637" i="4"/>
  <c r="E636" i="4"/>
  <c r="D636" i="4"/>
  <c r="C636" i="4"/>
  <c r="E635" i="4"/>
  <c r="D635" i="4"/>
  <c r="C635" i="4"/>
  <c r="E634" i="4"/>
  <c r="D634" i="4"/>
  <c r="C634" i="4"/>
  <c r="E633" i="4"/>
  <c r="D633" i="4"/>
  <c r="C633" i="4"/>
  <c r="E632" i="4"/>
  <c r="D632" i="4"/>
  <c r="C632" i="4"/>
  <c r="E631" i="4"/>
  <c r="D631" i="4"/>
  <c r="C631" i="4"/>
  <c r="E630" i="4"/>
  <c r="D630" i="4"/>
  <c r="C630" i="4"/>
  <c r="E629" i="4"/>
  <c r="D629" i="4"/>
  <c r="C629" i="4"/>
  <c r="E628" i="4"/>
  <c r="D628" i="4"/>
  <c r="C628" i="4"/>
  <c r="E627" i="4"/>
  <c r="D627" i="4"/>
  <c r="C627" i="4"/>
  <c r="E626" i="4"/>
  <c r="D626" i="4"/>
  <c r="C626" i="4"/>
  <c r="E625" i="4"/>
  <c r="D625" i="4"/>
  <c r="C625" i="4"/>
  <c r="E624" i="4"/>
  <c r="D624" i="4"/>
  <c r="C624" i="4"/>
  <c r="E623" i="4"/>
  <c r="D623" i="4"/>
  <c r="C623" i="4"/>
  <c r="E622" i="4"/>
  <c r="D622" i="4"/>
  <c r="C622" i="4"/>
  <c r="E621" i="4"/>
  <c r="D621" i="4"/>
  <c r="C621" i="4"/>
  <c r="E620" i="4"/>
  <c r="D620" i="4"/>
  <c r="C620" i="4"/>
  <c r="E619" i="4"/>
  <c r="D619" i="4"/>
  <c r="C619" i="4"/>
  <c r="E618" i="4"/>
  <c r="D618" i="4"/>
  <c r="C618" i="4"/>
  <c r="E617" i="4"/>
  <c r="D617" i="4"/>
  <c r="C617" i="4"/>
  <c r="E616" i="4"/>
  <c r="D616" i="4"/>
  <c r="C616" i="4"/>
  <c r="E615" i="4"/>
  <c r="D615" i="4"/>
  <c r="C615" i="4"/>
  <c r="E614" i="4"/>
  <c r="D614" i="4"/>
  <c r="C614" i="4"/>
  <c r="E613" i="4"/>
  <c r="D613" i="4"/>
  <c r="C613" i="4"/>
  <c r="E612" i="4"/>
  <c r="D612" i="4"/>
  <c r="C612" i="4"/>
  <c r="E611" i="4"/>
  <c r="D611" i="4"/>
  <c r="C611" i="4"/>
  <c r="E610" i="4"/>
  <c r="D610" i="4"/>
  <c r="C610" i="4"/>
  <c r="E609" i="4"/>
  <c r="D609" i="4"/>
  <c r="C609" i="4"/>
  <c r="E608" i="4"/>
  <c r="D608" i="4"/>
  <c r="C608" i="4"/>
  <c r="E607" i="4"/>
  <c r="D607" i="4"/>
  <c r="C607" i="4"/>
  <c r="E606" i="4"/>
  <c r="D606" i="4"/>
  <c r="C606" i="4"/>
  <c r="E605" i="4"/>
  <c r="D605" i="4"/>
  <c r="C605" i="4"/>
  <c r="E604" i="4"/>
  <c r="D604" i="4"/>
  <c r="C604" i="4"/>
  <c r="E603" i="4"/>
  <c r="D603" i="4"/>
  <c r="C603" i="4"/>
  <c r="E602" i="4"/>
  <c r="D602" i="4"/>
  <c r="C602" i="4"/>
  <c r="E601" i="4"/>
  <c r="D601" i="4"/>
  <c r="C601" i="4"/>
  <c r="E600" i="4"/>
  <c r="D600" i="4"/>
  <c r="C600" i="4"/>
  <c r="E599" i="4"/>
  <c r="D599" i="4"/>
  <c r="C599" i="4"/>
  <c r="E598" i="4"/>
  <c r="D598" i="4"/>
  <c r="C598" i="4"/>
  <c r="E597" i="4"/>
  <c r="D597" i="4"/>
  <c r="C597" i="4"/>
  <c r="E596" i="4"/>
  <c r="D596" i="4"/>
  <c r="C596" i="4"/>
  <c r="E595" i="4"/>
  <c r="D595" i="4"/>
  <c r="C595" i="4"/>
  <c r="E594" i="4"/>
  <c r="D594" i="4"/>
  <c r="C594" i="4"/>
  <c r="E593" i="4"/>
  <c r="D593" i="4"/>
  <c r="C593" i="4"/>
  <c r="E592" i="4"/>
  <c r="D592" i="4"/>
  <c r="C592" i="4"/>
  <c r="E591" i="4"/>
  <c r="D591" i="4"/>
  <c r="C591" i="4"/>
  <c r="E590" i="4"/>
  <c r="D590" i="4"/>
  <c r="C590" i="4"/>
  <c r="E589" i="4"/>
  <c r="D589" i="4"/>
  <c r="C589" i="4"/>
  <c r="E588" i="4"/>
  <c r="D588" i="4"/>
  <c r="C588" i="4"/>
  <c r="E587" i="4"/>
  <c r="D587" i="4"/>
  <c r="C587" i="4"/>
  <c r="E586" i="4"/>
  <c r="D586" i="4"/>
  <c r="C586" i="4"/>
  <c r="E585" i="4"/>
  <c r="D585" i="4"/>
  <c r="C585" i="4"/>
  <c r="E584" i="4"/>
  <c r="D584" i="4"/>
  <c r="C584" i="4"/>
  <c r="E583" i="4"/>
  <c r="D583" i="4"/>
  <c r="C583" i="4"/>
  <c r="E582" i="4"/>
  <c r="D582" i="4"/>
  <c r="C582" i="4"/>
  <c r="E581" i="4"/>
  <c r="D581" i="4"/>
  <c r="C581" i="4"/>
  <c r="E580" i="4"/>
  <c r="D580" i="4"/>
  <c r="C580" i="4"/>
  <c r="E579" i="4"/>
  <c r="D579" i="4"/>
  <c r="C579" i="4"/>
  <c r="E578" i="4"/>
  <c r="D578" i="4"/>
  <c r="C578" i="4"/>
  <c r="E577" i="4"/>
  <c r="D577" i="4"/>
  <c r="C577" i="4"/>
  <c r="E576" i="4"/>
  <c r="D576" i="4"/>
  <c r="C576" i="4"/>
  <c r="E575" i="4"/>
  <c r="D575" i="4"/>
  <c r="C575" i="4"/>
  <c r="E574" i="4"/>
  <c r="D574" i="4"/>
  <c r="C574" i="4"/>
  <c r="E573" i="4"/>
  <c r="D573" i="4"/>
  <c r="C573" i="4"/>
  <c r="E572" i="4"/>
  <c r="D572" i="4"/>
  <c r="C572" i="4"/>
  <c r="E571" i="4"/>
  <c r="D571" i="4"/>
  <c r="C571" i="4"/>
  <c r="E570" i="4"/>
  <c r="D570" i="4"/>
  <c r="C570" i="4"/>
  <c r="E569" i="4"/>
  <c r="D569" i="4"/>
  <c r="C569" i="4"/>
  <c r="E568" i="4"/>
  <c r="D568" i="4"/>
  <c r="C568" i="4"/>
  <c r="E567" i="4"/>
  <c r="D567" i="4"/>
  <c r="C567" i="4"/>
  <c r="E566" i="4"/>
  <c r="D566" i="4"/>
  <c r="C566" i="4"/>
  <c r="E565" i="4"/>
  <c r="D565" i="4"/>
  <c r="C565" i="4"/>
  <c r="E564" i="4"/>
  <c r="D564" i="4"/>
  <c r="C564" i="4"/>
  <c r="E563" i="4"/>
  <c r="D563" i="4"/>
  <c r="C563" i="4"/>
  <c r="E562" i="4"/>
  <c r="D562" i="4"/>
  <c r="C562" i="4"/>
  <c r="E561" i="4"/>
  <c r="D561" i="4"/>
  <c r="C561" i="4"/>
  <c r="E560" i="4"/>
  <c r="D560" i="4"/>
  <c r="C560" i="4"/>
  <c r="E559" i="4"/>
  <c r="D559" i="4"/>
  <c r="C559" i="4"/>
  <c r="E558" i="4"/>
  <c r="D558" i="4"/>
  <c r="C558" i="4"/>
  <c r="E557" i="4"/>
  <c r="D557" i="4"/>
  <c r="C557" i="4"/>
  <c r="E556" i="4"/>
  <c r="D556" i="4"/>
  <c r="C556" i="4"/>
  <c r="E555" i="4"/>
  <c r="D555" i="4"/>
  <c r="C555" i="4"/>
  <c r="E554" i="4"/>
  <c r="D554" i="4"/>
  <c r="C554" i="4"/>
  <c r="E553" i="4"/>
  <c r="D553" i="4"/>
  <c r="C553" i="4"/>
  <c r="E552" i="4"/>
  <c r="D552" i="4"/>
  <c r="C552" i="4"/>
  <c r="E551" i="4"/>
  <c r="D551" i="4"/>
  <c r="C551" i="4"/>
  <c r="E550" i="4"/>
  <c r="D550" i="4"/>
  <c r="C550" i="4"/>
  <c r="E549" i="4"/>
  <c r="D549" i="4"/>
  <c r="C549" i="4"/>
  <c r="E548" i="4"/>
  <c r="D548" i="4"/>
  <c r="C548" i="4"/>
  <c r="E547" i="4"/>
  <c r="D547" i="4"/>
  <c r="C547" i="4"/>
  <c r="E546" i="4"/>
  <c r="D546" i="4"/>
  <c r="C546" i="4"/>
  <c r="E545" i="4"/>
  <c r="D545" i="4"/>
  <c r="C545" i="4"/>
  <c r="E544" i="4"/>
  <c r="D544" i="4"/>
  <c r="C544" i="4"/>
  <c r="E543" i="4"/>
  <c r="D543" i="4"/>
  <c r="C543" i="4"/>
  <c r="E542" i="4"/>
  <c r="D542" i="4"/>
  <c r="C542" i="4"/>
  <c r="E541" i="4"/>
  <c r="D541" i="4"/>
  <c r="C541" i="4"/>
  <c r="E540" i="4"/>
  <c r="D540" i="4"/>
  <c r="C540" i="4"/>
  <c r="E539" i="4"/>
  <c r="D539" i="4"/>
  <c r="C539" i="4"/>
  <c r="E538" i="4"/>
  <c r="D538" i="4"/>
  <c r="C538" i="4"/>
  <c r="E537" i="4"/>
  <c r="D537" i="4"/>
  <c r="C537" i="4"/>
  <c r="E536" i="4"/>
  <c r="D536" i="4"/>
  <c r="C536" i="4"/>
  <c r="E535" i="4"/>
  <c r="D535" i="4"/>
  <c r="C535" i="4"/>
  <c r="E534" i="4"/>
  <c r="D534" i="4"/>
  <c r="C534" i="4"/>
  <c r="E533" i="4"/>
  <c r="D533" i="4"/>
  <c r="C533" i="4"/>
  <c r="E532" i="4"/>
  <c r="D532" i="4"/>
  <c r="C532" i="4"/>
  <c r="E531" i="4"/>
  <c r="D531" i="4"/>
  <c r="C531" i="4"/>
  <c r="E530" i="4"/>
  <c r="D530" i="4"/>
  <c r="C530" i="4"/>
  <c r="E529" i="4"/>
  <c r="D529" i="4"/>
  <c r="C529" i="4"/>
  <c r="E528" i="4"/>
  <c r="D528" i="4"/>
  <c r="C528" i="4"/>
  <c r="E527" i="4"/>
  <c r="D527" i="4"/>
  <c r="C527" i="4"/>
  <c r="E526" i="4"/>
  <c r="D526" i="4"/>
  <c r="C526" i="4"/>
  <c r="E525" i="4"/>
  <c r="D525" i="4"/>
  <c r="C525" i="4"/>
  <c r="E524" i="4"/>
  <c r="D524" i="4"/>
  <c r="C524" i="4"/>
  <c r="E523" i="4"/>
  <c r="D523" i="4"/>
  <c r="C523" i="4"/>
  <c r="E522" i="4"/>
  <c r="D522" i="4"/>
  <c r="C522" i="4"/>
  <c r="E521" i="4"/>
  <c r="D521" i="4"/>
  <c r="C521" i="4"/>
  <c r="E520" i="4"/>
  <c r="D520" i="4"/>
  <c r="C520" i="4"/>
  <c r="E519" i="4"/>
  <c r="D519" i="4"/>
  <c r="C519" i="4"/>
  <c r="E518" i="4"/>
  <c r="D518" i="4"/>
  <c r="C518" i="4"/>
  <c r="E517" i="4"/>
  <c r="D517" i="4"/>
  <c r="C517" i="4"/>
  <c r="E516" i="4"/>
  <c r="D516" i="4"/>
  <c r="C516" i="4"/>
  <c r="E515" i="4"/>
  <c r="D515" i="4"/>
  <c r="C515" i="4"/>
  <c r="E514" i="4"/>
  <c r="D514" i="4"/>
  <c r="C514" i="4"/>
  <c r="E513" i="4"/>
  <c r="D513" i="4"/>
  <c r="C513" i="4"/>
  <c r="E512" i="4"/>
  <c r="D512" i="4"/>
  <c r="C512" i="4"/>
  <c r="E511" i="4"/>
  <c r="D511" i="4"/>
  <c r="C511" i="4"/>
  <c r="E510" i="4"/>
  <c r="D510" i="4"/>
  <c r="C510" i="4"/>
  <c r="E509" i="4"/>
  <c r="D509" i="4"/>
  <c r="C509" i="4"/>
  <c r="E508" i="4"/>
  <c r="D508" i="4"/>
  <c r="C508" i="4"/>
  <c r="E507" i="4"/>
  <c r="D507" i="4"/>
  <c r="C507" i="4"/>
  <c r="E506" i="4"/>
  <c r="D506" i="4"/>
  <c r="C506" i="4"/>
  <c r="E505" i="4"/>
  <c r="D505" i="4"/>
  <c r="C505" i="4"/>
  <c r="E504" i="4"/>
  <c r="D504" i="4"/>
  <c r="C504" i="4"/>
  <c r="E503" i="4"/>
  <c r="D503" i="4"/>
  <c r="C503" i="4"/>
  <c r="E502" i="4"/>
  <c r="D502" i="4"/>
  <c r="C502" i="4"/>
  <c r="E501" i="4"/>
  <c r="D501" i="4"/>
  <c r="C501" i="4"/>
  <c r="E500" i="4"/>
  <c r="D500" i="4"/>
  <c r="C500" i="4"/>
  <c r="E499" i="4"/>
  <c r="D499" i="4"/>
  <c r="C499" i="4"/>
  <c r="E498" i="4"/>
  <c r="D498" i="4"/>
  <c r="C498" i="4"/>
  <c r="E497" i="4"/>
  <c r="D497" i="4"/>
  <c r="C497" i="4"/>
  <c r="E496" i="4"/>
  <c r="D496" i="4"/>
  <c r="C496" i="4"/>
  <c r="E495" i="4"/>
  <c r="D495" i="4"/>
  <c r="C495" i="4"/>
  <c r="E494" i="4"/>
  <c r="D494" i="4"/>
  <c r="C494" i="4"/>
  <c r="E493" i="4"/>
  <c r="D493" i="4"/>
  <c r="C493" i="4"/>
  <c r="E492" i="4"/>
  <c r="D492" i="4"/>
  <c r="C492" i="4"/>
  <c r="E491" i="4"/>
  <c r="D491" i="4"/>
  <c r="C491" i="4"/>
  <c r="E490" i="4"/>
  <c r="D490" i="4"/>
  <c r="C490" i="4"/>
  <c r="E489" i="4"/>
  <c r="D489" i="4"/>
  <c r="C489" i="4"/>
  <c r="E488" i="4"/>
  <c r="D488" i="4"/>
  <c r="C488" i="4"/>
  <c r="E487" i="4"/>
  <c r="D487" i="4"/>
  <c r="C487" i="4"/>
  <c r="E486" i="4"/>
  <c r="D486" i="4"/>
  <c r="C486" i="4"/>
  <c r="E485" i="4"/>
  <c r="D485" i="4"/>
  <c r="C485" i="4"/>
  <c r="E484" i="4"/>
  <c r="D484" i="4"/>
  <c r="C484" i="4"/>
  <c r="E483" i="4"/>
  <c r="D483" i="4"/>
  <c r="C483" i="4"/>
  <c r="E482" i="4"/>
  <c r="D482" i="4"/>
  <c r="C482" i="4"/>
  <c r="E481" i="4"/>
  <c r="D481" i="4"/>
  <c r="C481" i="4"/>
  <c r="E480" i="4"/>
  <c r="D480" i="4"/>
  <c r="C480" i="4"/>
  <c r="E479" i="4"/>
  <c r="D479" i="4"/>
  <c r="C479" i="4"/>
  <c r="E478" i="4"/>
  <c r="D478" i="4"/>
  <c r="C478" i="4"/>
  <c r="E477" i="4"/>
  <c r="D477" i="4"/>
  <c r="C477" i="4"/>
  <c r="E476" i="4"/>
  <c r="D476" i="4"/>
  <c r="C476" i="4"/>
  <c r="E475" i="4"/>
  <c r="D475" i="4"/>
  <c r="C475" i="4"/>
  <c r="E474" i="4"/>
  <c r="D474" i="4"/>
  <c r="C474" i="4"/>
  <c r="E473" i="4"/>
  <c r="D473" i="4"/>
  <c r="C473" i="4"/>
  <c r="E472" i="4"/>
  <c r="D472" i="4"/>
  <c r="C472" i="4"/>
  <c r="E471" i="4"/>
  <c r="D471" i="4"/>
  <c r="C471" i="4"/>
  <c r="E470" i="4"/>
  <c r="D470" i="4"/>
  <c r="C470" i="4"/>
  <c r="E469" i="4"/>
  <c r="D469" i="4"/>
  <c r="C469" i="4"/>
  <c r="E468" i="4"/>
  <c r="D468" i="4"/>
  <c r="C468" i="4"/>
  <c r="E467" i="4"/>
  <c r="D467" i="4"/>
  <c r="C467" i="4"/>
  <c r="E466" i="4"/>
  <c r="D466" i="4"/>
  <c r="C466" i="4"/>
  <c r="E465" i="4"/>
  <c r="D465" i="4"/>
  <c r="C465" i="4"/>
  <c r="E464" i="4"/>
  <c r="D464" i="4"/>
  <c r="C464" i="4"/>
  <c r="E463" i="4"/>
  <c r="D463" i="4"/>
  <c r="C463" i="4"/>
  <c r="E462" i="4"/>
  <c r="D462" i="4"/>
  <c r="C462" i="4"/>
  <c r="E461" i="4"/>
  <c r="D461" i="4"/>
  <c r="C461" i="4"/>
  <c r="E460" i="4"/>
  <c r="D460" i="4"/>
  <c r="C460" i="4"/>
  <c r="E459" i="4"/>
  <c r="D459" i="4"/>
  <c r="C459" i="4"/>
  <c r="E458" i="4"/>
  <c r="D458" i="4"/>
  <c r="C458" i="4"/>
  <c r="E457" i="4"/>
  <c r="D457" i="4"/>
  <c r="C457" i="4"/>
  <c r="E456" i="4"/>
  <c r="D456" i="4"/>
  <c r="C456" i="4"/>
  <c r="E455" i="4"/>
  <c r="D455" i="4"/>
  <c r="C455" i="4"/>
  <c r="E454" i="4"/>
  <c r="D454" i="4"/>
  <c r="C454" i="4"/>
  <c r="E453" i="4"/>
  <c r="D453" i="4"/>
  <c r="C453" i="4"/>
  <c r="E452" i="4"/>
  <c r="D452" i="4"/>
  <c r="C452" i="4"/>
  <c r="E451" i="4"/>
  <c r="D451" i="4"/>
  <c r="C451" i="4"/>
  <c r="E450" i="4"/>
  <c r="D450" i="4"/>
  <c r="C450" i="4"/>
  <c r="E449" i="4"/>
  <c r="D449" i="4"/>
  <c r="C449" i="4"/>
  <c r="E448" i="4"/>
  <c r="D448" i="4"/>
  <c r="C448" i="4"/>
  <c r="E447" i="4"/>
  <c r="D447" i="4"/>
  <c r="C447" i="4"/>
  <c r="E446" i="4"/>
  <c r="D446" i="4"/>
  <c r="C446" i="4"/>
  <c r="E445" i="4"/>
  <c r="D445" i="4"/>
  <c r="C445" i="4"/>
  <c r="E444" i="4"/>
  <c r="D444" i="4"/>
  <c r="C444" i="4"/>
  <c r="E443" i="4"/>
  <c r="D443" i="4"/>
  <c r="C443" i="4"/>
  <c r="E442" i="4"/>
  <c r="D442" i="4"/>
  <c r="C442" i="4"/>
  <c r="E441" i="4"/>
  <c r="D441" i="4"/>
  <c r="C441" i="4"/>
  <c r="E440" i="4"/>
  <c r="D440" i="4"/>
  <c r="C440" i="4"/>
  <c r="E439" i="4"/>
  <c r="D439" i="4"/>
  <c r="C439" i="4"/>
  <c r="E438" i="4"/>
  <c r="D438" i="4"/>
  <c r="C438" i="4"/>
  <c r="E437" i="4"/>
  <c r="D437" i="4"/>
  <c r="C437" i="4"/>
  <c r="E436" i="4"/>
  <c r="D436" i="4"/>
  <c r="C436" i="4"/>
  <c r="E435" i="4"/>
  <c r="D435" i="4"/>
  <c r="C435" i="4"/>
  <c r="E434" i="4"/>
  <c r="D434" i="4"/>
  <c r="C434" i="4"/>
  <c r="E433" i="4"/>
  <c r="D433" i="4"/>
  <c r="C433" i="4"/>
  <c r="E432" i="4"/>
  <c r="D432" i="4"/>
  <c r="C432" i="4"/>
  <c r="E431" i="4"/>
  <c r="D431" i="4"/>
  <c r="C431" i="4"/>
  <c r="E430" i="4"/>
  <c r="D430" i="4"/>
  <c r="C430" i="4"/>
  <c r="E429" i="4"/>
  <c r="D429" i="4"/>
  <c r="C429" i="4"/>
  <c r="E428" i="4"/>
  <c r="D428" i="4"/>
  <c r="C428" i="4"/>
  <c r="E427" i="4"/>
  <c r="D427" i="4"/>
  <c r="C427" i="4"/>
  <c r="E426" i="4"/>
  <c r="D426" i="4"/>
  <c r="C426" i="4"/>
  <c r="E425" i="4"/>
  <c r="D425" i="4"/>
  <c r="C425" i="4"/>
  <c r="E424" i="4"/>
  <c r="D424" i="4"/>
  <c r="C424" i="4"/>
  <c r="E423" i="4"/>
  <c r="D423" i="4"/>
  <c r="C423" i="4"/>
  <c r="E422" i="4"/>
  <c r="D422" i="4"/>
  <c r="C422" i="4"/>
  <c r="E421" i="4"/>
  <c r="D421" i="4"/>
  <c r="C421" i="4"/>
  <c r="E420" i="4"/>
  <c r="D420" i="4"/>
  <c r="C420" i="4"/>
  <c r="E419" i="4"/>
  <c r="D419" i="4"/>
  <c r="C419" i="4"/>
  <c r="E418" i="4"/>
  <c r="D418" i="4"/>
  <c r="C418" i="4"/>
  <c r="E417" i="4"/>
  <c r="D417" i="4"/>
  <c r="C417" i="4"/>
  <c r="E416" i="4"/>
  <c r="D416" i="4"/>
  <c r="C416" i="4"/>
  <c r="E415" i="4"/>
  <c r="D415" i="4"/>
  <c r="C415" i="4"/>
  <c r="E414" i="4"/>
  <c r="D414" i="4"/>
  <c r="C414" i="4"/>
  <c r="E413" i="4"/>
  <c r="D413" i="4"/>
  <c r="C413" i="4"/>
  <c r="E412" i="4"/>
  <c r="D412" i="4"/>
  <c r="C412" i="4"/>
  <c r="E411" i="4"/>
  <c r="D411" i="4"/>
  <c r="C411" i="4"/>
  <c r="E410" i="4"/>
  <c r="D410" i="4"/>
  <c r="C410" i="4"/>
  <c r="E409" i="4"/>
  <c r="D409" i="4"/>
  <c r="C409" i="4"/>
  <c r="E408" i="4"/>
  <c r="D408" i="4"/>
  <c r="C408" i="4"/>
  <c r="E407" i="4"/>
  <c r="D407" i="4"/>
  <c r="C407" i="4"/>
  <c r="E406" i="4"/>
  <c r="D406" i="4"/>
  <c r="C406" i="4"/>
  <c r="E405" i="4"/>
  <c r="D405" i="4"/>
  <c r="C405" i="4"/>
  <c r="E404" i="4"/>
  <c r="D404" i="4"/>
  <c r="C404" i="4"/>
  <c r="E403" i="4"/>
  <c r="D403" i="4"/>
  <c r="C403" i="4"/>
  <c r="E402" i="4"/>
  <c r="D402" i="4"/>
  <c r="C402" i="4"/>
  <c r="E401" i="4"/>
  <c r="D401" i="4"/>
  <c r="C401" i="4"/>
  <c r="E400" i="4"/>
  <c r="D400" i="4"/>
  <c r="C400" i="4"/>
  <c r="E399" i="4"/>
  <c r="D399" i="4"/>
  <c r="C399" i="4"/>
  <c r="E398" i="4"/>
  <c r="D398" i="4"/>
  <c r="C398" i="4"/>
  <c r="E397" i="4"/>
  <c r="D397" i="4"/>
  <c r="C397" i="4"/>
  <c r="E396" i="4"/>
  <c r="D396" i="4"/>
  <c r="C396" i="4"/>
  <c r="E395" i="4"/>
  <c r="D395" i="4"/>
  <c r="C395" i="4"/>
  <c r="E394" i="4"/>
  <c r="D394" i="4"/>
  <c r="C394" i="4"/>
  <c r="E393" i="4"/>
  <c r="D393" i="4"/>
  <c r="C393" i="4"/>
  <c r="E392" i="4"/>
  <c r="D392" i="4"/>
  <c r="C392" i="4"/>
  <c r="E391" i="4"/>
  <c r="D391" i="4"/>
  <c r="C391" i="4"/>
  <c r="E390" i="4"/>
  <c r="D390" i="4"/>
  <c r="C390" i="4"/>
  <c r="E389" i="4"/>
  <c r="D389" i="4"/>
  <c r="C389" i="4"/>
  <c r="E388" i="4"/>
  <c r="D388" i="4"/>
  <c r="C388" i="4"/>
  <c r="E387" i="4"/>
  <c r="D387" i="4"/>
  <c r="C387" i="4"/>
  <c r="E386" i="4"/>
  <c r="D386" i="4"/>
  <c r="C386" i="4"/>
  <c r="E385" i="4"/>
  <c r="D385" i="4"/>
  <c r="C385" i="4"/>
  <c r="E384" i="4"/>
  <c r="D384" i="4"/>
  <c r="C384" i="4"/>
  <c r="E383" i="4"/>
  <c r="D383" i="4"/>
  <c r="C383" i="4"/>
  <c r="E382" i="4"/>
  <c r="D382" i="4"/>
  <c r="C382" i="4"/>
  <c r="E381" i="4"/>
  <c r="D381" i="4"/>
  <c r="C381" i="4"/>
  <c r="E380" i="4"/>
  <c r="D380" i="4"/>
  <c r="C380" i="4"/>
  <c r="E379" i="4"/>
  <c r="D379" i="4"/>
  <c r="C379" i="4"/>
  <c r="E378" i="4"/>
  <c r="D378" i="4"/>
  <c r="C378" i="4"/>
  <c r="E377" i="4"/>
  <c r="D377" i="4"/>
  <c r="C377" i="4"/>
  <c r="E376" i="4"/>
  <c r="D376" i="4"/>
  <c r="C376" i="4"/>
  <c r="E375" i="4"/>
  <c r="D375" i="4"/>
  <c r="C375" i="4"/>
  <c r="E374" i="4"/>
  <c r="D374" i="4"/>
  <c r="C374" i="4"/>
  <c r="E373" i="4"/>
  <c r="D373" i="4"/>
  <c r="C373" i="4"/>
  <c r="E372" i="4"/>
  <c r="D372" i="4"/>
  <c r="C372" i="4"/>
  <c r="E371" i="4"/>
  <c r="D371" i="4"/>
  <c r="C371" i="4"/>
  <c r="E370" i="4"/>
  <c r="D370" i="4"/>
  <c r="C370" i="4"/>
  <c r="E369" i="4"/>
  <c r="D369" i="4"/>
  <c r="C369" i="4"/>
  <c r="E368" i="4"/>
  <c r="D368" i="4"/>
  <c r="C368" i="4"/>
  <c r="E367" i="4"/>
  <c r="D367" i="4"/>
  <c r="C367" i="4"/>
  <c r="E366" i="4"/>
  <c r="D366" i="4"/>
  <c r="C366" i="4"/>
  <c r="E365" i="4"/>
  <c r="D365" i="4"/>
  <c r="C365" i="4"/>
  <c r="E364" i="4"/>
  <c r="D364" i="4"/>
  <c r="C364" i="4"/>
  <c r="E363" i="4"/>
  <c r="D363" i="4"/>
  <c r="C363" i="4"/>
  <c r="E362" i="4"/>
  <c r="D362" i="4"/>
  <c r="C362" i="4"/>
  <c r="E361" i="4"/>
  <c r="D361" i="4"/>
  <c r="C361" i="4"/>
  <c r="E360" i="4"/>
  <c r="D360" i="4"/>
  <c r="C360" i="4"/>
  <c r="E359" i="4"/>
  <c r="D359" i="4"/>
  <c r="C359" i="4"/>
  <c r="E358" i="4"/>
  <c r="D358" i="4"/>
  <c r="C358" i="4"/>
  <c r="E357" i="4"/>
  <c r="D357" i="4"/>
  <c r="C357" i="4"/>
  <c r="E356" i="4"/>
  <c r="D356" i="4"/>
  <c r="C356" i="4"/>
  <c r="E355" i="4"/>
  <c r="D355" i="4"/>
  <c r="C355" i="4"/>
  <c r="E354" i="4"/>
  <c r="D354" i="4"/>
  <c r="C354" i="4"/>
  <c r="E353" i="4"/>
  <c r="D353" i="4"/>
  <c r="C353" i="4"/>
  <c r="E352" i="4"/>
  <c r="D352" i="4"/>
  <c r="C352" i="4"/>
  <c r="E351" i="4"/>
  <c r="D351" i="4"/>
  <c r="C351" i="4"/>
  <c r="E350" i="4"/>
  <c r="D350" i="4"/>
  <c r="C350" i="4"/>
  <c r="E349" i="4"/>
  <c r="D349" i="4"/>
  <c r="C349" i="4"/>
  <c r="E348" i="4"/>
  <c r="D348" i="4"/>
  <c r="C348" i="4"/>
  <c r="E347" i="4"/>
  <c r="D347" i="4"/>
  <c r="C347" i="4"/>
  <c r="E346" i="4"/>
  <c r="D346" i="4"/>
  <c r="C346" i="4"/>
  <c r="E345" i="4"/>
  <c r="D345" i="4"/>
  <c r="C345" i="4"/>
  <c r="E344" i="4"/>
  <c r="D344" i="4"/>
  <c r="C344" i="4"/>
  <c r="E343" i="4"/>
  <c r="D343" i="4"/>
  <c r="C343" i="4"/>
  <c r="E342" i="4"/>
  <c r="D342" i="4"/>
  <c r="C342" i="4"/>
  <c r="E341" i="4"/>
  <c r="D341" i="4"/>
  <c r="C341" i="4"/>
  <c r="E340" i="4"/>
  <c r="D340" i="4"/>
  <c r="C340" i="4"/>
  <c r="E339" i="4"/>
  <c r="D339" i="4"/>
  <c r="C339" i="4"/>
  <c r="E338" i="4"/>
  <c r="D338" i="4"/>
  <c r="C338" i="4"/>
  <c r="E337" i="4"/>
  <c r="D337" i="4"/>
  <c r="C337" i="4"/>
  <c r="E336" i="4"/>
  <c r="D336" i="4"/>
  <c r="C336" i="4"/>
  <c r="E335" i="4"/>
  <c r="D335" i="4"/>
  <c r="C335" i="4"/>
  <c r="E334" i="4"/>
  <c r="D334" i="4"/>
  <c r="C334" i="4"/>
  <c r="E333" i="4"/>
  <c r="D333" i="4"/>
  <c r="C333" i="4"/>
  <c r="E332" i="4"/>
  <c r="D332" i="4"/>
  <c r="C332" i="4"/>
  <c r="E331" i="4"/>
  <c r="D331" i="4"/>
  <c r="C331" i="4"/>
  <c r="E330" i="4"/>
  <c r="D330" i="4"/>
  <c r="C330" i="4"/>
  <c r="E329" i="4"/>
  <c r="D329" i="4"/>
  <c r="C329" i="4"/>
  <c r="E328" i="4"/>
  <c r="D328" i="4"/>
  <c r="C328" i="4"/>
  <c r="E327" i="4"/>
  <c r="D327" i="4"/>
  <c r="C327" i="4"/>
  <c r="E326" i="4"/>
  <c r="D326" i="4"/>
  <c r="C326" i="4"/>
  <c r="E325" i="4"/>
  <c r="D325" i="4"/>
  <c r="C325" i="4"/>
  <c r="E324" i="4"/>
  <c r="D324" i="4"/>
  <c r="C324" i="4"/>
  <c r="E323" i="4"/>
  <c r="D323" i="4"/>
  <c r="C323" i="4"/>
  <c r="E322" i="4"/>
  <c r="D322" i="4"/>
  <c r="C322" i="4"/>
  <c r="E321" i="4"/>
  <c r="D321" i="4"/>
  <c r="C321" i="4"/>
  <c r="E320" i="4"/>
  <c r="D320" i="4"/>
  <c r="C320" i="4"/>
  <c r="E319" i="4"/>
  <c r="D319" i="4"/>
  <c r="C319" i="4"/>
  <c r="E318" i="4"/>
  <c r="D318" i="4"/>
  <c r="C318" i="4"/>
  <c r="E317" i="4"/>
  <c r="D317" i="4"/>
  <c r="C317" i="4"/>
  <c r="E316" i="4"/>
  <c r="D316" i="4"/>
  <c r="C316" i="4"/>
  <c r="E315" i="4"/>
  <c r="D315" i="4"/>
  <c r="C315" i="4"/>
  <c r="E314" i="4"/>
  <c r="D314" i="4"/>
  <c r="C314" i="4"/>
  <c r="E313" i="4"/>
  <c r="D313" i="4"/>
  <c r="C313" i="4"/>
  <c r="E312" i="4"/>
  <c r="D312" i="4"/>
  <c r="C312" i="4"/>
  <c r="E311" i="4"/>
  <c r="D311" i="4"/>
  <c r="C311" i="4"/>
  <c r="E310" i="4"/>
  <c r="D310" i="4"/>
  <c r="C310" i="4"/>
  <c r="E309" i="4"/>
  <c r="D309" i="4"/>
  <c r="C309" i="4"/>
  <c r="E308" i="4"/>
  <c r="D308" i="4"/>
  <c r="C308" i="4"/>
  <c r="E307" i="4"/>
  <c r="D307" i="4"/>
  <c r="C307" i="4"/>
  <c r="E306" i="4"/>
  <c r="D306" i="4"/>
  <c r="C306" i="4"/>
  <c r="E305" i="4"/>
  <c r="D305" i="4"/>
  <c r="C305" i="4"/>
  <c r="E304" i="4"/>
  <c r="D304" i="4"/>
  <c r="C304" i="4"/>
  <c r="E303" i="4"/>
  <c r="D303" i="4"/>
  <c r="C303" i="4"/>
  <c r="E302" i="4"/>
  <c r="D302" i="4"/>
  <c r="C302" i="4"/>
  <c r="E301" i="4"/>
  <c r="D301" i="4"/>
  <c r="C301" i="4"/>
  <c r="E300" i="4"/>
  <c r="D300" i="4"/>
  <c r="C300" i="4"/>
  <c r="E299" i="4"/>
  <c r="D299" i="4"/>
  <c r="C299" i="4"/>
  <c r="E298" i="4"/>
  <c r="D298" i="4"/>
  <c r="C298" i="4"/>
  <c r="E297" i="4"/>
  <c r="D297" i="4"/>
  <c r="C297" i="4"/>
  <c r="E296" i="4"/>
  <c r="D296" i="4"/>
  <c r="C296" i="4"/>
  <c r="E295" i="4"/>
  <c r="D295" i="4"/>
  <c r="C295" i="4"/>
  <c r="E294" i="4"/>
  <c r="D294" i="4"/>
  <c r="C294" i="4"/>
  <c r="E293" i="4"/>
  <c r="D293" i="4"/>
  <c r="C293" i="4"/>
  <c r="E292" i="4"/>
  <c r="D292" i="4"/>
  <c r="C292" i="4"/>
  <c r="E291" i="4"/>
  <c r="D291" i="4"/>
  <c r="C291" i="4"/>
  <c r="E290" i="4"/>
  <c r="D290" i="4"/>
  <c r="C290" i="4"/>
  <c r="E289" i="4"/>
  <c r="D289" i="4"/>
  <c r="C289" i="4"/>
  <c r="E288" i="4"/>
  <c r="D288" i="4"/>
  <c r="C288" i="4"/>
  <c r="E287" i="4"/>
  <c r="D287" i="4"/>
  <c r="C287" i="4"/>
  <c r="E286" i="4"/>
  <c r="D286" i="4"/>
  <c r="C286" i="4"/>
  <c r="E285" i="4"/>
  <c r="D285" i="4"/>
  <c r="C285" i="4"/>
  <c r="E284" i="4"/>
  <c r="D284" i="4"/>
  <c r="C284" i="4"/>
  <c r="E283" i="4"/>
  <c r="D283" i="4"/>
  <c r="C283" i="4"/>
  <c r="E282" i="4"/>
  <c r="D282" i="4"/>
  <c r="C282" i="4"/>
  <c r="E281" i="4"/>
  <c r="D281" i="4"/>
  <c r="C281" i="4"/>
  <c r="E280" i="4"/>
  <c r="D280" i="4"/>
  <c r="C280" i="4"/>
  <c r="E279" i="4"/>
  <c r="D279" i="4"/>
  <c r="C279" i="4"/>
  <c r="E278" i="4"/>
  <c r="D278" i="4"/>
  <c r="C278" i="4"/>
  <c r="E277" i="4"/>
  <c r="D277" i="4"/>
  <c r="C277" i="4"/>
  <c r="E276" i="4"/>
  <c r="D276" i="4"/>
  <c r="C276" i="4"/>
  <c r="E275" i="4"/>
  <c r="D275" i="4"/>
  <c r="C275" i="4"/>
  <c r="E274" i="4"/>
  <c r="D274" i="4"/>
  <c r="C274" i="4"/>
  <c r="E273" i="4"/>
  <c r="D273" i="4"/>
  <c r="C273" i="4"/>
  <c r="E272" i="4"/>
  <c r="D272" i="4"/>
  <c r="C272" i="4"/>
  <c r="E271" i="4"/>
  <c r="D271" i="4"/>
  <c r="C271" i="4"/>
  <c r="E270" i="4"/>
  <c r="D270" i="4"/>
  <c r="C270" i="4"/>
  <c r="E269" i="4"/>
  <c r="D269" i="4"/>
  <c r="C269" i="4"/>
  <c r="E268" i="4"/>
  <c r="D268" i="4"/>
  <c r="C268" i="4"/>
  <c r="E267" i="4"/>
  <c r="D267" i="4"/>
  <c r="C267" i="4"/>
  <c r="E266" i="4"/>
  <c r="D266" i="4"/>
  <c r="C266" i="4"/>
  <c r="E265" i="4"/>
  <c r="D265" i="4"/>
  <c r="C265" i="4"/>
  <c r="E264" i="4"/>
  <c r="D264" i="4"/>
  <c r="C264" i="4"/>
  <c r="E263" i="4"/>
  <c r="D263" i="4"/>
  <c r="C263" i="4"/>
  <c r="E262" i="4"/>
  <c r="D262" i="4"/>
  <c r="C262" i="4"/>
  <c r="E261" i="4"/>
  <c r="D261" i="4"/>
  <c r="C261" i="4"/>
  <c r="E260" i="4"/>
  <c r="D260" i="4"/>
  <c r="C260" i="4"/>
  <c r="E259" i="4"/>
  <c r="D259" i="4"/>
  <c r="C259" i="4"/>
  <c r="E258" i="4"/>
  <c r="D258" i="4"/>
  <c r="C258" i="4"/>
  <c r="E257" i="4"/>
  <c r="D257" i="4"/>
  <c r="C257" i="4"/>
  <c r="E256" i="4"/>
  <c r="D256" i="4"/>
  <c r="C256" i="4"/>
  <c r="E255" i="4"/>
  <c r="D255" i="4"/>
  <c r="C255" i="4"/>
  <c r="E254" i="4"/>
  <c r="D254" i="4"/>
  <c r="C254" i="4"/>
  <c r="E253" i="4"/>
  <c r="D253" i="4"/>
  <c r="C253" i="4"/>
  <c r="E252" i="4"/>
  <c r="D252" i="4"/>
  <c r="C252" i="4"/>
  <c r="E251" i="4"/>
  <c r="D251" i="4"/>
  <c r="C251" i="4"/>
  <c r="E250" i="4"/>
  <c r="D250" i="4"/>
  <c r="C250" i="4"/>
  <c r="E249" i="4"/>
  <c r="D249" i="4"/>
  <c r="C249" i="4"/>
  <c r="E248" i="4"/>
  <c r="D248" i="4"/>
  <c r="C248" i="4"/>
  <c r="E247" i="4"/>
  <c r="D247" i="4"/>
  <c r="C247" i="4"/>
  <c r="E246" i="4"/>
  <c r="D246" i="4"/>
  <c r="C246" i="4"/>
  <c r="E245" i="4"/>
  <c r="D245" i="4"/>
  <c r="C245" i="4"/>
  <c r="E244" i="4"/>
  <c r="D244" i="4"/>
  <c r="C244" i="4"/>
  <c r="E243" i="4"/>
  <c r="D243" i="4"/>
  <c r="C243" i="4"/>
  <c r="E242" i="4"/>
  <c r="D242" i="4"/>
  <c r="C242" i="4"/>
  <c r="E241" i="4"/>
  <c r="D241" i="4"/>
  <c r="C241" i="4"/>
  <c r="E240" i="4"/>
  <c r="D240" i="4"/>
  <c r="C240" i="4"/>
  <c r="E239" i="4"/>
  <c r="D239" i="4"/>
  <c r="C239" i="4"/>
  <c r="E238" i="4"/>
  <c r="D238" i="4"/>
  <c r="C238" i="4"/>
  <c r="E237" i="4"/>
  <c r="D237" i="4"/>
  <c r="C237" i="4"/>
  <c r="E236" i="4"/>
  <c r="D236" i="4"/>
  <c r="C236" i="4"/>
  <c r="E235" i="4"/>
  <c r="D235" i="4"/>
  <c r="C235" i="4"/>
  <c r="E234" i="4"/>
  <c r="D234" i="4"/>
  <c r="C234" i="4"/>
  <c r="E233" i="4"/>
  <c r="D233" i="4"/>
  <c r="C233" i="4"/>
  <c r="E232" i="4"/>
  <c r="D232" i="4"/>
  <c r="C232" i="4"/>
  <c r="E231" i="4"/>
  <c r="D231" i="4"/>
  <c r="C231" i="4"/>
  <c r="E230" i="4"/>
  <c r="D230" i="4"/>
  <c r="C230" i="4"/>
  <c r="E229" i="4"/>
  <c r="D229" i="4"/>
  <c r="C229" i="4"/>
  <c r="E228" i="4"/>
  <c r="D228" i="4"/>
  <c r="C228" i="4"/>
  <c r="E227" i="4"/>
  <c r="D227" i="4"/>
  <c r="C227" i="4"/>
  <c r="E226" i="4"/>
  <c r="D226" i="4"/>
  <c r="C226" i="4"/>
  <c r="E225" i="4"/>
  <c r="D225" i="4"/>
  <c r="C225" i="4"/>
  <c r="E224" i="4"/>
  <c r="D224" i="4"/>
  <c r="C224" i="4"/>
  <c r="E223" i="4"/>
  <c r="D223" i="4"/>
  <c r="C223" i="4"/>
  <c r="E222" i="4"/>
  <c r="D222" i="4"/>
  <c r="C222" i="4"/>
  <c r="E221" i="4"/>
  <c r="D221" i="4"/>
  <c r="C221" i="4"/>
  <c r="E220" i="4"/>
  <c r="D220" i="4"/>
  <c r="C220" i="4"/>
  <c r="E219" i="4"/>
  <c r="D219" i="4"/>
  <c r="C219" i="4"/>
  <c r="E218" i="4"/>
  <c r="D218" i="4"/>
  <c r="C218" i="4"/>
  <c r="E217" i="4"/>
  <c r="D217" i="4"/>
  <c r="C217" i="4"/>
  <c r="E216" i="4"/>
  <c r="D216" i="4"/>
  <c r="C216" i="4"/>
  <c r="E215" i="4"/>
  <c r="D215" i="4"/>
  <c r="C215" i="4"/>
  <c r="E214" i="4"/>
  <c r="D214" i="4"/>
  <c r="C214" i="4"/>
  <c r="E213" i="4"/>
  <c r="D213" i="4"/>
  <c r="C213" i="4"/>
  <c r="E212" i="4"/>
  <c r="D212" i="4"/>
  <c r="C212" i="4"/>
  <c r="E211" i="4"/>
  <c r="D211" i="4"/>
  <c r="C211" i="4"/>
  <c r="E210" i="4"/>
  <c r="D210" i="4"/>
  <c r="C210" i="4"/>
  <c r="E209" i="4"/>
  <c r="D209" i="4"/>
  <c r="C209" i="4"/>
  <c r="E208" i="4"/>
  <c r="D208" i="4"/>
  <c r="C208" i="4"/>
  <c r="E207" i="4"/>
  <c r="D207" i="4"/>
  <c r="C207" i="4"/>
  <c r="E206" i="4"/>
  <c r="D206" i="4"/>
  <c r="C206" i="4"/>
  <c r="E205" i="4"/>
  <c r="D205" i="4"/>
  <c r="C205" i="4"/>
  <c r="E204" i="4"/>
  <c r="D204" i="4"/>
  <c r="C204" i="4"/>
  <c r="E203" i="4"/>
  <c r="D203" i="4"/>
  <c r="C203" i="4"/>
  <c r="E202" i="4"/>
  <c r="D202" i="4"/>
  <c r="C202" i="4"/>
  <c r="E201" i="4"/>
  <c r="D201" i="4"/>
  <c r="C201" i="4"/>
  <c r="E200" i="4"/>
  <c r="D200" i="4"/>
  <c r="C200" i="4"/>
  <c r="E199" i="4"/>
  <c r="D199" i="4"/>
  <c r="C199" i="4"/>
  <c r="E198" i="4"/>
  <c r="D198" i="4"/>
  <c r="C198" i="4"/>
  <c r="E197" i="4"/>
  <c r="D197" i="4"/>
  <c r="C197" i="4"/>
  <c r="E196" i="4"/>
  <c r="D196" i="4"/>
  <c r="C196" i="4"/>
  <c r="E195" i="4"/>
  <c r="D195" i="4"/>
  <c r="C195" i="4"/>
  <c r="E194" i="4"/>
  <c r="D194" i="4"/>
  <c r="C194" i="4"/>
  <c r="E193" i="4"/>
  <c r="D193" i="4"/>
  <c r="C193" i="4"/>
  <c r="E192" i="4"/>
  <c r="D192" i="4"/>
  <c r="C192" i="4"/>
  <c r="E191" i="4"/>
  <c r="D191" i="4"/>
  <c r="C191" i="4"/>
  <c r="E190" i="4"/>
  <c r="D190" i="4"/>
  <c r="C190" i="4"/>
  <c r="E189" i="4"/>
  <c r="D189" i="4"/>
  <c r="C189" i="4"/>
  <c r="E188" i="4"/>
  <c r="D188" i="4"/>
  <c r="C188" i="4"/>
  <c r="E187" i="4"/>
  <c r="D187" i="4"/>
  <c r="C187" i="4"/>
  <c r="E186" i="4"/>
  <c r="D186" i="4"/>
  <c r="C186" i="4"/>
  <c r="E185" i="4"/>
  <c r="D185" i="4"/>
  <c r="C185" i="4"/>
  <c r="E184" i="4"/>
  <c r="D184" i="4"/>
  <c r="C184" i="4"/>
  <c r="E183" i="4"/>
  <c r="D183" i="4"/>
  <c r="C183" i="4"/>
  <c r="E182" i="4"/>
  <c r="D182" i="4"/>
  <c r="C182" i="4"/>
  <c r="E181" i="4"/>
  <c r="D181" i="4"/>
  <c r="C181" i="4"/>
  <c r="E180" i="4"/>
  <c r="D180" i="4"/>
  <c r="C180" i="4"/>
  <c r="E179" i="4"/>
  <c r="D179" i="4"/>
  <c r="C179" i="4"/>
  <c r="E178" i="4"/>
  <c r="D178" i="4"/>
  <c r="C178" i="4"/>
  <c r="E177" i="4"/>
  <c r="D177" i="4"/>
  <c r="C177" i="4"/>
  <c r="E176" i="4"/>
  <c r="D176" i="4"/>
  <c r="C176" i="4"/>
  <c r="E175" i="4"/>
  <c r="D175" i="4"/>
  <c r="C175" i="4"/>
  <c r="E174" i="4"/>
  <c r="D174" i="4"/>
  <c r="C174" i="4"/>
  <c r="E173" i="4"/>
  <c r="D173" i="4"/>
  <c r="C173" i="4"/>
  <c r="E172" i="4"/>
  <c r="D172" i="4"/>
  <c r="C172" i="4"/>
  <c r="E171" i="4"/>
  <c r="D171" i="4"/>
  <c r="C171" i="4"/>
  <c r="E170" i="4"/>
  <c r="D170" i="4"/>
  <c r="C170" i="4"/>
  <c r="E169" i="4"/>
  <c r="D169" i="4"/>
  <c r="C169" i="4"/>
  <c r="E168" i="4"/>
  <c r="D168" i="4"/>
  <c r="C168" i="4"/>
  <c r="E167" i="4"/>
  <c r="D167" i="4"/>
  <c r="C167" i="4"/>
  <c r="E166" i="4"/>
  <c r="D166" i="4"/>
  <c r="C166" i="4"/>
  <c r="E165" i="4"/>
  <c r="D165" i="4"/>
  <c r="C165" i="4"/>
  <c r="E164" i="4"/>
  <c r="D164" i="4"/>
  <c r="C164" i="4"/>
  <c r="E163" i="4"/>
  <c r="D163" i="4"/>
  <c r="C163" i="4"/>
  <c r="E162" i="4"/>
  <c r="D162" i="4"/>
  <c r="C162" i="4"/>
  <c r="E161" i="4"/>
  <c r="D161" i="4"/>
  <c r="C161" i="4"/>
  <c r="E160" i="4"/>
  <c r="D160" i="4"/>
  <c r="C160" i="4"/>
  <c r="E159" i="4"/>
  <c r="D159" i="4"/>
  <c r="C159" i="4"/>
  <c r="E158" i="4"/>
  <c r="D158" i="4"/>
  <c r="C158" i="4"/>
  <c r="E157" i="4"/>
  <c r="D157" i="4"/>
  <c r="C157" i="4"/>
  <c r="E156" i="4"/>
  <c r="D156" i="4"/>
  <c r="C156" i="4"/>
  <c r="E155" i="4"/>
  <c r="D155" i="4"/>
  <c r="C155" i="4"/>
  <c r="E154" i="4"/>
  <c r="D154" i="4"/>
  <c r="C154" i="4"/>
  <c r="E153" i="4"/>
  <c r="D153" i="4"/>
  <c r="C153" i="4"/>
  <c r="E152" i="4"/>
  <c r="D152" i="4"/>
  <c r="C152" i="4"/>
  <c r="E151" i="4"/>
  <c r="D151" i="4"/>
  <c r="C151" i="4"/>
  <c r="E150" i="4"/>
  <c r="D150" i="4"/>
  <c r="C150" i="4"/>
  <c r="E149" i="4"/>
  <c r="D149" i="4"/>
  <c r="C149" i="4"/>
  <c r="E148" i="4"/>
  <c r="D148" i="4"/>
  <c r="C148" i="4"/>
  <c r="E147" i="4"/>
  <c r="D147" i="4"/>
  <c r="C147" i="4"/>
  <c r="E146" i="4"/>
  <c r="D146" i="4"/>
  <c r="C146" i="4"/>
  <c r="E145" i="4"/>
  <c r="D145" i="4"/>
  <c r="C145" i="4"/>
  <c r="E144" i="4"/>
  <c r="D144" i="4"/>
  <c r="C144" i="4"/>
  <c r="E143" i="4"/>
  <c r="D143" i="4"/>
  <c r="C143" i="4"/>
  <c r="E142" i="4"/>
  <c r="D142" i="4"/>
  <c r="C142" i="4"/>
  <c r="E141" i="4"/>
  <c r="D141" i="4"/>
  <c r="C141" i="4"/>
  <c r="E140" i="4"/>
  <c r="D140" i="4"/>
  <c r="C140" i="4"/>
  <c r="E139" i="4"/>
  <c r="D139" i="4"/>
  <c r="C139" i="4"/>
  <c r="E138" i="4"/>
  <c r="D138" i="4"/>
  <c r="C138" i="4"/>
  <c r="E137" i="4"/>
  <c r="D137" i="4"/>
  <c r="C137" i="4"/>
  <c r="E136" i="4"/>
  <c r="D136" i="4"/>
  <c r="C136" i="4"/>
  <c r="E135" i="4"/>
  <c r="D135" i="4"/>
  <c r="C135" i="4"/>
  <c r="E134" i="4"/>
  <c r="D134" i="4"/>
  <c r="C134" i="4"/>
  <c r="E133" i="4"/>
  <c r="D133" i="4"/>
  <c r="C133" i="4"/>
  <c r="E132" i="4"/>
  <c r="D132" i="4"/>
  <c r="C132" i="4"/>
  <c r="E131" i="4"/>
  <c r="D131" i="4"/>
  <c r="C131" i="4"/>
  <c r="E130" i="4"/>
  <c r="D130" i="4"/>
  <c r="C130" i="4"/>
  <c r="E129" i="4"/>
  <c r="D129" i="4"/>
  <c r="C129" i="4"/>
  <c r="E128" i="4"/>
  <c r="D128" i="4"/>
  <c r="C128" i="4"/>
  <c r="E127" i="4"/>
  <c r="D127" i="4"/>
  <c r="C127" i="4"/>
  <c r="E126" i="4"/>
  <c r="D126" i="4"/>
  <c r="C126" i="4"/>
  <c r="E125" i="4"/>
  <c r="D125" i="4"/>
  <c r="C125" i="4"/>
  <c r="E124" i="4"/>
  <c r="D124" i="4"/>
  <c r="C124" i="4"/>
  <c r="E123" i="4"/>
  <c r="D123" i="4"/>
  <c r="C123" i="4"/>
  <c r="E122" i="4"/>
  <c r="D122" i="4"/>
  <c r="C122" i="4"/>
  <c r="E121" i="4"/>
  <c r="D121" i="4"/>
  <c r="C121" i="4"/>
  <c r="E120" i="4"/>
  <c r="D120" i="4"/>
  <c r="C120" i="4"/>
  <c r="E119" i="4"/>
  <c r="D119" i="4"/>
  <c r="C119" i="4"/>
  <c r="E118" i="4"/>
  <c r="D118" i="4"/>
  <c r="C118" i="4"/>
  <c r="E117" i="4"/>
  <c r="D117" i="4"/>
  <c r="C117" i="4"/>
  <c r="E116" i="4"/>
  <c r="D116" i="4"/>
  <c r="C116" i="4"/>
  <c r="E115" i="4"/>
  <c r="D115" i="4"/>
  <c r="C115" i="4"/>
  <c r="E114" i="4"/>
  <c r="D114" i="4"/>
  <c r="C114" i="4"/>
  <c r="E113" i="4"/>
  <c r="D113" i="4"/>
  <c r="C113" i="4"/>
  <c r="E112" i="4"/>
  <c r="D112" i="4"/>
  <c r="C112" i="4"/>
  <c r="E111" i="4"/>
  <c r="D111" i="4"/>
  <c r="C111" i="4"/>
  <c r="E110" i="4"/>
  <c r="D110" i="4"/>
  <c r="C110" i="4"/>
  <c r="E109" i="4"/>
  <c r="D109" i="4"/>
  <c r="C109" i="4"/>
  <c r="E108" i="4"/>
  <c r="D108" i="4"/>
  <c r="C108" i="4"/>
  <c r="E107" i="4"/>
  <c r="D107" i="4"/>
  <c r="C107" i="4"/>
  <c r="E106" i="4"/>
  <c r="D106" i="4"/>
  <c r="C106" i="4"/>
  <c r="E105" i="4"/>
  <c r="D105" i="4"/>
  <c r="C105" i="4"/>
  <c r="E104" i="4"/>
  <c r="D104" i="4"/>
  <c r="C104" i="4"/>
  <c r="E103" i="4"/>
  <c r="D103" i="4"/>
  <c r="C103" i="4"/>
  <c r="E102" i="4"/>
  <c r="D102" i="4"/>
  <c r="C102" i="4"/>
  <c r="E101" i="4"/>
  <c r="D101" i="4"/>
  <c r="C101" i="4"/>
  <c r="E100" i="4"/>
  <c r="D100" i="4"/>
  <c r="C100" i="4"/>
  <c r="E99" i="4"/>
  <c r="D99" i="4"/>
  <c r="C99" i="4"/>
  <c r="E98" i="4"/>
  <c r="D98" i="4"/>
  <c r="C98" i="4"/>
  <c r="E97" i="4"/>
  <c r="D97" i="4"/>
  <c r="C97" i="4"/>
  <c r="E96" i="4"/>
  <c r="D96" i="4"/>
  <c r="C96" i="4"/>
  <c r="E95" i="4"/>
  <c r="D95" i="4"/>
  <c r="C95" i="4"/>
  <c r="E94" i="4"/>
  <c r="D94" i="4"/>
  <c r="C94" i="4"/>
  <c r="E93" i="4"/>
  <c r="D93" i="4"/>
  <c r="C93" i="4"/>
  <c r="E92" i="4"/>
  <c r="D92" i="4"/>
  <c r="C92" i="4"/>
  <c r="E91" i="4"/>
  <c r="D91" i="4"/>
  <c r="C91" i="4"/>
  <c r="E90" i="4"/>
  <c r="D90" i="4"/>
  <c r="C90" i="4"/>
  <c r="E89" i="4"/>
  <c r="D89" i="4"/>
  <c r="C89" i="4"/>
  <c r="E88" i="4"/>
  <c r="D88" i="4"/>
  <c r="C88" i="4"/>
  <c r="E87" i="4"/>
  <c r="D87" i="4"/>
  <c r="C87" i="4"/>
  <c r="E86" i="4"/>
  <c r="D86" i="4"/>
  <c r="C86" i="4"/>
  <c r="E85" i="4"/>
  <c r="D85" i="4"/>
  <c r="C85" i="4"/>
  <c r="E84" i="4"/>
  <c r="D84" i="4"/>
  <c r="C84" i="4"/>
  <c r="E83" i="4"/>
  <c r="D83" i="4"/>
  <c r="C83" i="4"/>
  <c r="E82" i="4"/>
  <c r="D82" i="4"/>
  <c r="C82" i="4"/>
  <c r="E81" i="4"/>
  <c r="D81" i="4"/>
  <c r="C81" i="4"/>
  <c r="E80" i="4"/>
  <c r="D80" i="4"/>
  <c r="C80" i="4"/>
  <c r="E79" i="4"/>
  <c r="D79" i="4"/>
  <c r="C79" i="4"/>
  <c r="E78" i="4"/>
  <c r="D78" i="4"/>
  <c r="C78" i="4"/>
  <c r="E77" i="4"/>
  <c r="D77" i="4"/>
  <c r="C77" i="4"/>
  <c r="E76" i="4"/>
  <c r="D76" i="4"/>
  <c r="C76" i="4"/>
  <c r="E75" i="4"/>
  <c r="D75" i="4"/>
  <c r="C75" i="4"/>
  <c r="E74" i="4"/>
  <c r="D74" i="4"/>
  <c r="C74" i="4"/>
  <c r="E73" i="4"/>
  <c r="D73" i="4"/>
  <c r="C73" i="4"/>
  <c r="E72" i="4"/>
  <c r="D72" i="4"/>
  <c r="C72" i="4"/>
  <c r="E71" i="4"/>
  <c r="D71" i="4"/>
  <c r="C71" i="4"/>
  <c r="E70" i="4"/>
  <c r="D70" i="4"/>
  <c r="C70" i="4"/>
  <c r="E69" i="4"/>
  <c r="D69" i="4"/>
  <c r="C69" i="4"/>
  <c r="E68" i="4"/>
  <c r="D68" i="4"/>
  <c r="C68" i="4"/>
  <c r="E67" i="4"/>
  <c r="D67" i="4"/>
  <c r="C67" i="4"/>
  <c r="E66" i="4"/>
  <c r="D66" i="4"/>
  <c r="C66" i="4"/>
  <c r="E65" i="4"/>
  <c r="D65" i="4"/>
  <c r="C65" i="4"/>
  <c r="E64" i="4"/>
  <c r="D64" i="4"/>
  <c r="C64" i="4"/>
  <c r="E63" i="4"/>
  <c r="D63" i="4"/>
  <c r="C63" i="4"/>
  <c r="E62" i="4"/>
  <c r="D62" i="4"/>
  <c r="C62" i="4"/>
  <c r="E61" i="4"/>
  <c r="D61" i="4"/>
  <c r="C61" i="4"/>
  <c r="E60" i="4"/>
  <c r="D60" i="4"/>
  <c r="C60" i="4"/>
  <c r="E59" i="4"/>
  <c r="D59" i="4"/>
  <c r="C59" i="4"/>
  <c r="E58" i="4"/>
  <c r="D58" i="4"/>
  <c r="C58" i="4"/>
  <c r="E57" i="4"/>
  <c r="D57" i="4"/>
  <c r="C57" i="4"/>
  <c r="E56" i="4"/>
  <c r="D56" i="4"/>
  <c r="C56" i="4"/>
  <c r="E55" i="4"/>
  <c r="D55" i="4"/>
  <c r="C55" i="4"/>
  <c r="E54" i="4"/>
  <c r="D54" i="4"/>
  <c r="C54" i="4"/>
  <c r="E53" i="4"/>
  <c r="D53" i="4"/>
  <c r="C53" i="4"/>
  <c r="E52" i="4"/>
  <c r="D52" i="4"/>
  <c r="C52" i="4"/>
  <c r="E51" i="4"/>
  <c r="D51" i="4"/>
  <c r="C51" i="4"/>
  <c r="E50" i="4"/>
  <c r="D50" i="4"/>
  <c r="C50" i="4"/>
  <c r="E49" i="4"/>
  <c r="D49" i="4"/>
  <c r="C49" i="4"/>
  <c r="E48" i="4"/>
  <c r="D48" i="4"/>
  <c r="C48" i="4"/>
  <c r="E47" i="4"/>
  <c r="D47" i="4"/>
  <c r="C47" i="4"/>
  <c r="E46" i="4"/>
  <c r="D46" i="4"/>
  <c r="C46" i="4"/>
  <c r="E45" i="4"/>
  <c r="D45" i="4"/>
  <c r="C45" i="4"/>
  <c r="E44" i="4"/>
  <c r="D44" i="4"/>
  <c r="C44" i="4"/>
  <c r="E43" i="4"/>
  <c r="D43" i="4"/>
  <c r="C43" i="4"/>
  <c r="E42" i="4"/>
  <c r="D42" i="4"/>
  <c r="C42" i="4"/>
  <c r="E41" i="4"/>
  <c r="D41" i="4"/>
  <c r="C41" i="4"/>
  <c r="E40" i="4"/>
  <c r="D40" i="4"/>
  <c r="C40" i="4"/>
  <c r="E39" i="4"/>
  <c r="D39" i="4"/>
  <c r="C39" i="4"/>
  <c r="E38" i="4"/>
  <c r="D38" i="4"/>
  <c r="C38" i="4"/>
  <c r="E37" i="4"/>
  <c r="D37" i="4"/>
  <c r="C37" i="4"/>
  <c r="E36" i="4"/>
  <c r="D36" i="4"/>
  <c r="C36" i="4"/>
  <c r="E35" i="4"/>
  <c r="D35" i="4"/>
  <c r="C35" i="4"/>
  <c r="E34" i="4"/>
  <c r="D34" i="4"/>
  <c r="C34" i="4"/>
  <c r="E33" i="4"/>
  <c r="D33" i="4"/>
  <c r="C33" i="4"/>
  <c r="E32" i="4"/>
  <c r="D32" i="4"/>
  <c r="C32" i="4"/>
  <c r="E31" i="4"/>
  <c r="D31" i="4"/>
  <c r="C31" i="4"/>
  <c r="E30" i="4"/>
  <c r="D30" i="4"/>
  <c r="C30" i="4"/>
  <c r="E29" i="4"/>
  <c r="D29" i="4"/>
  <c r="C29" i="4"/>
  <c r="E28" i="4"/>
  <c r="D28" i="4"/>
  <c r="C28" i="4"/>
  <c r="E27" i="4"/>
  <c r="D27" i="4"/>
  <c r="C27" i="4"/>
  <c r="E26" i="4"/>
  <c r="D26" i="4"/>
  <c r="C26" i="4"/>
  <c r="E25" i="4"/>
  <c r="D25" i="4"/>
  <c r="C25" i="4"/>
  <c r="E24" i="4"/>
  <c r="D24" i="4"/>
  <c r="C24" i="4"/>
  <c r="E23" i="4"/>
  <c r="D23" i="4"/>
  <c r="C23" i="4"/>
  <c r="E22" i="4"/>
  <c r="D22" i="4"/>
  <c r="C22" i="4"/>
  <c r="E21" i="4"/>
  <c r="D21" i="4"/>
  <c r="C21" i="4"/>
  <c r="E20" i="4"/>
  <c r="D20" i="4"/>
  <c r="C20" i="4"/>
  <c r="E19" i="4"/>
  <c r="D19" i="4"/>
  <c r="C19" i="4"/>
  <c r="E18" i="4"/>
  <c r="D18" i="4"/>
  <c r="C18" i="4"/>
  <c r="E17" i="4"/>
  <c r="D17" i="4"/>
  <c r="C17" i="4"/>
  <c r="E16" i="4"/>
  <c r="D16" i="4"/>
  <c r="C16" i="4"/>
  <c r="E15" i="4"/>
  <c r="D15" i="4"/>
  <c r="C15" i="4"/>
  <c r="E14" i="4"/>
  <c r="D14" i="4"/>
  <c r="C14" i="4"/>
  <c r="E13" i="4"/>
  <c r="D13" i="4"/>
  <c r="C13" i="4"/>
  <c r="N12" i="4"/>
  <c r="N12" i="4" a="1"/>
  <c r="E12" i="4"/>
  <c r="D12" i="4"/>
  <c r="C12" i="4"/>
  <c r="E11" i="4"/>
  <c r="D11" i="4"/>
  <c r="C11" i="4"/>
  <c r="E10" i="4"/>
  <c r="D10" i="4"/>
  <c r="C10" i="4"/>
  <c r="E9" i="4"/>
  <c r="D9" i="4"/>
  <c r="C9" i="4"/>
  <c r="N8" i="4"/>
  <c r="E8" i="4"/>
  <c r="D8" i="4"/>
  <c r="C8" i="4"/>
  <c r="E7" i="4"/>
  <c r="D7" i="4"/>
  <c r="C7" i="4"/>
  <c r="N6" i="4"/>
  <c r="E6" i="4"/>
  <c r="D6" i="4"/>
  <c r="C6" i="4"/>
  <c r="E5" i="4"/>
  <c r="D5" i="4"/>
  <c r="C5" i="4"/>
  <c r="N4" i="4"/>
  <c r="E4" i="4"/>
  <c r="D4" i="4"/>
  <c r="C4" i="4"/>
  <c r="E3" i="4"/>
  <c r="D3" i="4"/>
  <c r="C3" i="4"/>
  <c r="N2" i="4"/>
  <c r="E2" i="4"/>
  <c r="D2" i="4"/>
  <c r="C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958D50-B238-44B7-A35D-EFFD656EBAA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5EBFE1A-A85F-4260-9BE7-C6534491FE0C}" name="WorksheetConnection_DLC Projext work.xlsx!Table1" type="102" refreshedVersion="8" minRefreshableVersion="5">
    <extLst>
      <ext xmlns:x15="http://schemas.microsoft.com/office/spreadsheetml/2010/11/main" uri="{DE250136-89BD-433C-8126-D09CA5730AF9}">
        <x15:connection id="Table1" autoDelete="1">
          <x15:rangePr sourceName="_xlcn.WorksheetConnection_DLCProjextwork.xlsx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<sst xmlns="http://schemas.openxmlformats.org/spreadsheetml/2006/main" count="17687" uniqueCount="1544">
  <si>
    <t>Order ID</t>
  </si>
  <si>
    <t>Order Date</t>
  </si>
  <si>
    <t>Order Quantity</t>
  </si>
  <si>
    <t>Ship Mode</t>
  </si>
  <si>
    <t>Unit Price</t>
  </si>
  <si>
    <t>Customer Name</t>
  </si>
  <si>
    <t>Customer Segment</t>
  </si>
  <si>
    <t>Product Category</t>
  </si>
  <si>
    <t>Regular Air</t>
  </si>
  <si>
    <t>Muhammed MacIntyre</t>
  </si>
  <si>
    <t>Small Business</t>
  </si>
  <si>
    <t>Office Supplies</t>
  </si>
  <si>
    <t>Ruben Dartt</t>
  </si>
  <si>
    <t>Corporate</t>
  </si>
  <si>
    <t>Liz Pelletier</t>
  </si>
  <si>
    <t>Furniture</t>
  </si>
  <si>
    <t>Delivery Truck</t>
  </si>
  <si>
    <t>Technology</t>
  </si>
  <si>
    <t>Julie Creighton</t>
  </si>
  <si>
    <t>Sample Company A</t>
  </si>
  <si>
    <t>Home Office</t>
  </si>
  <si>
    <t>Tamara Dahlen</t>
  </si>
  <si>
    <t>Arthur Gainer</t>
  </si>
  <si>
    <t>Consumer</t>
  </si>
  <si>
    <t>Jonathan Doherty</t>
  </si>
  <si>
    <t>Express Air</t>
  </si>
  <si>
    <t>Helen Wasserman</t>
  </si>
  <si>
    <t>Keith Dawkins</t>
  </si>
  <si>
    <t>Craig Yedwab</t>
  </si>
  <si>
    <t>Pauline Chand</t>
  </si>
  <si>
    <t>Roy Collins</t>
  </si>
  <si>
    <t>Emily Phan</t>
  </si>
  <si>
    <t>Michael Dominguez</t>
  </si>
  <si>
    <t>Anne Pryor</t>
  </si>
  <si>
    <t>Valerie Takahito</t>
  </si>
  <si>
    <t>Justin Hirsh</t>
  </si>
  <si>
    <t>Maria Zettner</t>
  </si>
  <si>
    <t>Brad Thomas</t>
  </si>
  <si>
    <t>Penelope Sewall</t>
  </si>
  <si>
    <t>Bart Folk</t>
  </si>
  <si>
    <t>Karen Ferguson</t>
  </si>
  <si>
    <t>Matt Abelman</t>
  </si>
  <si>
    <t>Peter Fuller</t>
  </si>
  <si>
    <t>Erin Creighton</t>
  </si>
  <si>
    <t>Sean Braxton</t>
  </si>
  <si>
    <t>Liz Willingham</t>
  </si>
  <si>
    <t>Sonia Sunley</t>
  </si>
  <si>
    <t>Paul Lucas</t>
  </si>
  <si>
    <t>Dorris Love</t>
  </si>
  <si>
    <t>Barry French</t>
  </si>
  <si>
    <t>Sanjit Chand</t>
  </si>
  <si>
    <t>Giulietta Weimer</t>
  </si>
  <si>
    <t>Dario Medina</t>
  </si>
  <si>
    <t>Frank Gastineau</t>
  </si>
  <si>
    <t>Michelle Tran</t>
  </si>
  <si>
    <t>Dean Percer</t>
  </si>
  <si>
    <t>Henry MacAllister</t>
  </si>
  <si>
    <t>Ricardo Block</t>
  </si>
  <si>
    <t>Cari Sayre</t>
  </si>
  <si>
    <t>Sonia Cooley</t>
  </si>
  <si>
    <t>Tracy Poddar</t>
  </si>
  <si>
    <t>Jennifer Halladay</t>
  </si>
  <si>
    <t>Stuart Calhoun</t>
  </si>
  <si>
    <t>Robert Barroso</t>
  </si>
  <si>
    <t>Tony Sayre</t>
  </si>
  <si>
    <t>Candace McMahon</t>
  </si>
  <si>
    <t>Matt Collins</t>
  </si>
  <si>
    <t>Darrin Martin</t>
  </si>
  <si>
    <t>Art Foster</t>
  </si>
  <si>
    <t>Clay Rozendal</t>
  </si>
  <si>
    <t>Valerie Dominguez</t>
  </si>
  <si>
    <t>Sam Craven</t>
  </si>
  <si>
    <t>Arthur Prichep</t>
  </si>
  <si>
    <t>Carlos Soltero</t>
  </si>
  <si>
    <t>Sung Chung</t>
  </si>
  <si>
    <t>Ken Brennan</t>
  </si>
  <si>
    <t>Joe Elijah</t>
  </si>
  <si>
    <t>Sheri Gordon</t>
  </si>
  <si>
    <t>Carl Jackson</t>
  </si>
  <si>
    <t>Dave Hallsten</t>
  </si>
  <si>
    <t>Tamara Chand</t>
  </si>
  <si>
    <t>Monica Federle</t>
  </si>
  <si>
    <t>Bill Eplett</t>
  </si>
  <si>
    <t>Harold Engle</t>
  </si>
  <si>
    <t>Duane Huffman</t>
  </si>
  <si>
    <t>Dorothy Badders</t>
  </si>
  <si>
    <t>Sarah Jordon</t>
  </si>
  <si>
    <t>Susan MacKendrick</t>
  </si>
  <si>
    <t>Caroline Jumper</t>
  </si>
  <si>
    <t>Thomas Boland</t>
  </si>
  <si>
    <t>Roy French</t>
  </si>
  <si>
    <t>Darrin Van Huff</t>
  </si>
  <si>
    <t>Pamela Stobb</t>
  </si>
  <si>
    <t>Helen Abelman</t>
  </si>
  <si>
    <t>Sibella Parks</t>
  </si>
  <si>
    <t>Peter McVee</t>
  </si>
  <si>
    <t>Thais Sissman</t>
  </si>
  <si>
    <t>Kean Nguyen</t>
  </si>
  <si>
    <t>Toby Swindell</t>
  </si>
  <si>
    <t>Neola Schneider</t>
  </si>
  <si>
    <t>Alice McCarthy</t>
  </si>
  <si>
    <t>Olvera Toch</t>
  </si>
  <si>
    <t>Eugene Moren</t>
  </si>
  <si>
    <t>Sean O'Donnell</t>
  </si>
  <si>
    <t>Carlos Daly</t>
  </si>
  <si>
    <t>David Kendrick</t>
  </si>
  <si>
    <t>Edward Nazzal</t>
  </si>
  <si>
    <t>Sanjit Jacobs</t>
  </si>
  <si>
    <t>Karen Carlisle</t>
  </si>
  <si>
    <t>Meg O'Connel</t>
  </si>
  <si>
    <t>Anthony O'Donnell</t>
  </si>
  <si>
    <t>Luke Foster</t>
  </si>
  <si>
    <t>Phillina Ober</t>
  </si>
  <si>
    <t>Claudia Miner</t>
  </si>
  <si>
    <t>Jim Kriz</t>
  </si>
  <si>
    <t>Mike Vittorini</t>
  </si>
  <si>
    <t>Stefania Perrino</t>
  </si>
  <si>
    <t>Jas O'Carroll</t>
  </si>
  <si>
    <t>Maureen Gastineau</t>
  </si>
  <si>
    <t>Kelly Lampkin</t>
  </si>
  <si>
    <t>Allen Rosenblatt</t>
  </si>
  <si>
    <t>Max Jones</t>
  </si>
  <si>
    <t>Hallie Redmond</t>
  </si>
  <si>
    <t>Anthony Witt</t>
  </si>
  <si>
    <t>Jim Epp</t>
  </si>
  <si>
    <t>Harold Dahlen</t>
  </si>
  <si>
    <t>Muhammed Yedwab</t>
  </si>
  <si>
    <t>Ed Braxton</t>
  </si>
  <si>
    <t>Sylvia Foulston</t>
  </si>
  <si>
    <t>Thea Hendricks</t>
  </si>
  <si>
    <t>Ionia McGrath</t>
  </si>
  <si>
    <t>Guy Armstrong</t>
  </si>
  <si>
    <t>Aaron Smayling</t>
  </si>
  <si>
    <t>Karl Brown</t>
  </si>
  <si>
    <t>Sung Shariari</t>
  </si>
  <si>
    <t>Craig Carroll</t>
  </si>
  <si>
    <t>Lela Donovan</t>
  </si>
  <si>
    <t>Nicole Brennan</t>
  </si>
  <si>
    <t>Tanja Norvell</t>
  </si>
  <si>
    <t>Emily Grady</t>
  </si>
  <si>
    <t>Sally Matthias</t>
  </si>
  <si>
    <t>Lena Creighton</t>
  </si>
  <si>
    <t>Mitch Willingham</t>
  </si>
  <si>
    <t>Justin Knight</t>
  </si>
  <si>
    <t>Janet Lee</t>
  </si>
  <si>
    <t>Jim Radford</t>
  </si>
  <si>
    <t>Ritsa Hightower</t>
  </si>
  <si>
    <t>Theone Pippenger</t>
  </si>
  <si>
    <t>Corey Catlett</t>
  </si>
  <si>
    <t>Frank Merwin</t>
  </si>
  <si>
    <t>Ed Jacobs</t>
  </si>
  <si>
    <t>Carol Darley</t>
  </si>
  <si>
    <t>Stefanie Holloman</t>
  </si>
  <si>
    <t>Noel Staavos</t>
  </si>
  <si>
    <t>Shahid Shariari</t>
  </si>
  <si>
    <t>Barry Gonzalez</t>
  </si>
  <si>
    <t>Maribeth Schnelling</t>
  </si>
  <si>
    <t>Harold Ryan</t>
  </si>
  <si>
    <t>Grant Thornton</t>
  </si>
  <si>
    <t>Ted Trevino</t>
  </si>
  <si>
    <t>Carl Ludwig</t>
  </si>
  <si>
    <t>Don Miller</t>
  </si>
  <si>
    <t>Linda Southworth</t>
  </si>
  <si>
    <t>Lena Radford</t>
  </si>
  <si>
    <t>Dave Poirier</t>
  </si>
  <si>
    <t>Liz MacKendrick</t>
  </si>
  <si>
    <t>Rick Wilson</t>
  </si>
  <si>
    <t>Aleksandra Gannaway</t>
  </si>
  <si>
    <t>Sean Christensen</t>
  </si>
  <si>
    <t>John Lucas</t>
  </si>
  <si>
    <t>Nona Balk</t>
  </si>
  <si>
    <t>Art Ferguson</t>
  </si>
  <si>
    <t>Ed Ludwig</t>
  </si>
  <si>
    <t>Annie Cyprus</t>
  </si>
  <si>
    <t>Lisa Hazard</t>
  </si>
  <si>
    <t>Roger Barcio</t>
  </si>
  <si>
    <t>Joni Blumstein</t>
  </si>
  <si>
    <t>Deanra Eno</t>
  </si>
  <si>
    <t>Trudy Schmidt</t>
  </si>
  <si>
    <t>Becky Pak</t>
  </si>
  <si>
    <t>Susan Vittorini</t>
  </si>
  <si>
    <t>Tom Stivers</t>
  </si>
  <si>
    <t>Alex Avila</t>
  </si>
  <si>
    <t>Roy Phan</t>
  </si>
  <si>
    <t>Sung Pak</t>
  </si>
  <si>
    <t>Kean Thornton</t>
  </si>
  <si>
    <t>Jeremy Ellison</t>
  </si>
  <si>
    <t>Joe Kamberova</t>
  </si>
  <si>
    <t>Benjamin Venier</t>
  </si>
  <si>
    <t>Brian Moss</t>
  </si>
  <si>
    <t>Alejandro Grove</t>
  </si>
  <si>
    <t>Sam Zeldin</t>
  </si>
  <si>
    <t>Katherine Murray</t>
  </si>
  <si>
    <t>Paul Knutson</t>
  </si>
  <si>
    <t>Barry Franz</t>
  </si>
  <si>
    <t>Sandra Glassco</t>
  </si>
  <si>
    <t>Alan Hwang</t>
  </si>
  <si>
    <t>James Galang</t>
  </si>
  <si>
    <t>Rob Lucas</t>
  </si>
  <si>
    <t>Todd Boyes</t>
  </si>
  <si>
    <t>Katrina Willman</t>
  </si>
  <si>
    <t>Nora Paige</t>
  </si>
  <si>
    <t>Andy Reiter</t>
  </si>
  <si>
    <t>Lori Olson</t>
  </si>
  <si>
    <t>Vivian Mathis</t>
  </si>
  <si>
    <t>Jack O'Briant</t>
  </si>
  <si>
    <t>Pete Armstrong</t>
  </si>
  <si>
    <t>Sarah Brown</t>
  </si>
  <si>
    <t>Elpida Rittenbach</t>
  </si>
  <si>
    <t>Clay Cheatham</t>
  </si>
  <si>
    <t>Grant Donatelli</t>
  </si>
  <si>
    <t>Grant Carroll</t>
  </si>
  <si>
    <t>Rob Haberlin</t>
  </si>
  <si>
    <t>Maribeth Dona</t>
  </si>
  <si>
    <t>Liz Thompson</t>
  </si>
  <si>
    <t>Carol Adams</t>
  </si>
  <si>
    <t>Eric Barreto</t>
  </si>
  <si>
    <t>Fred Harton</t>
  </si>
  <si>
    <t>Jennifer Braxton</t>
  </si>
  <si>
    <t>Sara Luxemburg</t>
  </si>
  <si>
    <t>Sally Hughsby</t>
  </si>
  <si>
    <t>Vivek Gonzalez</t>
  </si>
  <si>
    <t>Adam Hart</t>
  </si>
  <si>
    <t>Andrew Allen</t>
  </si>
  <si>
    <t>Quincy Jones</t>
  </si>
  <si>
    <t>Michael Moore</t>
  </si>
  <si>
    <t>Bobby Elias</t>
  </si>
  <si>
    <t>Alan Barnes</t>
  </si>
  <si>
    <t>Roland Fjeld</t>
  </si>
  <si>
    <t>Cindy Chapman</t>
  </si>
  <si>
    <t>Brenda Bowman</t>
  </si>
  <si>
    <t>John Dryer</t>
  </si>
  <si>
    <t>Art Miller</t>
  </si>
  <si>
    <t>Christine Kargatis</t>
  </si>
  <si>
    <t>Eileen Kiefer</t>
  </si>
  <si>
    <t>Patrick Ryan</t>
  </si>
  <si>
    <t>Jack Garza</t>
  </si>
  <si>
    <t>Nathan Cano</t>
  </si>
  <si>
    <t>Troy Blackwell</t>
  </si>
  <si>
    <t>Bill Shonely</t>
  </si>
  <si>
    <t>Christopher Martinez</t>
  </si>
  <si>
    <t>Jay Fine</t>
  </si>
  <si>
    <t>Philip Brown</t>
  </si>
  <si>
    <t>Jane Waco</t>
  </si>
  <si>
    <t>Denny Ordway</t>
  </si>
  <si>
    <t>Julia West</t>
  </si>
  <si>
    <t>Lycoris Saunders</t>
  </si>
  <si>
    <t>Eugene Barchas</t>
  </si>
  <si>
    <t>Ross Baird</t>
  </si>
  <si>
    <t>Luke Schmidt</t>
  </si>
  <si>
    <t>Robert Waldorf</t>
  </si>
  <si>
    <t>Bill Tyler</t>
  </si>
  <si>
    <t>Yoseph Carroll</t>
  </si>
  <si>
    <t>Nora Price</t>
  </si>
  <si>
    <t>Tim Brockman</t>
  </si>
  <si>
    <t>Edward Hooks</t>
  </si>
  <si>
    <t>Alan Schoenberger</t>
  </si>
  <si>
    <t>Charles Crestani</t>
  </si>
  <si>
    <t>Maxwell Schwartz</t>
  </si>
  <si>
    <t>Tracy Zic</t>
  </si>
  <si>
    <t>Christy Brittain</t>
  </si>
  <si>
    <t>Jasper Cacioppo</t>
  </si>
  <si>
    <t>David Wiener</t>
  </si>
  <si>
    <t>Helen Andreada</t>
  </si>
  <si>
    <t>Paul Prost</t>
  </si>
  <si>
    <t>Bradley Nguyen</t>
  </si>
  <si>
    <t>Matt Collister</t>
  </si>
  <si>
    <t>Liz Carlisle</t>
  </si>
  <si>
    <t>Annie Thurman</t>
  </si>
  <si>
    <t>Bradley Drucker</t>
  </si>
  <si>
    <t>Richard Eichhorn</t>
  </si>
  <si>
    <t>Alan Haines</t>
  </si>
  <si>
    <t>Brad Eason</t>
  </si>
  <si>
    <t>James Lanier</t>
  </si>
  <si>
    <t>Edward Becker</t>
  </si>
  <si>
    <t>Raymond Book</t>
  </si>
  <si>
    <t>Bryan Spruell</t>
  </si>
  <si>
    <t>Neil Knudson</t>
  </si>
  <si>
    <t>Ben Peterman</t>
  </si>
  <si>
    <t>Sandra Flanagan</t>
  </si>
  <si>
    <t>Michael Granlund</t>
  </si>
  <si>
    <t>Christina Vanderzanden</t>
  </si>
  <si>
    <t>Gary Zandusky</t>
  </si>
  <si>
    <t>Steve Carroll</t>
  </si>
  <si>
    <t>Cathy Armstrong</t>
  </si>
  <si>
    <t>Alex Grayson</t>
  </si>
  <si>
    <t>George Zrebassa</t>
  </si>
  <si>
    <t>Lisa DeCherney</t>
  </si>
  <si>
    <t>Gary McGarr</t>
  </si>
  <si>
    <t>Steve Nguyen</t>
  </si>
  <si>
    <t>Susan Gilcrest</t>
  </si>
  <si>
    <t>Julia Dunbar</t>
  </si>
  <si>
    <t>Mick Crebagga</t>
  </si>
  <si>
    <t>Roy Skaria</t>
  </si>
  <si>
    <t>Patrick Jones</t>
  </si>
  <si>
    <t>Giulietta Baptist</t>
  </si>
  <si>
    <t>Nicole Hansen</t>
  </si>
  <si>
    <t>Tom Prescott</t>
  </si>
  <si>
    <t>Ken Heidel</t>
  </si>
  <si>
    <t>Logan Haushalter</t>
  </si>
  <si>
    <t>Ann Blume</t>
  </si>
  <si>
    <t>Lena Cacioppo</t>
  </si>
  <si>
    <t>Denise Leinenbach</t>
  </si>
  <si>
    <t>Herbert Flentye</t>
  </si>
  <si>
    <t>Steven Ward</t>
  </si>
  <si>
    <t>Denise Monton</t>
  </si>
  <si>
    <t>Lynn Smith</t>
  </si>
  <si>
    <t>Evan Henry</t>
  </si>
  <si>
    <t>Marc Harrigan</t>
  </si>
  <si>
    <t>Erin Smith</t>
  </si>
  <si>
    <t>Alan Dominguez</t>
  </si>
  <si>
    <t>Ken Black</t>
  </si>
  <si>
    <t>Deirdre Greer</t>
  </si>
  <si>
    <t>Thomas Thornton</t>
  </si>
  <si>
    <t>John Stevenson</t>
  </si>
  <si>
    <t>Stephanie Phelps</t>
  </si>
  <si>
    <t>Muhammed Lee</t>
  </si>
  <si>
    <t>Dorothy Wardle</t>
  </si>
  <si>
    <t>Keith Herrera</t>
  </si>
  <si>
    <t>Christina DeMoss</t>
  </si>
  <si>
    <t>Bobby Odegard</t>
  </si>
  <si>
    <t>Jack Lebron</t>
  </si>
  <si>
    <t>Christine Sundaresam</t>
  </si>
  <si>
    <t>Bruce Stewart</t>
  </si>
  <si>
    <t>Allen Golden</t>
  </si>
  <si>
    <t>Aaron Bergman</t>
  </si>
  <si>
    <t>Anthony Garverick</t>
  </si>
  <si>
    <t>Alyssa Tate</t>
  </si>
  <si>
    <t>Bruce Money</t>
  </si>
  <si>
    <t>Tamara Willingham</t>
  </si>
  <si>
    <t>Liz Price</t>
  </si>
  <si>
    <t>Dan Campbell</t>
  </si>
  <si>
    <t>Kelly Andreada</t>
  </si>
  <si>
    <t>Victoria Pisteka</t>
  </si>
  <si>
    <t>Erica Bern</t>
  </si>
  <si>
    <t>Scott Cohen</t>
  </si>
  <si>
    <t>Michael Paige</t>
  </si>
  <si>
    <t>Scott Williamson</t>
  </si>
  <si>
    <t>Ryan Crowe</t>
  </si>
  <si>
    <t>Dennis Bolton</t>
  </si>
  <si>
    <t>Carlos Meador</t>
  </si>
  <si>
    <t>Odella Nelson</t>
  </si>
  <si>
    <t>Clytie Kelty</t>
  </si>
  <si>
    <t>Christina Anderson</t>
  </si>
  <si>
    <t>Adrian Hane</t>
  </si>
  <si>
    <t>Ben Wallace</t>
  </si>
  <si>
    <t>Lindsay Williams</t>
  </si>
  <si>
    <t>Max Engle</t>
  </si>
  <si>
    <t>Ralph Kennedy</t>
  </si>
  <si>
    <t>Neil French</t>
  </si>
  <si>
    <t>Michael Stewart</t>
  </si>
  <si>
    <t>Giulietta Dortch</t>
  </si>
  <si>
    <t>Xylona Price</t>
  </si>
  <si>
    <t>Corinna Mitchell</t>
  </si>
  <si>
    <t>Rob Dowd</t>
  </si>
  <si>
    <t>Randy Bradley</t>
  </si>
  <si>
    <t>Sean Wendt</t>
  </si>
  <si>
    <t>John Castell</t>
  </si>
  <si>
    <t>Mark Haberlin</t>
  </si>
  <si>
    <t>Lauren Leatherbury</t>
  </si>
  <si>
    <t>Pete Takahito</t>
  </si>
  <si>
    <t>Robert Dilbeck</t>
  </si>
  <si>
    <t>Tonja Turnell</t>
  </si>
  <si>
    <t>William Brown</t>
  </si>
  <si>
    <t>Irene Maddox</t>
  </si>
  <si>
    <t>Khloe Miller</t>
  </si>
  <si>
    <t>Kelly Williams</t>
  </si>
  <si>
    <t>Carl Weiss</t>
  </si>
  <si>
    <t>Christine Abelman</t>
  </si>
  <si>
    <t>Don Jones</t>
  </si>
  <si>
    <t>Brendan Sweed</t>
  </si>
  <si>
    <t>Frank Carlisle</t>
  </si>
  <si>
    <t>Shahid Hopkins</t>
  </si>
  <si>
    <t>Anna Andreadi</t>
  </si>
  <si>
    <t>Beth Thompson</t>
  </si>
  <si>
    <t>Ashley Jarboe</t>
  </si>
  <si>
    <t>Fred Chung</t>
  </si>
  <si>
    <t>Randy Ferguson</t>
  </si>
  <si>
    <t>Frank Price</t>
  </si>
  <si>
    <t>Anna Gayman</t>
  </si>
  <si>
    <t>Rick Hansen</t>
  </si>
  <si>
    <t>Gary Hansen</t>
  </si>
  <si>
    <t>Michelle Lonsdale</t>
  </si>
  <si>
    <t>Nick Radford</t>
  </si>
  <si>
    <t>Dennis Kane</t>
  </si>
  <si>
    <t>Raymond Fair</t>
  </si>
  <si>
    <t>Theresa Swint</t>
  </si>
  <si>
    <t>Kristina Nunn</t>
  </si>
  <si>
    <t>Sean Miller</t>
  </si>
  <si>
    <t>Nancy Lomonaco</t>
  </si>
  <si>
    <t>Daniel Lacy</t>
  </si>
  <si>
    <t>Jessica Myrick</t>
  </si>
  <si>
    <t>Shirley Jackson</t>
  </si>
  <si>
    <t>Guy Thornton</t>
  </si>
  <si>
    <t>David Philippe</t>
  </si>
  <si>
    <t>Ann Chong</t>
  </si>
  <si>
    <t>Nat Gilpin</t>
  </si>
  <si>
    <t>Maurice Satty</t>
  </si>
  <si>
    <t>Joy Bell</t>
  </si>
  <si>
    <t>Filia McAdams</t>
  </si>
  <si>
    <t>Ellis Ballard</t>
  </si>
  <si>
    <t>Eric Murdock</t>
  </si>
  <si>
    <t>Skye Norling</t>
  </si>
  <si>
    <t>Toby Grace</t>
  </si>
  <si>
    <t>Arianne Irving</t>
  </si>
  <si>
    <t>Phillip Flathmann</t>
  </si>
  <si>
    <t>Maureen Fritzler</t>
  </si>
  <si>
    <t>Michael Kennedy</t>
  </si>
  <si>
    <t>Barry Weirich</t>
  </si>
  <si>
    <t>Mathew Reese</t>
  </si>
  <si>
    <t>Mitch Gastineau</t>
  </si>
  <si>
    <t>Henry Goldwyn</t>
  </si>
  <si>
    <t>Adam Shillingsburg</t>
  </si>
  <si>
    <t>Katharine Harms</t>
  </si>
  <si>
    <t>Joseph Holt</t>
  </si>
  <si>
    <t>Ricardo Emerson</t>
  </si>
  <si>
    <t>Nathan Mautz</t>
  </si>
  <si>
    <t>Anna Haberlin</t>
  </si>
  <si>
    <t>Ralph Arnett</t>
  </si>
  <si>
    <t>Alan Shonely</t>
  </si>
  <si>
    <t>Julie Prescott</t>
  </si>
  <si>
    <t>Cynthia Arntzen</t>
  </si>
  <si>
    <t>Jill Fjeld</t>
  </si>
  <si>
    <t>Max Ludwig</t>
  </si>
  <si>
    <t>Anne McFarland</t>
  </si>
  <si>
    <t>Chad Sievert</t>
  </si>
  <si>
    <t>Astrea Jones</t>
  </si>
  <si>
    <t>Natalie Webber</t>
  </si>
  <si>
    <t>Stuart Van</t>
  </si>
  <si>
    <t>Bill Overfelt</t>
  </si>
  <si>
    <t>Brooke Gillingham</t>
  </si>
  <si>
    <t>Lindsay Castell</t>
  </si>
  <si>
    <t>Kelly Collister</t>
  </si>
  <si>
    <t>Chuck Clark</t>
  </si>
  <si>
    <t>Victor Price</t>
  </si>
  <si>
    <t>Peter Buhler</t>
  </si>
  <si>
    <t>Damala Kotsonis</t>
  </si>
  <si>
    <t>Andrew Gjertsen</t>
  </si>
  <si>
    <t>Erin Ashbrook</t>
  </si>
  <si>
    <t>Logan Currie</t>
  </si>
  <si>
    <t>Phillip Breyer</t>
  </si>
  <si>
    <t>Dianna Arnett</t>
  </si>
  <si>
    <t>Ralph Knight</t>
  </si>
  <si>
    <t>Dean Katz</t>
  </si>
  <si>
    <t>Georgia Rosenberg</t>
  </si>
  <si>
    <t>Shaun Weien</t>
  </si>
  <si>
    <t>Steve Chapman</t>
  </si>
  <si>
    <t>Andy Gerbode</t>
  </si>
  <si>
    <t>PRODUCT</t>
  </si>
  <si>
    <t>OLD PRICE</t>
  </si>
  <si>
    <t>NEW PRICE</t>
  </si>
  <si>
    <t xml:space="preserve">Milk </t>
  </si>
  <si>
    <t>Sugar</t>
  </si>
  <si>
    <t>Rice</t>
  </si>
  <si>
    <t>Bread</t>
  </si>
  <si>
    <t>Noodles</t>
  </si>
  <si>
    <t>Margarine</t>
  </si>
  <si>
    <t>Toothpaste</t>
  </si>
  <si>
    <t>Shampoo</t>
  </si>
  <si>
    <t>Task 1</t>
  </si>
  <si>
    <t>Percentage Increase</t>
  </si>
  <si>
    <t>Pen</t>
  </si>
  <si>
    <t>Ruler</t>
  </si>
  <si>
    <t>Detergent</t>
  </si>
  <si>
    <t>Standard Class</t>
  </si>
  <si>
    <t>Karen Perry</t>
  </si>
  <si>
    <t>Jared Fleming</t>
  </si>
  <si>
    <t>Jessica Moore</t>
  </si>
  <si>
    <t>Kaylee Brown</t>
  </si>
  <si>
    <t>Charlotte Reed</t>
  </si>
  <si>
    <t>Diana Jones</t>
  </si>
  <si>
    <t>Deanna Turner</t>
  </si>
  <si>
    <t>Teresa Sparks</t>
  </si>
  <si>
    <t>Jacqueline Martin</t>
  </si>
  <si>
    <t>Cory Patterson</t>
  </si>
  <si>
    <t>Trevor Morris</t>
  </si>
  <si>
    <t>Sarah Jacobson</t>
  </si>
  <si>
    <t>Spencer Woods</t>
  </si>
  <si>
    <t>Ebony Townsend</t>
  </si>
  <si>
    <t>Sharon Wood</t>
  </si>
  <si>
    <t>Alexandria Johnston</t>
  </si>
  <si>
    <t>Scott Baldwin</t>
  </si>
  <si>
    <t>Katrina Young</t>
  </si>
  <si>
    <t>Stephanie Brown</t>
  </si>
  <si>
    <t>Melissa Hampton</t>
  </si>
  <si>
    <t>Nancy Arnold</t>
  </si>
  <si>
    <t>Amber Fisher</t>
  </si>
  <si>
    <t>Matthew Smith</t>
  </si>
  <si>
    <t>Reginald Johnson</t>
  </si>
  <si>
    <t>Kayla Melton</t>
  </si>
  <si>
    <t>William Richards</t>
  </si>
  <si>
    <t>James Davis</t>
  </si>
  <si>
    <t>Vincent Potts</t>
  </si>
  <si>
    <t>Johnny Romero</t>
  </si>
  <si>
    <t>Kylie Shaffer</t>
  </si>
  <si>
    <t>Beth Weaver</t>
  </si>
  <si>
    <t>Teresa Rodgers</t>
  </si>
  <si>
    <t>Emma Jackson</t>
  </si>
  <si>
    <t>Rebecca Freeman</t>
  </si>
  <si>
    <t>Steve Wilson</t>
  </si>
  <si>
    <t>Anne Miranda</t>
  </si>
  <si>
    <t>Tammy Clark</t>
  </si>
  <si>
    <t>Jennifer Olson</t>
  </si>
  <si>
    <t>Yolanda Chapman</t>
  </si>
  <si>
    <t>Jennifer Schultz</t>
  </si>
  <si>
    <t>Jason Alvarez</t>
  </si>
  <si>
    <t>Donna Case</t>
  </si>
  <si>
    <t>Kimberly Woodard</t>
  </si>
  <si>
    <t>Brian Wolfe</t>
  </si>
  <si>
    <t>James Dunn</t>
  </si>
  <si>
    <t>Brenda Lewis</t>
  </si>
  <si>
    <t>Jennifer Wright</t>
  </si>
  <si>
    <t>Christine Bailey MD</t>
  </si>
  <si>
    <t>Daniel Ramirez</t>
  </si>
  <si>
    <t>Timothy Vargas</t>
  </si>
  <si>
    <t>Diane Zavala</t>
  </si>
  <si>
    <t>Tanya York</t>
  </si>
  <si>
    <t>Lisa Webster</t>
  </si>
  <si>
    <t>Jasmine Murray</t>
  </si>
  <si>
    <t>Christopher Torres</t>
  </si>
  <si>
    <t>Joseph Morris</t>
  </si>
  <si>
    <t>Jennifer Chandler</t>
  </si>
  <si>
    <t>Jessica Hodges</t>
  </si>
  <si>
    <t>Tyler Myers</t>
  </si>
  <si>
    <t>Ruth Burton</t>
  </si>
  <si>
    <t>Martin Hill</t>
  </si>
  <si>
    <t>Colleen Dunn</t>
  </si>
  <si>
    <t>Zachary Simmons</t>
  </si>
  <si>
    <t>Robert Stanley</t>
  </si>
  <si>
    <t>Sandra Jackson</t>
  </si>
  <si>
    <t>Angel Contreras</t>
  </si>
  <si>
    <t>Destiny Atkinson</t>
  </si>
  <si>
    <t>Christina Woods</t>
  </si>
  <si>
    <t>Amber Krause</t>
  </si>
  <si>
    <t>Teresa Lynch</t>
  </si>
  <si>
    <t>Ashlee Ramirez</t>
  </si>
  <si>
    <t>Ruth Chandler</t>
  </si>
  <si>
    <t>Amanda Rivera</t>
  </si>
  <si>
    <t>Cynthia Hernandez</t>
  </si>
  <si>
    <t>Danny Gonzalez</t>
  </si>
  <si>
    <t>Bryan Leblanc</t>
  </si>
  <si>
    <t>Bryan Lewis</t>
  </si>
  <si>
    <t>Robert Harrison</t>
  </si>
  <si>
    <t>Stephanie Martinez</t>
  </si>
  <si>
    <t>Lori Bradshaw</t>
  </si>
  <si>
    <t>Dakota Avila</t>
  </si>
  <si>
    <t>Justin Hines</t>
  </si>
  <si>
    <t>Shannon Galvan</t>
  </si>
  <si>
    <t>Michael Hensley</t>
  </si>
  <si>
    <t>Phillip Nichols</t>
  </si>
  <si>
    <t>Krystal Campbell</t>
  </si>
  <si>
    <t>Tommy Esparza</t>
  </si>
  <si>
    <t>Mr. Timothy Thomas II</t>
  </si>
  <si>
    <t>Sarah Richards</t>
  </si>
  <si>
    <t>Melanie Li MD</t>
  </si>
  <si>
    <t>Denise Rodriguez</t>
  </si>
  <si>
    <t>Rhonda Smith</t>
  </si>
  <si>
    <t>Tiffany Norton</t>
  </si>
  <si>
    <t>Theresa Calhoun</t>
  </si>
  <si>
    <t>Darren Holmes</t>
  </si>
  <si>
    <t>Haley Reynolds</t>
  </si>
  <si>
    <t>Miranda Torres</t>
  </si>
  <si>
    <t>Scott Smith</t>
  </si>
  <si>
    <t>William Pitts</t>
  </si>
  <si>
    <t>Stephanie Gutierrez</t>
  </si>
  <si>
    <t>Brandi Patton</t>
  </si>
  <si>
    <t>Angela Watkins</t>
  </si>
  <si>
    <t>Lisa Moore</t>
  </si>
  <si>
    <t>William Thompson</t>
  </si>
  <si>
    <t>Lori Lopez</t>
  </si>
  <si>
    <t>Brandon Kane</t>
  </si>
  <si>
    <t>Jennifer James</t>
  </si>
  <si>
    <t>Jonathan Hardy</t>
  </si>
  <si>
    <t>Jason Ellis</t>
  </si>
  <si>
    <t>Cathy Torres</t>
  </si>
  <si>
    <t>Michelle Hampton</t>
  </si>
  <si>
    <t>Amber Moon</t>
  </si>
  <si>
    <t>Angela Brooks</t>
  </si>
  <si>
    <t>David Spence</t>
  </si>
  <si>
    <t>Zachary Peters</t>
  </si>
  <si>
    <t>John Jensen</t>
  </si>
  <si>
    <t>Craig Forbes</t>
  </si>
  <si>
    <t>Molly Davis</t>
  </si>
  <si>
    <t>Elizabeth Leach</t>
  </si>
  <si>
    <t>Jesse Gregory</t>
  </si>
  <si>
    <t>Kenneth Davis</t>
  </si>
  <si>
    <t>Kenneth Obrien</t>
  </si>
  <si>
    <t>Crystal Rodgers</t>
  </si>
  <si>
    <t>Sarah Gonzalez</t>
  </si>
  <si>
    <t>Robert Harris</t>
  </si>
  <si>
    <t>Hailey Daniel</t>
  </si>
  <si>
    <t>Dr. Cassandra Parker DDS</t>
  </si>
  <si>
    <t>Latasha Faulkner</t>
  </si>
  <si>
    <t>Maureen Collins</t>
  </si>
  <si>
    <t>Susan Doyle</t>
  </si>
  <si>
    <t>Deborah Kelley</t>
  </si>
  <si>
    <t>George Baker</t>
  </si>
  <si>
    <t>Carl Livingston</t>
  </si>
  <si>
    <t>Madeline George</t>
  </si>
  <si>
    <t>Mary Stanley</t>
  </si>
  <si>
    <t>Sherry Smith</t>
  </si>
  <si>
    <t>Blake Brown</t>
  </si>
  <si>
    <t>Terry Wilson</t>
  </si>
  <si>
    <t>Hector Hernandez</t>
  </si>
  <si>
    <t>Brian Walters</t>
  </si>
  <si>
    <t>William Richardson</t>
  </si>
  <si>
    <t>Chad Yates</t>
  </si>
  <si>
    <t>Manuel Nguyen</t>
  </si>
  <si>
    <t>Kimberly Patrick</t>
  </si>
  <si>
    <t>Amy Logan</t>
  </si>
  <si>
    <t>Mrs. Jamie Boyd MD</t>
  </si>
  <si>
    <t>Roberto Floyd</t>
  </si>
  <si>
    <t>Erika Campbell</t>
  </si>
  <si>
    <t>Shelia Gonzalez</t>
  </si>
  <si>
    <t>Caitlin Archer</t>
  </si>
  <si>
    <t>Rachel Weeks</t>
  </si>
  <si>
    <t>Connie Kelly</t>
  </si>
  <si>
    <t>Sylvia Knapp</t>
  </si>
  <si>
    <t>Mallory Thompson</t>
  </si>
  <si>
    <t>Russell Collins</t>
  </si>
  <si>
    <t>Lori Miller</t>
  </si>
  <si>
    <t>Stacy Wright</t>
  </si>
  <si>
    <t>Daniel Garcia</t>
  </si>
  <si>
    <t>Jeffrey Johnson</t>
  </si>
  <si>
    <t>Julia Brown</t>
  </si>
  <si>
    <t>Pamela Carroll</t>
  </si>
  <si>
    <t>Sarah Smith</t>
  </si>
  <si>
    <t>Bailey Smith</t>
  </si>
  <si>
    <t>Ethan Taylor</t>
  </si>
  <si>
    <t>Anthony Rodriguez</t>
  </si>
  <si>
    <t>Allison Chen</t>
  </si>
  <si>
    <t>Richard Murray</t>
  </si>
  <si>
    <t>Patricia Hayden</t>
  </si>
  <si>
    <t>Michael May</t>
  </si>
  <si>
    <t>Alan Davis</t>
  </si>
  <si>
    <t>Troy Yates</t>
  </si>
  <si>
    <t>Kerry Johnson</t>
  </si>
  <si>
    <t>Monique Nelson</t>
  </si>
  <si>
    <t>Robert Thompson</t>
  </si>
  <si>
    <t>Matthew Myers</t>
  </si>
  <si>
    <t>David Burgess</t>
  </si>
  <si>
    <t>David Thomas</t>
  </si>
  <si>
    <t>Jamie Hull</t>
  </si>
  <si>
    <t>Elizabeth Odom</t>
  </si>
  <si>
    <t>Jenny Jimenez</t>
  </si>
  <si>
    <t>Tonya Morgan</t>
  </si>
  <si>
    <t>Heather Roberts</t>
  </si>
  <si>
    <t>Kimberly Bell</t>
  </si>
  <si>
    <t>Rose Warren</t>
  </si>
  <si>
    <t>Evan Brooks</t>
  </si>
  <si>
    <t>Lynn Allen</t>
  </si>
  <si>
    <t>Charles Torres</t>
  </si>
  <si>
    <t>Deborah Saunders</t>
  </si>
  <si>
    <t>Nicole Mueller</t>
  </si>
  <si>
    <t>Thomas Long</t>
  </si>
  <si>
    <t>Elizabeth Mendoza</t>
  </si>
  <si>
    <t>Victoria Casey</t>
  </si>
  <si>
    <t>Linda Luna</t>
  </si>
  <si>
    <t>Matthew Flores</t>
  </si>
  <si>
    <t>Mallory Hall</t>
  </si>
  <si>
    <t>Christopher Nash</t>
  </si>
  <si>
    <t>Amanda Howell</t>
  </si>
  <si>
    <t>Caleb Carter</t>
  </si>
  <si>
    <t>Matthew King</t>
  </si>
  <si>
    <t>Julie Harrison</t>
  </si>
  <si>
    <t>Ian Lopez</t>
  </si>
  <si>
    <t>Matthew Mcclain</t>
  </si>
  <si>
    <t>Dawn Golden</t>
  </si>
  <si>
    <t>Sheila Gonzalez</t>
  </si>
  <si>
    <t>Ruben Wilkins PhD</t>
  </si>
  <si>
    <t>Shirley Griffith</t>
  </si>
  <si>
    <t>Kimberly Pierce</t>
  </si>
  <si>
    <t>Amanda Gray MD</t>
  </si>
  <si>
    <t>Brian Cervantes</t>
  </si>
  <si>
    <t>Tracy Harris</t>
  </si>
  <si>
    <t>Clayton Cochran</t>
  </si>
  <si>
    <t>Caitlyn Lin</t>
  </si>
  <si>
    <t>Abigail Berry</t>
  </si>
  <si>
    <t>Patricia English</t>
  </si>
  <si>
    <t>Harold Davis</t>
  </si>
  <si>
    <t>Erin Stark</t>
  </si>
  <si>
    <t>Jonathan Cohen</t>
  </si>
  <si>
    <t>Lucas Andrews</t>
  </si>
  <si>
    <t>Fernando Henson</t>
  </si>
  <si>
    <t>Katherine Young</t>
  </si>
  <si>
    <t>Raymond Wright</t>
  </si>
  <si>
    <t>Stephanie Myers</t>
  </si>
  <si>
    <t>Mary Sherman</t>
  </si>
  <si>
    <t>Eric Lawson</t>
  </si>
  <si>
    <t>Emily Brown DVM</t>
  </si>
  <si>
    <t>Janet Vasquez</t>
  </si>
  <si>
    <t>Daniel Davies</t>
  </si>
  <si>
    <t>Mark Carroll</t>
  </si>
  <si>
    <t>Stephen Jones</t>
  </si>
  <si>
    <t>Scott Williams</t>
  </si>
  <si>
    <t>Debra Wiggins</t>
  </si>
  <si>
    <t>Katie Hood</t>
  </si>
  <si>
    <t>Sandra Hurst</t>
  </si>
  <si>
    <t>Mary Ball</t>
  </si>
  <si>
    <t>Luke Coleman</t>
  </si>
  <si>
    <t>Jeremy Valdez</t>
  </si>
  <si>
    <t>Tabitha Parsons</t>
  </si>
  <si>
    <t>Katherine Gomez</t>
  </si>
  <si>
    <t>Melinda Williams</t>
  </si>
  <si>
    <t>Carmen Watkins</t>
  </si>
  <si>
    <t>Darrell Gay</t>
  </si>
  <si>
    <t>Jesus Calhoun</t>
  </si>
  <si>
    <t>Christy Hughes</t>
  </si>
  <si>
    <t>Carl Carson</t>
  </si>
  <si>
    <t>Nancy Glover</t>
  </si>
  <si>
    <t>Patricia Novak</t>
  </si>
  <si>
    <t>Christopher Fletcher</t>
  </si>
  <si>
    <t>Kurt Colon</t>
  </si>
  <si>
    <t>Michael Berg</t>
  </si>
  <si>
    <t>Justin Robbins</t>
  </si>
  <si>
    <t>Ronald House</t>
  </si>
  <si>
    <t>Savannah Hardy</t>
  </si>
  <si>
    <t>James Cook</t>
  </si>
  <si>
    <t>Monica Johnson</t>
  </si>
  <si>
    <t>Amanda Rodriguez MD</t>
  </si>
  <si>
    <t>Melissa Terry</t>
  </si>
  <si>
    <t>Karen Jones</t>
  </si>
  <si>
    <t>Virginia Mills</t>
  </si>
  <si>
    <t>Andrew Richardson</t>
  </si>
  <si>
    <t>Daniel White</t>
  </si>
  <si>
    <t>Ryan Thompson</t>
  </si>
  <si>
    <t>Jesus Mcdonald</t>
  </si>
  <si>
    <t>Joseph Young</t>
  </si>
  <si>
    <t>Brian Brown</t>
  </si>
  <si>
    <t>Traci Briggs</t>
  </si>
  <si>
    <t>Anthony Wilkerson</t>
  </si>
  <si>
    <t>Theresa Hines</t>
  </si>
  <si>
    <t>Jessica Fleming</t>
  </si>
  <si>
    <t>Jamie Wilson</t>
  </si>
  <si>
    <t>Angela Kennedy</t>
  </si>
  <si>
    <t>Sharon Carter</t>
  </si>
  <si>
    <t>Mathew Medina</t>
  </si>
  <si>
    <t>Johnny Kirby</t>
  </si>
  <si>
    <t>Brian Watson</t>
  </si>
  <si>
    <t>Derek Garcia</t>
  </si>
  <si>
    <t>Charles Schultz</t>
  </si>
  <si>
    <t>Michelle Woods</t>
  </si>
  <si>
    <t>Angel Reyes</t>
  </si>
  <si>
    <t>Geoffrey Clay</t>
  </si>
  <si>
    <t>Mercedes Higgins</t>
  </si>
  <si>
    <t>Marc Soto</t>
  </si>
  <si>
    <t>Scott Mcdaniel</t>
  </si>
  <si>
    <t>Derrick Gomez</t>
  </si>
  <si>
    <t>Alicia Rodriguez PhD</t>
  </si>
  <si>
    <t>Carla Perry</t>
  </si>
  <si>
    <t>Christopher Kelley</t>
  </si>
  <si>
    <t>Steven Wilson</t>
  </si>
  <si>
    <t>Shannon Henry</t>
  </si>
  <si>
    <t>David Hill</t>
  </si>
  <si>
    <t>Julie Green</t>
  </si>
  <si>
    <t>John Mcclure</t>
  </si>
  <si>
    <t>Michael Young</t>
  </si>
  <si>
    <t>Mark Mccoy</t>
  </si>
  <si>
    <t>Lisa Rivera</t>
  </si>
  <si>
    <t>Mr. David Rodriguez</t>
  </si>
  <si>
    <t>Miguel Smith</t>
  </si>
  <si>
    <t>Brandon Ramirez</t>
  </si>
  <si>
    <t>David Bridges</t>
  </si>
  <si>
    <t>Bryan Morgan</t>
  </si>
  <si>
    <t>Zachary Cross</t>
  </si>
  <si>
    <t>Robert Johnson</t>
  </si>
  <si>
    <t>Robin Rivera</t>
  </si>
  <si>
    <t>Cathy Mccoy</t>
  </si>
  <si>
    <t>Louis Adams</t>
  </si>
  <si>
    <t>Samuel Fletcher</t>
  </si>
  <si>
    <t>William Burke</t>
  </si>
  <si>
    <t>Jonathan Wolf</t>
  </si>
  <si>
    <t>Shelley Griffith</t>
  </si>
  <si>
    <t>Andrew Neal</t>
  </si>
  <si>
    <t>Brandon Martinez</t>
  </si>
  <si>
    <t>Amanda Cox</t>
  </si>
  <si>
    <t>Victoria Estrada</t>
  </si>
  <si>
    <t>Daniel Fletcher</t>
  </si>
  <si>
    <t>Samantha Mccoy</t>
  </si>
  <si>
    <t>Brian Nunez</t>
  </si>
  <si>
    <t>Melissa Zhang</t>
  </si>
  <si>
    <t>Hannah Wright</t>
  </si>
  <si>
    <t>Daniel Martinez</t>
  </si>
  <si>
    <t>Melissa Weaver</t>
  </si>
  <si>
    <t>Kevin Davis</t>
  </si>
  <si>
    <t>Dana Reilly</t>
  </si>
  <si>
    <t>Terry Rodriguez</t>
  </si>
  <si>
    <t>Carmen Jackson</t>
  </si>
  <si>
    <t>Michael Hunter</t>
  </si>
  <si>
    <t>Robert Williams</t>
  </si>
  <si>
    <t>Kimberly Cannon</t>
  </si>
  <si>
    <t>Kristina Armstrong</t>
  </si>
  <si>
    <t>Michelle Dennis</t>
  </si>
  <si>
    <t>Edward Combs</t>
  </si>
  <si>
    <t>Shannon Harrison</t>
  </si>
  <si>
    <t>Nichole Foster</t>
  </si>
  <si>
    <t>Eric Tate</t>
  </si>
  <si>
    <t>Jamie Stevens</t>
  </si>
  <si>
    <t>Ryan Cruz</t>
  </si>
  <si>
    <t>Darlene Fernandez</t>
  </si>
  <si>
    <t>Brooke Hampton</t>
  </si>
  <si>
    <t>Kenneth Perry</t>
  </si>
  <si>
    <t>Taylor Adams</t>
  </si>
  <si>
    <t>Caitlin Brown</t>
  </si>
  <si>
    <t>Jennifer Goodwin</t>
  </si>
  <si>
    <t>Samantha Cole</t>
  </si>
  <si>
    <t>Sarah Shannon</t>
  </si>
  <si>
    <t>Melissa Spencer</t>
  </si>
  <si>
    <t>Samantha French</t>
  </si>
  <si>
    <t>Aaron Gilmore</t>
  </si>
  <si>
    <t>Mark Lopez</t>
  </si>
  <si>
    <t>Ashley Fischer</t>
  </si>
  <si>
    <t>Christina Zimmerman</t>
  </si>
  <si>
    <t>Jennifer Smith</t>
  </si>
  <si>
    <t>Gary Gutierrez</t>
  </si>
  <si>
    <t>Stacey Gilbert</t>
  </si>
  <si>
    <t>Corey Merritt</t>
  </si>
  <si>
    <t>Hector Christian</t>
  </si>
  <si>
    <t>Kimberly Martin</t>
  </si>
  <si>
    <t>Amber Boyle</t>
  </si>
  <si>
    <t>Jeffrey Doyle</t>
  </si>
  <si>
    <t>Michael Shields</t>
  </si>
  <si>
    <t>Stephen Dennis</t>
  </si>
  <si>
    <t>Brittany Mueller</t>
  </si>
  <si>
    <t>Drew Williams</t>
  </si>
  <si>
    <t>Joshua Stephenson</t>
  </si>
  <si>
    <t>Amanda Melton</t>
  </si>
  <si>
    <t>Cynthia Brown</t>
  </si>
  <si>
    <t>Mr. Larry Doyle</t>
  </si>
  <si>
    <t>Cheryl Munoz</t>
  </si>
  <si>
    <t>Lauren Patterson</t>
  </si>
  <si>
    <t>David Martin</t>
  </si>
  <si>
    <t>Randy Taylor</t>
  </si>
  <si>
    <t>Dean Pena</t>
  </si>
  <si>
    <t>Kari Page</t>
  </si>
  <si>
    <t>Jamie Rivera</t>
  </si>
  <si>
    <t>Bryce Bailey</t>
  </si>
  <si>
    <t>Jose Gonzalez</t>
  </si>
  <si>
    <t>Sherry Turner</t>
  </si>
  <si>
    <t>Danielle Ibarra</t>
  </si>
  <si>
    <t>Angela Hart MD</t>
  </si>
  <si>
    <t>Debra Gilbert</t>
  </si>
  <si>
    <t>Denise Wilson</t>
  </si>
  <si>
    <t>Suzanne Fischer</t>
  </si>
  <si>
    <t>Kathy Johnson</t>
  </si>
  <si>
    <t>Anna Carrillo</t>
  </si>
  <si>
    <t>Heather Williamson</t>
  </si>
  <si>
    <t>Rachel Caldwell</t>
  </si>
  <si>
    <t>Melissa Peterson</t>
  </si>
  <si>
    <t>Emma Nelson</t>
  </si>
  <si>
    <t>Katrina Snyder</t>
  </si>
  <si>
    <t>Heather Young</t>
  </si>
  <si>
    <t>Rodney Jenkins</t>
  </si>
  <si>
    <t>Jennifer Trujillo</t>
  </si>
  <si>
    <t>Melissa Reyes</t>
  </si>
  <si>
    <t>Richard Mercado</t>
  </si>
  <si>
    <t>Michael Gonzalez</t>
  </si>
  <si>
    <t>Angela Hall</t>
  </si>
  <si>
    <t>Melissa White</t>
  </si>
  <si>
    <t>Brenda Heath</t>
  </si>
  <si>
    <t>Elizabeth Nolan</t>
  </si>
  <si>
    <t>Crystal Mercado</t>
  </si>
  <si>
    <t>Tracy Wong</t>
  </si>
  <si>
    <t>Bridget Turner</t>
  </si>
  <si>
    <t>Jacqueline Holland</t>
  </si>
  <si>
    <t>Nicholas Ramirez</t>
  </si>
  <si>
    <t>Ryan Campbell</t>
  </si>
  <si>
    <t>Deborah Bridges</t>
  </si>
  <si>
    <t>Nathan Christian</t>
  </si>
  <si>
    <t>Corey Johnson</t>
  </si>
  <si>
    <t>Stephanie Morales</t>
  </si>
  <si>
    <t>Jasmin Davis</t>
  </si>
  <si>
    <t>Hannah Barber</t>
  </si>
  <si>
    <t>Terry Davis</t>
  </si>
  <si>
    <t>Morgan Martinez</t>
  </si>
  <si>
    <t>Gary Richard</t>
  </si>
  <si>
    <t>Anthony Davis</t>
  </si>
  <si>
    <t>Jim Luna</t>
  </si>
  <si>
    <t>Katie Moore</t>
  </si>
  <si>
    <t>Amy Payne</t>
  </si>
  <si>
    <t>Deborah Gordon</t>
  </si>
  <si>
    <t>Kirsten Martinez</t>
  </si>
  <si>
    <t>David Miller</t>
  </si>
  <si>
    <t>Anthony Fields</t>
  </si>
  <si>
    <t>Stanley Torres</t>
  </si>
  <si>
    <t>Todd Rodriguez</t>
  </si>
  <si>
    <t>Ricky Khan</t>
  </si>
  <si>
    <t>Caitlin Stewart</t>
  </si>
  <si>
    <t>Jason Sexton</t>
  </si>
  <si>
    <t>David Powers</t>
  </si>
  <si>
    <t>Laura Andersen</t>
  </si>
  <si>
    <t>Michelle Chen</t>
  </si>
  <si>
    <t>Andrea Neal</t>
  </si>
  <si>
    <t>Amy Collins</t>
  </si>
  <si>
    <t>Deborah Brown</t>
  </si>
  <si>
    <t>Stacy Rubio</t>
  </si>
  <si>
    <t>Alexander Santiago</t>
  </si>
  <si>
    <t>Sarah Munoz</t>
  </si>
  <si>
    <t>David Reyes</t>
  </si>
  <si>
    <t>Sandra Hunter</t>
  </si>
  <si>
    <t>Justin Martin</t>
  </si>
  <si>
    <t>Madeline Griffin</t>
  </si>
  <si>
    <t>Stephanie Ware</t>
  </si>
  <si>
    <t>Johnathan Parker</t>
  </si>
  <si>
    <t>Timothy King</t>
  </si>
  <si>
    <t>Jennifer Miles</t>
  </si>
  <si>
    <t>Veronica Barrett</t>
  </si>
  <si>
    <t>Shannon Porter</t>
  </si>
  <si>
    <t>Dorothy Ryan</t>
  </si>
  <si>
    <t>Theodore Fleming</t>
  </si>
  <si>
    <t>Jeremy Long</t>
  </si>
  <si>
    <t>Ashley Adams</t>
  </si>
  <si>
    <t>Mario Lewis</t>
  </si>
  <si>
    <t>Jaime Roberts</t>
  </si>
  <si>
    <t>Samuel Gutierrez</t>
  </si>
  <si>
    <t>Jackie Santos</t>
  </si>
  <si>
    <t>Eric Reynolds</t>
  </si>
  <si>
    <t>Edwin Mann</t>
  </si>
  <si>
    <t>Matthew Williamson</t>
  </si>
  <si>
    <t>Amanda Mcclain</t>
  </si>
  <si>
    <t>James Atkins</t>
  </si>
  <si>
    <t>Nicholas Horne</t>
  </si>
  <si>
    <t>Susan Sanders</t>
  </si>
  <si>
    <t>Morgan Gray</t>
  </si>
  <si>
    <t>Lisa Jones</t>
  </si>
  <si>
    <t>Joe Sanchez</t>
  </si>
  <si>
    <t>Timothy Hawkins</t>
  </si>
  <si>
    <t>Jill Robinson</t>
  </si>
  <si>
    <t>Tiffany Carr</t>
  </si>
  <si>
    <t>Kathryn Munoz</t>
  </si>
  <si>
    <t>Patrick Knight</t>
  </si>
  <si>
    <t>Kelsey Smith</t>
  </si>
  <si>
    <t>Jesse Smith</t>
  </si>
  <si>
    <t>Christopher Ward</t>
  </si>
  <si>
    <t>Jennifer Patton</t>
  </si>
  <si>
    <t>Rachael White</t>
  </si>
  <si>
    <t>Julie Hall</t>
  </si>
  <si>
    <t>Mrs. Ann Martin</t>
  </si>
  <si>
    <t>James Campbell MD</t>
  </si>
  <si>
    <t>Miss Melody Smith</t>
  </si>
  <si>
    <t>Teresa Summers</t>
  </si>
  <si>
    <t>Janet Carrillo</t>
  </si>
  <si>
    <t>Cathy Rodriguez</t>
  </si>
  <si>
    <t>Sarah Williams</t>
  </si>
  <si>
    <t>Dennis Little</t>
  </si>
  <si>
    <t>Rebecca Spencer</t>
  </si>
  <si>
    <t>Stephen Smith</t>
  </si>
  <si>
    <t>Susan Proctor</t>
  </si>
  <si>
    <t>Rachel Harris</t>
  </si>
  <si>
    <t>Tammy Meyer</t>
  </si>
  <si>
    <t>David Bryan MD</t>
  </si>
  <si>
    <t>Melissa Braun</t>
  </si>
  <si>
    <t>Gabriella Brown</t>
  </si>
  <si>
    <t>Katherine Perez</t>
  </si>
  <si>
    <t>Brenda Mitchell</t>
  </si>
  <si>
    <t>Katherine Spencer</t>
  </si>
  <si>
    <t>Derrick Brown</t>
  </si>
  <si>
    <t>Tonya Ramirez</t>
  </si>
  <si>
    <t>Emily Parker</t>
  </si>
  <si>
    <t>Carol Long</t>
  </si>
  <si>
    <t>Samuel Hamilton</t>
  </si>
  <si>
    <t>Cheryl Cox</t>
  </si>
  <si>
    <t>Angela Frank</t>
  </si>
  <si>
    <t>Melinda Walter</t>
  </si>
  <si>
    <t>Michael Baker</t>
  </si>
  <si>
    <t>Amy Rivera</t>
  </si>
  <si>
    <t>Eric Romero</t>
  </si>
  <si>
    <t>Tracy Jackson</t>
  </si>
  <si>
    <t>Michelle Brown</t>
  </si>
  <si>
    <t>Carly Williams</t>
  </si>
  <si>
    <t>Kimberly Wright</t>
  </si>
  <si>
    <t>Mark Bright</t>
  </si>
  <si>
    <t>Nicholas Hall</t>
  </si>
  <si>
    <t>Mrs. Amy Mitchell</t>
  </si>
  <si>
    <t>Eric Fisher</t>
  </si>
  <si>
    <t>Matthew Miller DVM</t>
  </si>
  <si>
    <t>Dawn Dennis</t>
  </si>
  <si>
    <t>Robert Blanchard</t>
  </si>
  <si>
    <t>Todd Hunter</t>
  </si>
  <si>
    <t>Danielle Evans</t>
  </si>
  <si>
    <t>Eric Mcmahon</t>
  </si>
  <si>
    <t>Jill Walker</t>
  </si>
  <si>
    <t>Ian Hayes</t>
  </si>
  <si>
    <t>David Swanson</t>
  </si>
  <si>
    <t>Erin Carr</t>
  </si>
  <si>
    <t>Brenda Miller</t>
  </si>
  <si>
    <t>Brenda Kaufman</t>
  </si>
  <si>
    <t>Brett Strickland</t>
  </si>
  <si>
    <t>Leslie Anderson</t>
  </si>
  <si>
    <t>Victor Rodriguez</t>
  </si>
  <si>
    <t>Donna Rogers</t>
  </si>
  <si>
    <t>Richard Monroe</t>
  </si>
  <si>
    <t>Adam Mckenzie</t>
  </si>
  <si>
    <t>Kimberly Sanchez</t>
  </si>
  <si>
    <t>Robert Spears</t>
  </si>
  <si>
    <t>Andrew Mccormick</t>
  </si>
  <si>
    <t>Mr. Richard Franklin Jr.</t>
  </si>
  <si>
    <t>Garrett Riley</t>
  </si>
  <si>
    <t>Brenda Espinoza</t>
  </si>
  <si>
    <t>Christian Bryant</t>
  </si>
  <si>
    <t>Carol Swanson</t>
  </si>
  <si>
    <t>Tracy Hansen</t>
  </si>
  <si>
    <t>Ronald Baker</t>
  </si>
  <si>
    <t>Tonya Bell</t>
  </si>
  <si>
    <t>Todd Phillips</t>
  </si>
  <si>
    <t>Trevor Luna</t>
  </si>
  <si>
    <t>Jasmine Duncan</t>
  </si>
  <si>
    <t>Larry Conway</t>
  </si>
  <si>
    <t>Brian Fernandez</t>
  </si>
  <si>
    <t>Jason Thompson</t>
  </si>
  <si>
    <t>Shannon Shaw</t>
  </si>
  <si>
    <t>Jeffrey Carlson</t>
  </si>
  <si>
    <t>Daniel James</t>
  </si>
  <si>
    <t>Nicholas Smith</t>
  </si>
  <si>
    <t>Timothy Jackson</t>
  </si>
  <si>
    <t>Katie Copeland</t>
  </si>
  <si>
    <t>Monica Gonzalez</t>
  </si>
  <si>
    <t>Raymond Carr</t>
  </si>
  <si>
    <t>Laura Sims</t>
  </si>
  <si>
    <t>Daniel Pena</t>
  </si>
  <si>
    <t>Kevin Wyatt</t>
  </si>
  <si>
    <t>Kelly Espinoza</t>
  </si>
  <si>
    <t>Ryan Armstrong</t>
  </si>
  <si>
    <t>Jeffrey Lester</t>
  </si>
  <si>
    <t>Dr. Karen Floyd MD</t>
  </si>
  <si>
    <t>Tracey Johnson</t>
  </si>
  <si>
    <t>Anthony Taylor</t>
  </si>
  <si>
    <t>George Nichols</t>
  </si>
  <si>
    <t>Vanessa Green</t>
  </si>
  <si>
    <t>Frederick Williams</t>
  </si>
  <si>
    <t>Daniel Smith</t>
  </si>
  <si>
    <t>Mark Huffman</t>
  </si>
  <si>
    <t>Lisa Barajas MD</t>
  </si>
  <si>
    <t>Samuel Mcmillan</t>
  </si>
  <si>
    <t>Ronnie Horne</t>
  </si>
  <si>
    <t>Gabriella Bailey MD</t>
  </si>
  <si>
    <t>Danielle Poole</t>
  </si>
  <si>
    <t>Samantha Bradford</t>
  </si>
  <si>
    <t>Gregory Durham</t>
  </si>
  <si>
    <t>Michael Holden</t>
  </si>
  <si>
    <t>Noah Garcia</t>
  </si>
  <si>
    <t>Nicole Martinez</t>
  </si>
  <si>
    <t>Robert Jimenez</t>
  </si>
  <si>
    <t>John Gallagher</t>
  </si>
  <si>
    <t>Travis Pena</t>
  </si>
  <si>
    <t>John Smith</t>
  </si>
  <si>
    <t>Kelly Holt</t>
  </si>
  <si>
    <t>Jeremy Morris</t>
  </si>
  <si>
    <t>Robin Peck</t>
  </si>
  <si>
    <t>Leslie Sullivan</t>
  </si>
  <si>
    <t>Brian Palmer</t>
  </si>
  <si>
    <t>Michael Hanson</t>
  </si>
  <si>
    <t>Eric Hahn</t>
  </si>
  <si>
    <t>Sandra Hoffman</t>
  </si>
  <si>
    <t>Joann Nichols</t>
  </si>
  <si>
    <t>Timothy Mathews</t>
  </si>
  <si>
    <t>Margaret Serrano</t>
  </si>
  <si>
    <t>William Serrano</t>
  </si>
  <si>
    <t>Erika Evans</t>
  </si>
  <si>
    <t>Joel Webb</t>
  </si>
  <si>
    <t>Antonio Vance</t>
  </si>
  <si>
    <t>Mrs. Amy Cox DDS</t>
  </si>
  <si>
    <t>Brenda Taylor</t>
  </si>
  <si>
    <t>Tina Graham</t>
  </si>
  <si>
    <t>Donald Cohen</t>
  </si>
  <si>
    <t>David Hansen</t>
  </si>
  <si>
    <t>Jessica Rivers</t>
  </si>
  <si>
    <t>Sherry Franco</t>
  </si>
  <si>
    <t>Brandon Taylor</t>
  </si>
  <si>
    <t>Henry Freeman</t>
  </si>
  <si>
    <t>Nicole Frazier</t>
  </si>
  <si>
    <t>Lauren Reyes</t>
  </si>
  <si>
    <t>Justin Buck</t>
  </si>
  <si>
    <t>Robert Swanson</t>
  </si>
  <si>
    <t>Stephen Malone</t>
  </si>
  <si>
    <t>Sarah Martinez</t>
  </si>
  <si>
    <t>Christopher Wiggins</t>
  </si>
  <si>
    <t>Steven Lopez</t>
  </si>
  <si>
    <t>Pamela Singleton</t>
  </si>
  <si>
    <t>Heather Harris</t>
  </si>
  <si>
    <t>Jenna Riddle</t>
  </si>
  <si>
    <t>Sharon Mann</t>
  </si>
  <si>
    <t>Dennis Nolan</t>
  </si>
  <si>
    <t>Gina Rogers</t>
  </si>
  <si>
    <t>Patricia Fox</t>
  </si>
  <si>
    <t>Jason Barrett</t>
  </si>
  <si>
    <t>Keith Price</t>
  </si>
  <si>
    <t>Brian Odonnell</t>
  </si>
  <si>
    <t>Jessica Silva</t>
  </si>
  <si>
    <t>Kimberly Reynolds</t>
  </si>
  <si>
    <t>Derrick Miller</t>
  </si>
  <si>
    <t>Trevor Rojas</t>
  </si>
  <si>
    <t>Michael Perez</t>
  </si>
  <si>
    <t>Katherine Griffin</t>
  </si>
  <si>
    <t>Meredith Wilson</t>
  </si>
  <si>
    <t>Gerald Stone</t>
  </si>
  <si>
    <t>Jack Miller</t>
  </si>
  <si>
    <t>Paul Gonzalez</t>
  </si>
  <si>
    <t>Sara Harding</t>
  </si>
  <si>
    <t>Carolyn Rivera</t>
  </si>
  <si>
    <t>Scott Greer</t>
  </si>
  <si>
    <t>Matthew Davis</t>
  </si>
  <si>
    <t>William Rivas</t>
  </si>
  <si>
    <t>Howard Jackson</t>
  </si>
  <si>
    <t>Christopher Li</t>
  </si>
  <si>
    <t>Matthew Anderson</t>
  </si>
  <si>
    <t>George Villa</t>
  </si>
  <si>
    <t>Frank Rodriguez</t>
  </si>
  <si>
    <t>Matthew Valentine</t>
  </si>
  <si>
    <t>Daniel Mccoy</t>
  </si>
  <si>
    <t>Heather Watts</t>
  </si>
  <si>
    <t>Joyce Aguirre</t>
  </si>
  <si>
    <t>Julia Petty</t>
  </si>
  <si>
    <t>Jeffrey Diaz</t>
  </si>
  <si>
    <t>Kayla Aguilar</t>
  </si>
  <si>
    <t>Mark Brown</t>
  </si>
  <si>
    <t>Taylor Coffey</t>
  </si>
  <si>
    <t>Devin Booth</t>
  </si>
  <si>
    <t>Victoria Wood</t>
  </si>
  <si>
    <t>Hailey Hernandez</t>
  </si>
  <si>
    <t>Zachary Lewis</t>
  </si>
  <si>
    <t>Chad Smith</t>
  </si>
  <si>
    <t>Dr. Christopher Villa</t>
  </si>
  <si>
    <t>Jeremy Ruiz</t>
  </si>
  <si>
    <t>Julia Johnson</t>
  </si>
  <si>
    <t>Jared Carter</t>
  </si>
  <si>
    <t>Alicia Ramirez MD</t>
  </si>
  <si>
    <t>Gabriel Hamilton</t>
  </si>
  <si>
    <t>Matthew Branch</t>
  </si>
  <si>
    <t>Lindsay Perez</t>
  </si>
  <si>
    <t>Peter Garcia</t>
  </si>
  <si>
    <t>Regina Brown</t>
  </si>
  <si>
    <t>Andrew Martinez</t>
  </si>
  <si>
    <t>Devin Rodriguez</t>
  </si>
  <si>
    <t>Cindy Bond</t>
  </si>
  <si>
    <t>Judy Walters</t>
  </si>
  <si>
    <t>Heidi Reyes</t>
  </si>
  <si>
    <t>Scott Hughes</t>
  </si>
  <si>
    <t>Suzanne Hunt</t>
  </si>
  <si>
    <t>Erika Goodman</t>
  </si>
  <si>
    <t>Jose Stokes</t>
  </si>
  <si>
    <t>Margaret Scott</t>
  </si>
  <si>
    <t>Kristine Orr PhD</t>
  </si>
  <si>
    <t>Meagan Hill</t>
  </si>
  <si>
    <t>Beverly Taylor</t>
  </si>
  <si>
    <t>Joshua Hoffman</t>
  </si>
  <si>
    <t>Timothy Watts</t>
  </si>
  <si>
    <t>Terry Arroyo</t>
  </si>
  <si>
    <t>Bonnie Brown</t>
  </si>
  <si>
    <t>Andrew Parks</t>
  </si>
  <si>
    <t>Maria Garcia</t>
  </si>
  <si>
    <t>Robert Kennedy</t>
  </si>
  <si>
    <t>Bridget Jimenez</t>
  </si>
  <si>
    <t>Debra Hampton</t>
  </si>
  <si>
    <t>Katie Ward</t>
  </si>
  <si>
    <t>James Williams</t>
  </si>
  <si>
    <t>Kyle Lambert</t>
  </si>
  <si>
    <t>Deborah Jones</t>
  </si>
  <si>
    <t>Troy Walker</t>
  </si>
  <si>
    <t>Darren Montgomery</t>
  </si>
  <si>
    <t>Christine Cook</t>
  </si>
  <si>
    <t>Dustin Lee</t>
  </si>
  <si>
    <t>Tina Schmidt</t>
  </si>
  <si>
    <t>Clayton Li</t>
  </si>
  <si>
    <t>Travis Foster</t>
  </si>
  <si>
    <t>Mark Perkins</t>
  </si>
  <si>
    <t>Kevin Hendricks</t>
  </si>
  <si>
    <t>Cristian Arnold</t>
  </si>
  <si>
    <t>Daniel Walters</t>
  </si>
  <si>
    <t>Terri Jackson</t>
  </si>
  <si>
    <t>Matthew Alvarez</t>
  </si>
  <si>
    <t>John Suarez</t>
  </si>
  <si>
    <t>Lauren Yu</t>
  </si>
  <si>
    <t>Richard Porter</t>
  </si>
  <si>
    <t>James Gallagher</t>
  </si>
  <si>
    <t>Laura Knight</t>
  </si>
  <si>
    <t>Fred Thompson</t>
  </si>
  <si>
    <t>Neil Smith</t>
  </si>
  <si>
    <t>Christine Rojas</t>
  </si>
  <si>
    <t>Karen Smith</t>
  </si>
  <si>
    <t>Calvin Fry</t>
  </si>
  <si>
    <t>Brianna Davis</t>
  </si>
  <si>
    <t>Victoria Howard</t>
  </si>
  <si>
    <t>Jenna Santos</t>
  </si>
  <si>
    <t>Anne Smith</t>
  </si>
  <si>
    <t>Christopher Cross</t>
  </si>
  <si>
    <t>Wesley Mcclain</t>
  </si>
  <si>
    <t>Joshua Alvarez</t>
  </si>
  <si>
    <t>Jack Kim</t>
  </si>
  <si>
    <t>James Adams</t>
  </si>
  <si>
    <t>Benjamin Carroll</t>
  </si>
  <si>
    <t>Willie Myers</t>
  </si>
  <si>
    <t>Amanda Johnson</t>
  </si>
  <si>
    <t>Susan Brown</t>
  </si>
  <si>
    <t>Angela Luna</t>
  </si>
  <si>
    <t>Michael Long</t>
  </si>
  <si>
    <t>Laura Sparks</t>
  </si>
  <si>
    <t>Brianna Ryan</t>
  </si>
  <si>
    <t>Tara Moore</t>
  </si>
  <si>
    <t>Andrew Harris</t>
  </si>
  <si>
    <t>Annette Pope</t>
  </si>
  <si>
    <t>Lori Thompson</t>
  </si>
  <si>
    <t>Anna Anderson</t>
  </si>
  <si>
    <t>Sarah Howell</t>
  </si>
  <si>
    <t>William Barber</t>
  </si>
  <si>
    <t>Melanie Fernandez</t>
  </si>
  <si>
    <t>Jonathan Mendoza</t>
  </si>
  <si>
    <t>Sara Rivera</t>
  </si>
  <si>
    <t>Debbie Adams</t>
  </si>
  <si>
    <t>Sara Wallace</t>
  </si>
  <si>
    <t>Adam Osborne</t>
  </si>
  <si>
    <t>David Oneal</t>
  </si>
  <si>
    <t>Sarah Oneal</t>
  </si>
  <si>
    <t>Bradley Frost</t>
  </si>
  <si>
    <t>Mark Roberts</t>
  </si>
  <si>
    <t>Raymond Sweeney</t>
  </si>
  <si>
    <t>Matthew Robinson</t>
  </si>
  <si>
    <t>Diana Brown</t>
  </si>
  <si>
    <t>Marissa Clark</t>
  </si>
  <si>
    <t>Victoria Herrera</t>
  </si>
  <si>
    <t>Alexa Mathis</t>
  </si>
  <si>
    <t>Deborah Adams</t>
  </si>
  <si>
    <t>Jacob Scott</t>
  </si>
  <si>
    <t>Angela Wong</t>
  </si>
  <si>
    <t>Todd Bridges</t>
  </si>
  <si>
    <t>Chelsea Curry</t>
  </si>
  <si>
    <t>Cynthia Mccullough</t>
  </si>
  <si>
    <t>Anna Bowman</t>
  </si>
  <si>
    <t>Jennifer Richards</t>
  </si>
  <si>
    <t>Thomas Gray</t>
  </si>
  <si>
    <t>Steve Burns</t>
  </si>
  <si>
    <t>Michelle Evans</t>
  </si>
  <si>
    <t>Kenneth Ho Jr.</t>
  </si>
  <si>
    <t>Lindsey Hart DDS</t>
  </si>
  <si>
    <t>Jeffrey Garcia</t>
  </si>
  <si>
    <t>Derrick Johnson</t>
  </si>
  <si>
    <t>Kimberly Martinez</t>
  </si>
  <si>
    <t>Jamie Adams</t>
  </si>
  <si>
    <t>Mercedes Allen</t>
  </si>
  <si>
    <t>Amber Garcia</t>
  </si>
  <si>
    <t>Anthony Ward</t>
  </si>
  <si>
    <t>Rachel Sanchez</t>
  </si>
  <si>
    <t>Sharon Lin</t>
  </si>
  <si>
    <t>Mrs. Ashley Allen MD</t>
  </si>
  <si>
    <t>Kelly Gomez</t>
  </si>
  <si>
    <t>Erin Taylor</t>
  </si>
  <si>
    <t>Paige Patton</t>
  </si>
  <si>
    <t>Benjamin Watson</t>
  </si>
  <si>
    <t>Harold Bates</t>
  </si>
  <si>
    <t>Gary Wade</t>
  </si>
  <si>
    <t>Jessica Scott</t>
  </si>
  <si>
    <t>Jerry Shelton</t>
  </si>
  <si>
    <t>Janet Shaffer</t>
  </si>
  <si>
    <t>Jeffery Whitehead</t>
  </si>
  <si>
    <t>Frederick Jensen</t>
  </si>
  <si>
    <t>Michele Sharp</t>
  </si>
  <si>
    <t>Mary White</t>
  </si>
  <si>
    <t>Andrew Harvey</t>
  </si>
  <si>
    <t>Christopher Nelson</t>
  </si>
  <si>
    <t>Terry Kidd</t>
  </si>
  <si>
    <t>Kevin Cruz DDS</t>
  </si>
  <si>
    <t>Lisa Kennedy</t>
  </si>
  <si>
    <t>Jeffrey Evans</t>
  </si>
  <si>
    <t>Roberto Jackson</t>
  </si>
  <si>
    <t>Robert Washington</t>
  </si>
  <si>
    <t>Travis Carter</t>
  </si>
  <si>
    <t>Latasha Brown</t>
  </si>
  <si>
    <t>William Anderson</t>
  </si>
  <si>
    <t>Amy Cox DDS</t>
  </si>
  <si>
    <t>Cathy Elliott</t>
  </si>
  <si>
    <t>Cathy Simon</t>
  </si>
  <si>
    <t>Travis Wilson</t>
  </si>
  <si>
    <t>Sean Stephens</t>
  </si>
  <si>
    <t>Jason Mendoza</t>
  </si>
  <si>
    <t>Anthony Hartman</t>
  </si>
  <si>
    <t>Jason Fleming</t>
  </si>
  <si>
    <t>Sonya Anderson</t>
  </si>
  <si>
    <t>Barbara Ferrell</t>
  </si>
  <si>
    <t>Jessica Foley</t>
  </si>
  <si>
    <t>Debra Brown</t>
  </si>
  <si>
    <t>Jaime Lopez</t>
  </si>
  <si>
    <t>Michael Brandt</t>
  </si>
  <si>
    <t>Cassandra Edwards</t>
  </si>
  <si>
    <t>Kristy Jefferson</t>
  </si>
  <si>
    <t>Stephen Adams</t>
  </si>
  <si>
    <t>Joshua Rowland</t>
  </si>
  <si>
    <t>Jerry Smith</t>
  </si>
  <si>
    <t>Amanda Spence</t>
  </si>
  <si>
    <t>Amanda Diaz</t>
  </si>
  <si>
    <t>Margaret Crawford</t>
  </si>
  <si>
    <t>Brittany Richards</t>
  </si>
  <si>
    <t>Nicole Alvarez</t>
  </si>
  <si>
    <t>Michael Howard</t>
  </si>
  <si>
    <t>Anthony Cobb</t>
  </si>
  <si>
    <t>Benjamin Larsen</t>
  </si>
  <si>
    <t>Paul Howard</t>
  </si>
  <si>
    <t>Alex Peck</t>
  </si>
  <si>
    <t>Marco Blackwell</t>
  </si>
  <si>
    <t>Rebecca Rogers</t>
  </si>
  <si>
    <t>Jimmy Carroll</t>
  </si>
  <si>
    <t>Christine Reed</t>
  </si>
  <si>
    <t>Patrick Burnett</t>
  </si>
  <si>
    <t>Thomas Kennedy</t>
  </si>
  <si>
    <t>Matthew Baker</t>
  </si>
  <si>
    <t>Michael Harding</t>
  </si>
  <si>
    <t>Derek Gamble</t>
  </si>
  <si>
    <t>Jessica Jackson</t>
  </si>
  <si>
    <t>Kimberly Preston</t>
  </si>
  <si>
    <t>Ashley Mitchell</t>
  </si>
  <si>
    <t>Gary Adams</t>
  </si>
  <si>
    <t>Elizabeth Ford</t>
  </si>
  <si>
    <t>Jerry Espinoza</t>
  </si>
  <si>
    <t>Aaron Cruz</t>
  </si>
  <si>
    <t>Stephanie Russell</t>
  </si>
  <si>
    <t>Cynthia Mcgrath</t>
  </si>
  <si>
    <t>Marcus Perez</t>
  </si>
  <si>
    <t>Charles Henry</t>
  </si>
  <si>
    <t>Brandon Rodriguez</t>
  </si>
  <si>
    <t>Rachel Garcia</t>
  </si>
  <si>
    <t>Erik Jennings</t>
  </si>
  <si>
    <t>Pamela Johnson</t>
  </si>
  <si>
    <t>Michelle Short</t>
  </si>
  <si>
    <t>Kevin Williams</t>
  </si>
  <si>
    <t>Louis Wall</t>
  </si>
  <si>
    <t>Robert Flowers</t>
  </si>
  <si>
    <t>Alexis Evans</t>
  </si>
  <si>
    <t>Donald Burns</t>
  </si>
  <si>
    <t>Jack Kaufman</t>
  </si>
  <si>
    <t>David Ramirez</t>
  </si>
  <si>
    <t>Tammy Morales</t>
  </si>
  <si>
    <t>Justin Wells</t>
  </si>
  <si>
    <t>Joseph Flores</t>
  </si>
  <si>
    <t>Shane Stephens</t>
  </si>
  <si>
    <t>Courtney Wade</t>
  </si>
  <si>
    <t>Donald Stewart</t>
  </si>
  <si>
    <t>Jason Nichols</t>
  </si>
  <si>
    <t>Steven Kennedy</t>
  </si>
  <si>
    <t>Mrs. Jennifer Newman</t>
  </si>
  <si>
    <t>Kimberly Green</t>
  </si>
  <si>
    <t>Sally Green</t>
  </si>
  <si>
    <t>Tanya Velez</t>
  </si>
  <si>
    <t>Rebecca Carey</t>
  </si>
  <si>
    <t>Ryan Bass</t>
  </si>
  <si>
    <t>Dennis Armstrong</t>
  </si>
  <si>
    <t>Sarah Butler</t>
  </si>
  <si>
    <t>Amanda Garcia</t>
  </si>
  <si>
    <t>James Smith</t>
  </si>
  <si>
    <t>Marie Peterson</t>
  </si>
  <si>
    <t>Dana Oliver</t>
  </si>
  <si>
    <t>Patrick Cruz</t>
  </si>
  <si>
    <t>Daniel Edwards</t>
  </si>
  <si>
    <t>Angela Ramirez</t>
  </si>
  <si>
    <t>Erika Sanchez</t>
  </si>
  <si>
    <t>Dale Mayo</t>
  </si>
  <si>
    <t>Donald Hale</t>
  </si>
  <si>
    <t>Allison Fowler</t>
  </si>
  <si>
    <t>Darrell Schroeder</t>
  </si>
  <si>
    <t>Sean Smith</t>
  </si>
  <si>
    <t>Brian Gordon</t>
  </si>
  <si>
    <t>Randall White</t>
  </si>
  <si>
    <t>Tammy Nolan</t>
  </si>
  <si>
    <t>Anthony Smith</t>
  </si>
  <si>
    <t>Deborah Carter</t>
  </si>
  <si>
    <t>Andre Ramirez</t>
  </si>
  <si>
    <t>Robert Stout</t>
  </si>
  <si>
    <t>Andrew Johnson</t>
  </si>
  <si>
    <t>Makayla Rodriguez</t>
  </si>
  <si>
    <t>Angela Johnson</t>
  </si>
  <si>
    <t>Karen Sosa</t>
  </si>
  <si>
    <t>Thomas Reeves</t>
  </si>
  <si>
    <t>Mary Shaw</t>
  </si>
  <si>
    <t>Derek Ryan</t>
  </si>
  <si>
    <t>Jerry Carter</t>
  </si>
  <si>
    <t>Charles Stephenson</t>
  </si>
  <si>
    <t>Angela Gibson</t>
  </si>
  <si>
    <t>Tina Martinez</t>
  </si>
  <si>
    <t>Richard Bennett</t>
  </si>
  <si>
    <t>Richard Kelly</t>
  </si>
  <si>
    <t>John Jones</t>
  </si>
  <si>
    <t>Sara Lee</t>
  </si>
  <si>
    <t>Sarah Reynolds</t>
  </si>
  <si>
    <t>Angela Moore</t>
  </si>
  <si>
    <t>Melissa Thompson</t>
  </si>
  <si>
    <t>Joel Mcneil</t>
  </si>
  <si>
    <t>Meagan Austin</t>
  </si>
  <si>
    <t>Heidi Moore</t>
  </si>
  <si>
    <t>Roger Jones</t>
  </si>
  <si>
    <t>Eric Rivas</t>
  </si>
  <si>
    <t>April Church</t>
  </si>
  <si>
    <t>Evan Moreno</t>
  </si>
  <si>
    <t>Amber Green</t>
  </si>
  <si>
    <t>Amanda Arroyo</t>
  </si>
  <si>
    <t>William White</t>
  </si>
  <si>
    <t>Crystal Grimes</t>
  </si>
  <si>
    <t>Jordan Barnes</t>
  </si>
  <si>
    <t>Jerry Whitaker</t>
  </si>
  <si>
    <t>Dean Torres</t>
  </si>
  <si>
    <t>Henry Bell</t>
  </si>
  <si>
    <t>Kathleen Hernandez</t>
  </si>
  <si>
    <t>Anthony Ray</t>
  </si>
  <si>
    <t>Christian Hunt Jr.</t>
  </si>
  <si>
    <t>Robert Davis</t>
  </si>
  <si>
    <t>Christina Hunter</t>
  </si>
  <si>
    <t>Edward Lindsey</t>
  </si>
  <si>
    <t>Tiffany Armstrong</t>
  </si>
  <si>
    <t>Barbara Collier</t>
  </si>
  <si>
    <t>Danielle Schaefer</t>
  </si>
  <si>
    <t>Bryan Ruiz Jr.</t>
  </si>
  <si>
    <t>Emily Roberts</t>
  </si>
  <si>
    <t>Kristine Lin</t>
  </si>
  <si>
    <t>Jimmy Skinner</t>
  </si>
  <si>
    <t>Candice Johnson</t>
  </si>
  <si>
    <t>Mr. Thomas Mack</t>
  </si>
  <si>
    <t>Christian Ford</t>
  </si>
  <si>
    <t>Brandon Parks</t>
  </si>
  <si>
    <t>Sara Chambers</t>
  </si>
  <si>
    <t>Travis Willis</t>
  </si>
  <si>
    <t>Crystal Ray</t>
  </si>
  <si>
    <t>Mr. Gary Henson DDS</t>
  </si>
  <si>
    <t>Joseph Rush</t>
  </si>
  <si>
    <t>Kara Mcintosh</t>
  </si>
  <si>
    <t>David Moore</t>
  </si>
  <si>
    <t>Melissa Huffman</t>
  </si>
  <si>
    <t>Lori Nguyen</t>
  </si>
  <si>
    <t>Joshua Bell</t>
  </si>
  <si>
    <t>Katrina Brady</t>
  </si>
  <si>
    <t>Joseph Franklin</t>
  </si>
  <si>
    <t>Nancy Crawford</t>
  </si>
  <si>
    <t>Jason Terry</t>
  </si>
  <si>
    <t>Jeremy Browning</t>
  </si>
  <si>
    <t>Kathleen Montgomery</t>
  </si>
  <si>
    <t>Brian Baxter</t>
  </si>
  <si>
    <t>Kayla Romero</t>
  </si>
  <si>
    <t>George Powell</t>
  </si>
  <si>
    <t>Caitlin Nelson</t>
  </si>
  <si>
    <t>Sabrina Wade</t>
  </si>
  <si>
    <t>Joshua Payne</t>
  </si>
  <si>
    <t>Richard Lee</t>
  </si>
  <si>
    <t>Justin Prince</t>
  </si>
  <si>
    <t>Heather Garrett</t>
  </si>
  <si>
    <t>Andrea Shelton</t>
  </si>
  <si>
    <t>Rhonda Wright</t>
  </si>
  <si>
    <t>Anthony Cox</t>
  </si>
  <si>
    <t>Christian Rivera</t>
  </si>
  <si>
    <t>Darrell Green</t>
  </si>
  <si>
    <t>Destiny Davis</t>
  </si>
  <si>
    <t>Evelyn Adams</t>
  </si>
  <si>
    <t>Blake Bennett</t>
  </si>
  <si>
    <t>Edward Glover</t>
  </si>
  <si>
    <t>Anthony Gonzalez</t>
  </si>
  <si>
    <t>Megan Williams</t>
  </si>
  <si>
    <t>Caroline Rojas</t>
  </si>
  <si>
    <t>Lindsey Miller</t>
  </si>
  <si>
    <t>Sandra Mitchell</t>
  </si>
  <si>
    <t>Donald Butler</t>
  </si>
  <si>
    <t>Gregory Peterson</t>
  </si>
  <si>
    <t>Kathryn Morales</t>
  </si>
  <si>
    <t>Bryan Zhang</t>
  </si>
  <si>
    <t>Ian Barnes</t>
  </si>
  <si>
    <t>Victoria Lambert</t>
  </si>
  <si>
    <t>Year(Order Date)</t>
  </si>
  <si>
    <t>Month(Order Date)</t>
  </si>
  <si>
    <t>Sales</t>
  </si>
  <si>
    <t>Total Sales</t>
  </si>
  <si>
    <t>Row Labels</t>
  </si>
  <si>
    <t>Grand Total</t>
  </si>
  <si>
    <t>Sum of Sales</t>
  </si>
  <si>
    <t>Column Labels</t>
  </si>
  <si>
    <t>2019</t>
  </si>
  <si>
    <t>2020</t>
  </si>
  <si>
    <t>2021</t>
  </si>
  <si>
    <t>2022</t>
  </si>
  <si>
    <t>2023</t>
  </si>
  <si>
    <t>Sales by Shipping</t>
  </si>
  <si>
    <t>Sales by Prod. Category</t>
  </si>
  <si>
    <t>July</t>
  </si>
  <si>
    <t>October</t>
  </si>
  <si>
    <t>April</t>
  </si>
  <si>
    <t>August</t>
  </si>
  <si>
    <t>December</t>
  </si>
  <si>
    <t>February</t>
  </si>
  <si>
    <t>January</t>
  </si>
  <si>
    <t>June</t>
  </si>
  <si>
    <t>March</t>
  </si>
  <si>
    <t>May</t>
  </si>
  <si>
    <t>November</t>
  </si>
  <si>
    <t>September</t>
  </si>
  <si>
    <t>Monthly Sales by Shipping</t>
  </si>
  <si>
    <t>Customer count by Year</t>
  </si>
  <si>
    <t>YoY Sales</t>
  </si>
  <si>
    <t>SUMIFS</t>
  </si>
  <si>
    <t>Sales by Month</t>
  </si>
  <si>
    <t>% Sales</t>
  </si>
  <si>
    <t>FIRST NAME</t>
  </si>
  <si>
    <t>LAST NAME</t>
  </si>
  <si>
    <t>MIDDLE NAME</t>
  </si>
  <si>
    <t>EMAIL ADDRESS</t>
  </si>
  <si>
    <t>PHONE NUMBER</t>
  </si>
  <si>
    <t>Timothy</t>
  </si>
  <si>
    <t>Kolawole</t>
  </si>
  <si>
    <t>Oluwasegun</t>
  </si>
  <si>
    <t>koluwasegun16@gmail.com</t>
  </si>
  <si>
    <t>Abdulafeez</t>
  </si>
  <si>
    <t>Ismail</t>
  </si>
  <si>
    <t>Opeyemi</t>
  </si>
  <si>
    <t>ismafeez@gmail.com</t>
  </si>
  <si>
    <t>Asiya</t>
  </si>
  <si>
    <t>Sulaiman</t>
  </si>
  <si>
    <t>Sabiu</t>
  </si>
  <si>
    <t>asiyanaphader@gmail.com</t>
  </si>
  <si>
    <t>Victor</t>
  </si>
  <si>
    <t>Owoseeni</t>
  </si>
  <si>
    <t>Olatunde</t>
  </si>
  <si>
    <t>vowoseeni44@gmail.com</t>
  </si>
  <si>
    <t>Remi</t>
  </si>
  <si>
    <t>Mobolaji</t>
  </si>
  <si>
    <t>moses</t>
  </si>
  <si>
    <t>mobolaji.rm@gmail.com</t>
  </si>
  <si>
    <t>Aisha</t>
  </si>
  <si>
    <t>Jamilu</t>
  </si>
  <si>
    <t>Danja</t>
  </si>
  <si>
    <t>ayshadanja97@gmail.com</t>
  </si>
  <si>
    <t>Jonathan</t>
  </si>
  <si>
    <t>Zechariah</t>
  </si>
  <si>
    <t>Ovye</t>
  </si>
  <si>
    <t>zovye2016@gmail.com</t>
  </si>
  <si>
    <t>Chioma</t>
  </si>
  <si>
    <t>Nnamani</t>
  </si>
  <si>
    <t>Jenevieve</t>
  </si>
  <si>
    <t>marygenevive4christ@gmail.com</t>
  </si>
  <si>
    <t>Boluwatife</t>
  </si>
  <si>
    <t>Falola</t>
  </si>
  <si>
    <t>Micheal</t>
  </si>
  <si>
    <t>falolabolutife@gmail.com</t>
  </si>
  <si>
    <t>Gospel</t>
  </si>
  <si>
    <t>Nwaigbo</t>
  </si>
  <si>
    <t>Sobechim</t>
  </si>
  <si>
    <t>gospelnwaigbo@gmail.com</t>
  </si>
  <si>
    <t>Total Sales:</t>
  </si>
  <si>
    <t>Average Sales:</t>
  </si>
  <si>
    <t>Maximum Sale:</t>
  </si>
  <si>
    <t>Minimum Sale:</t>
  </si>
  <si>
    <t xml:space="preserve">Function to calculate total revenue from Liz Pelletier: </t>
  </si>
  <si>
    <t>Revenue from Liz Pelletier: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</si>
</sst>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43" formatCode="_(* #,##0.00_);_(* \(#,##0.00\);_(* &quot;-&quot;??_);_(@_)"/>
  </numFmts>
  <fonts count="12" x14ac:knownFonts="1">
    <font>
      <sz val="11"/>
      <color theme="1"/>
      <name val="Calibri"/>
      <family val="2"/>
      <scheme val="minor"/>
    </font>
    <font>
      <sz val="10"/>
      <name val="MS Sans Serif"/>
    </font>
    <font>
      <sz val="10"/>
      <name val="MS Sans Serif"/>
      <family val="2"/>
    </font>
    <font>
      <sz val="11"/>
      <color theme="1"/>
      <name val="Calibri"/>
      <family val="2"/>
      <scheme val="minor"/>
    </font>
    <font>
      <b/>
      <sz val="11"/>
      <color theme="0"/>
      <name val="Calibri"/>
      <family val="2"/>
      <scheme val="minor"/>
    </font>
    <font>
      <sz val="11"/>
      <color theme="1"/>
      <name val="Candara"/>
      <family val="2"/>
    </font>
    <font>
      <b/>
      <sz val="11"/>
      <color theme="0"/>
      <name val="Candara"/>
      <family val="2"/>
    </font>
    <font>
      <b/>
      <sz val="11"/>
      <color theme="1"/>
      <name val="Candara"/>
      <family val="2"/>
    </font>
    <font>
      <b/>
      <sz val="11"/>
      <color theme="1"/>
      <name val="Calibri"/>
      <family val="2"/>
      <scheme val="minor"/>
    </font>
    <font>
      <b/>
      <sz val="14"/>
      <color theme="1"/>
      <name val="Tahoma"/>
      <family val="2"/>
    </font>
    <font>
      <sz val="10"/>
      <color theme="1"/>
      <name val="Arial"/>
      <family val="2"/>
    </font>
    <font>
      <b/>
      <sz val="11"/>
      <color theme="1"/>
      <name val="Tahoma"/>
      <family val="2"/>
    </font>
  </fonts>
  <fills count="7">
    <fill>
      <patternFill patternType="none"/>
    </fill>
    <fill>
      <patternFill patternType="gray125"/>
    </fill>
    <fill>
      <patternFill patternType="solid">
        <fgColor rgb="FFDC6900"/>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medium">
        <color theme="3" tint="0.39991454817346722"/>
      </left>
      <right style="thin">
        <color theme="3" tint="0.39994506668294322"/>
      </right>
      <top style="medium">
        <color theme="3" tint="0.39991454817346722"/>
      </top>
      <bottom style="thin">
        <color theme="3" tint="0.39994506668294322"/>
      </bottom>
      <diagonal/>
    </border>
    <border>
      <left style="thin">
        <color theme="3" tint="0.39994506668294322"/>
      </left>
      <right style="thin">
        <color theme="3" tint="0.39994506668294322"/>
      </right>
      <top style="medium">
        <color theme="3" tint="0.39991454817346722"/>
      </top>
      <bottom style="thin">
        <color theme="3" tint="0.39994506668294322"/>
      </bottom>
      <diagonal/>
    </border>
    <border>
      <left style="thin">
        <color theme="3" tint="0.39994506668294322"/>
      </left>
      <right style="medium">
        <color theme="3" tint="0.39991454817346722"/>
      </right>
      <top style="medium">
        <color theme="3" tint="0.39991454817346722"/>
      </top>
      <bottom style="thin">
        <color theme="3" tint="0.39994506668294322"/>
      </bottom>
      <diagonal/>
    </border>
    <border>
      <left style="medium">
        <color theme="3" tint="0.39991454817346722"/>
      </left>
      <right style="thin">
        <color theme="3" tint="0.39994506668294322"/>
      </right>
      <top style="thin">
        <color theme="3" tint="0.39994506668294322"/>
      </top>
      <bottom style="thin">
        <color theme="3" tint="0.39994506668294322"/>
      </bottom>
      <diagonal/>
    </border>
    <border>
      <left style="thin">
        <color theme="3" tint="0.39994506668294322"/>
      </left>
      <right style="medium">
        <color theme="3" tint="0.39991454817346722"/>
      </right>
      <top style="thin">
        <color theme="3" tint="0.39994506668294322"/>
      </top>
      <bottom style="thin">
        <color theme="3" tint="0.39994506668294322"/>
      </bottom>
      <diagonal/>
    </border>
    <border>
      <left style="medium">
        <color theme="3" tint="0.39991454817346722"/>
      </left>
      <right style="thin">
        <color theme="3" tint="0.39994506668294322"/>
      </right>
      <top style="thin">
        <color theme="3" tint="0.39994506668294322"/>
      </top>
      <bottom style="medium">
        <color theme="3" tint="0.39991454817346722"/>
      </bottom>
      <diagonal/>
    </border>
    <border>
      <left style="thin">
        <color theme="3" tint="0.39994506668294322"/>
      </left>
      <right style="thin">
        <color theme="3" tint="0.39994506668294322"/>
      </right>
      <top style="thin">
        <color theme="3" tint="0.39994506668294322"/>
      </top>
      <bottom style="medium">
        <color theme="3" tint="0.39991454817346722"/>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1" fillId="0" borderId="0"/>
    <xf numFmtId="43" fontId="2"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cellStyleXfs>
  <cellXfs count="34">
    <xf numFmtId="0" fontId="0" fillId="0" borderId="0" xfId="0"/>
    <xf numFmtId="0" fontId="5" fillId="0" borderId="0" xfId="0" applyFont="1"/>
    <xf numFmtId="0" fontId="4" fillId="2" borderId="0" xfId="0" applyFont="1" applyFill="1"/>
    <xf numFmtId="9" fontId="0" fillId="0" borderId="1" xfId="0" applyNumberFormat="1" applyBorder="1" applyAlignment="1">
      <alignment horizontal="center"/>
    </xf>
    <xf numFmtId="0" fontId="7" fillId="0" borderId="10" xfId="0" applyFont="1" applyBorder="1"/>
    <xf numFmtId="44" fontId="5" fillId="0" borderId="2" xfId="3" applyFont="1" applyBorder="1" applyAlignment="1">
      <alignment horizontal="center"/>
    </xf>
    <xf numFmtId="44" fontId="5" fillId="0" borderId="2" xfId="3" applyFont="1" applyFill="1" applyBorder="1" applyAlignment="1">
      <alignment horizontal="center"/>
    </xf>
    <xf numFmtId="44" fontId="5" fillId="0" borderId="2" xfId="3" applyFont="1" applyBorder="1"/>
    <xf numFmtId="0" fontId="6" fillId="2" borderId="3" xfId="0" applyFont="1" applyFill="1" applyBorder="1"/>
    <xf numFmtId="0" fontId="6" fillId="2" borderId="4" xfId="0" applyFont="1" applyFill="1" applyBorder="1"/>
    <xf numFmtId="0" fontId="6" fillId="2" borderId="5" xfId="0" applyFont="1" applyFill="1" applyBorder="1"/>
    <xf numFmtId="0" fontId="5" fillId="0" borderId="6" xfId="0" applyFont="1" applyBorder="1"/>
    <xf numFmtId="2" fontId="5" fillId="3" borderId="7" xfId="4" applyNumberFormat="1" applyFont="1" applyFill="1" applyBorder="1"/>
    <xf numFmtId="0" fontId="5" fillId="0" borderId="8" xfId="0" applyFont="1" applyBorder="1"/>
    <xf numFmtId="44" fontId="5" fillId="0" borderId="9" xfId="3" applyFont="1" applyBorder="1"/>
    <xf numFmtId="14" fontId="0" fillId="0" borderId="0" xfId="0" applyNumberFormat="1"/>
    <xf numFmtId="44" fontId="0" fillId="0" borderId="0" xfId="0" applyNumberFormat="1"/>
    <xf numFmtId="0" fontId="8" fillId="4" borderId="1" xfId="0" applyFont="1" applyFill="1" applyBorder="1"/>
    <xf numFmtId="44" fontId="8" fillId="4" borderId="1" xfId="0" applyNumberFormat="1" applyFont="1" applyFill="1" applyBorder="1"/>
    <xf numFmtId="0" fontId="0" fillId="0" borderId="0" xfId="0" pivotButton="1"/>
    <xf numFmtId="0" fontId="0" fillId="0" borderId="0" xfId="0" applyAlignment="1">
      <alignment horizontal="left"/>
    </xf>
    <xf numFmtId="0" fontId="0" fillId="0" borderId="0" xfId="0" applyAlignment="1">
      <alignment wrapText="1"/>
    </xf>
    <xf numFmtId="0" fontId="8" fillId="4" borderId="1" xfId="0" applyFont="1" applyFill="1" applyBorder="1" applyAlignment="1">
      <alignment wrapText="1"/>
    </xf>
    <xf numFmtId="10" fontId="0" fillId="0" borderId="0" xfId="0" applyNumberFormat="1"/>
    <xf numFmtId="0" fontId="9" fillId="5" borderId="1" xfId="0" applyFont="1" applyFill="1" applyBorder="1" applyAlignment="1">
      <alignment wrapText="1"/>
    </xf>
    <xf numFmtId="0" fontId="11" fillId="5" borderId="1" xfId="0" applyFont="1" applyFill="1" applyBorder="1"/>
    <xf numFmtId="0" fontId="0" fillId="0" borderId="1" xfId="0" applyBorder="1"/>
    <xf numFmtId="0" fontId="10" fillId="0" borderId="1" xfId="0" applyFont="1" applyBorder="1" applyAlignment="1">
      <alignment horizontal="right" wrapText="1"/>
    </xf>
    <xf numFmtId="0" fontId="10" fillId="0" borderId="1" xfId="0" applyFont="1" applyBorder="1" applyAlignment="1">
      <alignment wrapText="1"/>
    </xf>
    <xf numFmtId="1" fontId="0" fillId="0" borderId="0" xfId="0" applyNumberFormat="1"/>
    <xf numFmtId="1" fontId="11" fillId="5" borderId="1" xfId="0" applyNumberFormat="1" applyFont="1" applyFill="1" applyBorder="1"/>
    <xf numFmtId="0" fontId="0" fillId="6" borderId="0" xfId="0" applyFill="1"/>
    <xf numFmtId="1" fontId="10" fillId="0" borderId="11" xfId="0" applyNumberFormat="1" applyFont="1" applyBorder="1" applyAlignment="1">
      <alignment horizontal="right"/>
    </xf>
    <xf numFmtId="1" fontId="10" fillId="0" borderId="12" xfId="0" applyNumberFormat="1" applyFont="1" applyBorder="1" applyAlignment="1">
      <alignment horizontal="right"/>
    </xf>
  </cellXfs>
  <cellStyles count="5">
    <cellStyle name="Comma 2" xfId="2" xr:uid="{00000000-0005-0000-0000-000000000000}"/>
    <cellStyle name="Currency" xfId="3" builtinId="4"/>
    <cellStyle name="Normal" xfId="0" builtinId="0"/>
    <cellStyle name="Normal 2" xfId="1" xr:uid="{00000000-0005-0000-0000-000002000000}"/>
    <cellStyle name="Percent" xfId="4" builtinId="5"/>
  </cellStyles>
  <dxfs count="15">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0" formatCode="General"/>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19" formatCode="m/d/yyyy"/>
    </dxf>
  </dxfs>
  <tableStyles count="1" defaultTableStyle="TableStyleMedium2" defaultPivotStyle="PivotStyleLight16">
    <tableStyle name="Invisible" pivot="0" table="0" count="0" xr9:uid="{9CA7F19A-BD03-4B67-8E06-24E9886FF519}"/>
  </tableStyles>
  <colors>
    <mruColors>
      <color rgb="FF050D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Analysis!YoY Sales</c:name>
    <c:fmtId val="0"/>
  </c:pivotSource>
  <c:chart>
    <c:title>
      <c:tx>
        <c:rich>
          <a:bodyPr rot="0" spcFirstLastPara="1" vertOverflow="ellipsis" vert="horz" wrap="square" anchor="ctr" anchorCtr="1"/>
          <a:lstStyle/>
          <a:p>
            <a:pPr>
              <a:defRPr sz="1400" b="0" i="0" u="none" strike="noStrike" kern="1200" spc="0" baseline="0">
                <a:solidFill>
                  <a:srgbClr val="050D51"/>
                </a:solidFill>
                <a:latin typeface="+mn-lt"/>
                <a:ea typeface="+mn-ea"/>
                <a:cs typeface="+mn-cs"/>
              </a:defRPr>
            </a:pPr>
            <a:r>
              <a:rPr lang="en-US" b="1">
                <a:solidFill>
                  <a:srgbClr val="050D51"/>
                </a:solidFill>
              </a:rPr>
              <a:t>Total YoY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50D51"/>
              </a:solidFill>
              <a:latin typeface="+mn-lt"/>
              <a:ea typeface="+mn-ea"/>
              <a:cs typeface="+mn-cs"/>
            </a:defRPr>
          </a:pPr>
          <a:endParaRPr lang="en-US"/>
        </a:p>
      </c:txPr>
    </c:title>
    <c:autoTitleDeleted val="0"/>
    <c:pivotFmts>
      <c:pivotFmt>
        <c:idx val="0"/>
        <c:spPr>
          <a:ln w="28575" cap="rnd">
            <a:solidFill>
              <a:srgbClr val="050D5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050D51"/>
            </a:solidFill>
            <a:round/>
          </a:ln>
          <a:effectLst/>
        </c:spPr>
        <c:marker>
          <c:symbol val="none"/>
        </c:marker>
        <c:dLbl>
          <c:idx val="0"/>
          <c:layout>
            <c:manualLayout>
              <c:x val="-0.10501797570691947"/>
              <c:y val="-6.85827556519961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350386049898811"/>
                  <c:h val="0.20663807666443254"/>
                </c:manualLayout>
              </c15:layout>
            </c:ext>
          </c:extLst>
        </c:dLbl>
      </c:pivotFmt>
      <c:pivotFmt>
        <c:idx val="2"/>
        <c:spPr>
          <a:ln w="28575" cap="rnd">
            <a:solidFill>
              <a:srgbClr val="050D51"/>
            </a:solidFill>
            <a:round/>
          </a:ln>
          <a:effectLst/>
        </c:spPr>
        <c:marker>
          <c:symbol val="none"/>
        </c:marker>
        <c:dLbl>
          <c:idx val="0"/>
          <c:layout>
            <c:manualLayout>
              <c:x val="-0.14023310023310023"/>
              <c:y val="-0.20036078448534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50D51"/>
            </a:solidFill>
            <a:round/>
          </a:ln>
          <a:effectLst/>
        </c:spPr>
        <c:marker>
          <c:symbol val="none"/>
        </c:marker>
        <c:dLbl>
          <c:idx val="0"/>
          <c:layout>
            <c:manualLayout>
              <c:x val="-0.11139083139083145"/>
              <c:y val="-0.221736865492272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557727486861345E-2"/>
          <c:y val="0.25568528012765057"/>
          <c:w val="0.92564424577211424"/>
          <c:h val="0.51984356748277294"/>
        </c:manualLayout>
      </c:layout>
      <c:lineChart>
        <c:grouping val="standard"/>
        <c:varyColors val="0"/>
        <c:ser>
          <c:idx val="0"/>
          <c:order val="0"/>
          <c:tx>
            <c:strRef>
              <c:f>'Pivot Analysis'!$K$2</c:f>
              <c:strCache>
                <c:ptCount val="1"/>
                <c:pt idx="0">
                  <c:v>Total</c:v>
                </c:pt>
              </c:strCache>
            </c:strRef>
          </c:tx>
          <c:spPr>
            <a:ln w="28575" cap="rnd">
              <a:solidFill>
                <a:srgbClr val="050D51"/>
              </a:solidFill>
              <a:round/>
            </a:ln>
            <a:effectLst/>
          </c:spPr>
          <c:marker>
            <c:symbol val="none"/>
          </c:marker>
          <c:dPt>
            <c:idx val="0"/>
            <c:marker>
              <c:symbol val="none"/>
            </c:marker>
            <c:bubble3D val="0"/>
            <c:extLst>
              <c:ext xmlns:c16="http://schemas.microsoft.com/office/drawing/2014/chart" uri="{C3380CC4-5D6E-409C-BE32-E72D297353CC}">
                <c16:uniqueId val="{00000003-4F05-4D2A-9550-654BCFD3BB74}"/>
              </c:ext>
            </c:extLst>
          </c:dPt>
          <c:dPt>
            <c:idx val="1"/>
            <c:marker>
              <c:symbol val="none"/>
            </c:marker>
            <c:bubble3D val="0"/>
            <c:extLst>
              <c:ext xmlns:c16="http://schemas.microsoft.com/office/drawing/2014/chart" uri="{C3380CC4-5D6E-409C-BE32-E72D297353CC}">
                <c16:uniqueId val="{00000002-4F05-4D2A-9550-654BCFD3BB74}"/>
              </c:ext>
            </c:extLst>
          </c:dPt>
          <c:dPt>
            <c:idx val="2"/>
            <c:marker>
              <c:symbol val="none"/>
            </c:marker>
            <c:bubble3D val="0"/>
            <c:extLst>
              <c:ext xmlns:c16="http://schemas.microsoft.com/office/drawing/2014/chart" uri="{C3380CC4-5D6E-409C-BE32-E72D297353CC}">
                <c16:uniqueId val="{00000004-4F05-4D2A-9550-654BCFD3BB74}"/>
              </c:ext>
            </c:extLst>
          </c:dPt>
          <c:dLbls>
            <c:dLbl>
              <c:idx val="0"/>
              <c:layout>
                <c:manualLayout>
                  <c:x val="-0.14023310023310023"/>
                  <c:y val="-0.20036078448534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05-4D2A-9550-654BCFD3BB74}"/>
                </c:ext>
              </c:extLst>
            </c:dLbl>
            <c:dLbl>
              <c:idx val="1"/>
              <c:layout>
                <c:manualLayout>
                  <c:x val="-0.10501797570691947"/>
                  <c:y val="-6.8582755651996188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23350386049898811"/>
                      <c:h val="0.20663807666443254"/>
                    </c:manualLayout>
                  </c15:layout>
                </c:ext>
                <c:ext xmlns:c16="http://schemas.microsoft.com/office/drawing/2014/chart" uri="{C3380CC4-5D6E-409C-BE32-E72D297353CC}">
                  <c16:uniqueId val="{00000002-4F05-4D2A-9550-654BCFD3BB74}"/>
                </c:ext>
              </c:extLst>
            </c:dLbl>
            <c:dLbl>
              <c:idx val="2"/>
              <c:layout>
                <c:manualLayout>
                  <c:x val="-0.11139083139083145"/>
                  <c:y val="-0.221736865492272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F05-4D2A-9550-654BCFD3BB7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Analysis'!$J$3:$J$8</c:f>
              <c:strCache>
                <c:ptCount val="5"/>
                <c:pt idx="0">
                  <c:v>2019</c:v>
                </c:pt>
                <c:pt idx="1">
                  <c:v>2020</c:v>
                </c:pt>
                <c:pt idx="2">
                  <c:v>2021</c:v>
                </c:pt>
                <c:pt idx="3">
                  <c:v>2022</c:v>
                </c:pt>
                <c:pt idx="4">
                  <c:v>2023</c:v>
                </c:pt>
              </c:strCache>
            </c:strRef>
          </c:cat>
          <c:val>
            <c:numRef>
              <c:f>'Pivot Analysis'!$K$3:$K$8</c:f>
              <c:numCache>
                <c:formatCode>_("$"* #,##0.00_);_("$"* \(#,##0.00\);_("$"* "-"??_);_(@_)</c:formatCode>
                <c:ptCount val="5"/>
                <c:pt idx="0">
                  <c:v>14005.790000000003</c:v>
                </c:pt>
                <c:pt idx="1">
                  <c:v>37415058.220000051</c:v>
                </c:pt>
                <c:pt idx="2">
                  <c:v>1380822.0500000005</c:v>
                </c:pt>
                <c:pt idx="3">
                  <c:v>424662.84000000014</c:v>
                </c:pt>
                <c:pt idx="4">
                  <c:v>407671.90999999957</c:v>
                </c:pt>
              </c:numCache>
            </c:numRef>
          </c:val>
          <c:smooth val="0"/>
          <c:extLst>
            <c:ext xmlns:c16="http://schemas.microsoft.com/office/drawing/2014/chart" uri="{C3380CC4-5D6E-409C-BE32-E72D297353CC}">
              <c16:uniqueId val="{00000000-4F05-4D2A-9550-654BCFD3BB74}"/>
            </c:ext>
          </c:extLst>
        </c:ser>
        <c:dLbls>
          <c:dLblPos val="t"/>
          <c:showLegendKey val="0"/>
          <c:showVal val="1"/>
          <c:showCatName val="0"/>
          <c:showSerName val="0"/>
          <c:showPercent val="0"/>
          <c:showBubbleSize val="0"/>
        </c:dLbls>
        <c:smooth val="0"/>
        <c:axId val="680787472"/>
        <c:axId val="680786392"/>
      </c:lineChart>
      <c:catAx>
        <c:axId val="68078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80786392"/>
        <c:crosses val="autoZero"/>
        <c:auto val="1"/>
        <c:lblAlgn val="ctr"/>
        <c:lblOffset val="100"/>
        <c:noMultiLvlLbl val="0"/>
      </c:catAx>
      <c:valAx>
        <c:axId val="680786392"/>
        <c:scaling>
          <c:orientation val="minMax"/>
        </c:scaling>
        <c:delete val="1"/>
        <c:axPos val="l"/>
        <c:numFmt formatCode="_(&quot;$&quot;* #,##0.00_);_(&quot;$&quot;* \(#,##0.00\);_(&quot;$&quot;* &quot;-&quot;??_);_(@_)" sourceLinked="1"/>
        <c:majorTickMark val="none"/>
        <c:minorTickMark val="none"/>
        <c:tickLblPos val="nextTo"/>
        <c:crossAx val="68078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Analysis!Sales by Ship mode</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rgbClr val="050D51"/>
                </a:solidFill>
              </a:rPr>
              <a:t>Sales by Shipping</a:t>
            </a:r>
            <a:r>
              <a:rPr lang="en-US" sz="1200" b="1" baseline="0">
                <a:solidFill>
                  <a:srgbClr val="050D51"/>
                </a:solidFill>
              </a:rPr>
              <a:t> </a:t>
            </a:r>
            <a:r>
              <a:rPr lang="en-US" sz="1200" b="1" baseline="0">
                <a:solidFill>
                  <a:sysClr val="windowText" lastClr="000000">
                    <a:lumMod val="65000"/>
                    <a:lumOff val="35000"/>
                  </a:sysClr>
                </a:solidFill>
              </a:rPr>
              <a:t>M</a:t>
            </a:r>
            <a:r>
              <a:rPr lang="en-US" sz="1200" b="1" baseline="0"/>
              <a:t>ode</a:t>
            </a:r>
            <a:endParaRPr lang="en-US" sz="1200" b="1"/>
          </a:p>
        </c:rich>
      </c:tx>
      <c:layout>
        <c:manualLayout>
          <c:xMode val="edge"/>
          <c:yMode val="edge"/>
          <c:x val="0.17687450997278659"/>
          <c:y val="3.441989627545626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0062383485774846E-2"/>
              <c:y val="0.143916895445540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267144212360531"/>
              <c:y val="0.178612041310928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941061829112911"/>
              <c:y val="-0.194201586870606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8103912496411131"/>
              <c:y val="7.11183515853622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11068801773993167"/>
          <c:y val="0.19924346036635651"/>
          <c:w val="0.47641878098571011"/>
          <c:h val="0.77723885236375811"/>
        </c:manualLayout>
      </c:layout>
      <c:pieChart>
        <c:varyColors val="1"/>
        <c:ser>
          <c:idx val="0"/>
          <c:order val="0"/>
          <c:tx>
            <c:strRef>
              <c:f>'Pivot Analysis'!$D$3</c:f>
              <c:strCache>
                <c:ptCount val="1"/>
                <c:pt idx="0">
                  <c:v>%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42DC-4A0A-BCEF-E1EED49865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42DC-4A0A-BCEF-E1EED49865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DC-4A0A-BCEF-E1EED49865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42DC-4A0A-BCEF-E1EED49865BC}"/>
              </c:ext>
            </c:extLst>
          </c:dPt>
          <c:dLbls>
            <c:dLbl>
              <c:idx val="0"/>
              <c:layout>
                <c:manualLayout>
                  <c:x val="-5.0062383485774846E-2"/>
                  <c:y val="0.1439168954455405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DC-4A0A-BCEF-E1EED49865BC}"/>
                </c:ext>
              </c:extLst>
            </c:dLbl>
            <c:dLbl>
              <c:idx val="1"/>
              <c:layout>
                <c:manualLayout>
                  <c:x val="-0.18103912496411131"/>
                  <c:y val="7.111835158536222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2DC-4A0A-BCEF-E1EED49865BC}"/>
                </c:ext>
              </c:extLst>
            </c:dLbl>
            <c:dLbl>
              <c:idx val="2"/>
              <c:layout>
                <c:manualLayout>
                  <c:x val="0.13941061829112911"/>
                  <c:y val="-0.1942015868706066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2DC-4A0A-BCEF-E1EED49865BC}"/>
                </c:ext>
              </c:extLst>
            </c:dLbl>
            <c:dLbl>
              <c:idx val="3"/>
              <c:layout>
                <c:manualLayout>
                  <c:x val="0.10267144212360531"/>
                  <c:y val="0.1786120413109280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2DC-4A0A-BCEF-E1EED49865B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'Pivot Analysis'!$C$4:$C$8</c:f>
              <c:strCache>
                <c:ptCount val="4"/>
                <c:pt idx="0">
                  <c:v>Delivery Truck</c:v>
                </c:pt>
                <c:pt idx="1">
                  <c:v>Express Air</c:v>
                </c:pt>
                <c:pt idx="2">
                  <c:v>Regular Air</c:v>
                </c:pt>
                <c:pt idx="3">
                  <c:v>Standard Class</c:v>
                </c:pt>
              </c:strCache>
            </c:strRef>
          </c:cat>
          <c:val>
            <c:numRef>
              <c:f>'Pivot Analysis'!$D$4:$D$8</c:f>
              <c:numCache>
                <c:formatCode>0.00%</c:formatCode>
                <c:ptCount val="4"/>
                <c:pt idx="0">
                  <c:v>6.5769805680119586E-2</c:v>
                </c:pt>
                <c:pt idx="1">
                  <c:v>0.22471350274040858</c:v>
                </c:pt>
                <c:pt idx="2">
                  <c:v>0.547085201793722</c:v>
                </c:pt>
                <c:pt idx="3">
                  <c:v>0.16243148978574987</c:v>
                </c:pt>
              </c:numCache>
            </c:numRef>
          </c:val>
          <c:extLst>
            <c:ext xmlns:c16="http://schemas.microsoft.com/office/drawing/2014/chart" uri="{C3380CC4-5D6E-409C-BE32-E72D297353CC}">
              <c16:uniqueId val="{00000000-42DC-4A0A-BCEF-E1EED49865BC}"/>
            </c:ext>
          </c:extLst>
        </c:ser>
        <c:ser>
          <c:idx val="1"/>
          <c:order val="1"/>
          <c:tx>
            <c:strRef>
              <c:f>'Pivot Analysis'!$E$3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3C53-48E5-938E-D9FC5D4C82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3C53-48E5-938E-D9FC5D4C82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3C53-48E5-938E-D9FC5D4C82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3C53-48E5-938E-D9FC5D4C82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Analysis'!$C$4:$C$8</c:f>
              <c:strCache>
                <c:ptCount val="4"/>
                <c:pt idx="0">
                  <c:v>Delivery Truck</c:v>
                </c:pt>
                <c:pt idx="1">
                  <c:v>Express Air</c:v>
                </c:pt>
                <c:pt idx="2">
                  <c:v>Regular Air</c:v>
                </c:pt>
                <c:pt idx="3">
                  <c:v>Standard Class</c:v>
                </c:pt>
              </c:strCache>
            </c:strRef>
          </c:cat>
          <c:val>
            <c:numRef>
              <c:f>'Pivot Analysis'!$E$4:$E$8</c:f>
              <c:numCache>
                <c:formatCode>_("$"* #,##0.00_);_("$"* \(#,##0.00\);_("$"* "-"??_);_(@_)</c:formatCode>
                <c:ptCount val="4"/>
                <c:pt idx="0">
                  <c:v>879680.63000000059</c:v>
                </c:pt>
                <c:pt idx="1">
                  <c:v>12357447.300000004</c:v>
                </c:pt>
                <c:pt idx="2">
                  <c:v>14131950.930000003</c:v>
                </c:pt>
                <c:pt idx="3">
                  <c:v>12273141.949999994</c:v>
                </c:pt>
              </c:numCache>
            </c:numRef>
          </c:val>
          <c:extLst>
            <c:ext xmlns:c16="http://schemas.microsoft.com/office/drawing/2014/chart" uri="{C3380CC4-5D6E-409C-BE32-E72D297353CC}">
              <c16:uniqueId val="{00000001-42DC-4A0A-BCEF-E1EED49865BC}"/>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9594942542401872"/>
          <c:y val="0.25770682098716735"/>
          <c:w val="0.2745752891999611"/>
          <c:h val="0.678977027914354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Analysis!Monthly Sale by Shipping</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by Shipping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80272931783111"/>
          <c:y val="0.23880952237233211"/>
          <c:w val="0.63614399672217148"/>
          <c:h val="0.52281254392417142"/>
        </c:manualLayout>
      </c:layout>
      <c:barChart>
        <c:barDir val="col"/>
        <c:grouping val="clustered"/>
        <c:varyColors val="0"/>
        <c:ser>
          <c:idx val="0"/>
          <c:order val="0"/>
          <c:tx>
            <c:strRef>
              <c:f>'Pivot Analysis'!$D$19:$D$20</c:f>
              <c:strCache>
                <c:ptCount val="1"/>
                <c:pt idx="0">
                  <c:v>Delivery Truck</c:v>
                </c:pt>
              </c:strCache>
            </c:strRef>
          </c:tx>
          <c:spPr>
            <a:solidFill>
              <a:schemeClr val="accent1"/>
            </a:solidFill>
            <a:ln>
              <a:noFill/>
            </a:ln>
            <a:effectLst/>
          </c:spPr>
          <c:invertIfNegative val="0"/>
          <c:cat>
            <c:strRef>
              <c:f>'Pivot Analysis'!$C$21:$C$33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Analysis'!$D$21:$D$33</c:f>
              <c:numCache>
                <c:formatCode>_("$"* #,##0.00_);_("$"* \(#,##0.00\);_("$"* "-"??_);_(@_)</c:formatCode>
                <c:ptCount val="12"/>
                <c:pt idx="0">
                  <c:v>59159.76</c:v>
                </c:pt>
                <c:pt idx="1">
                  <c:v>100795.6</c:v>
                </c:pt>
                <c:pt idx="2">
                  <c:v>41774.49</c:v>
                </c:pt>
                <c:pt idx="3">
                  <c:v>45678.899999999994</c:v>
                </c:pt>
                <c:pt idx="4">
                  <c:v>60356.81</c:v>
                </c:pt>
                <c:pt idx="5">
                  <c:v>71561.849999999991</c:v>
                </c:pt>
                <c:pt idx="6">
                  <c:v>38210.009999999995</c:v>
                </c:pt>
                <c:pt idx="7">
                  <c:v>137027</c:v>
                </c:pt>
                <c:pt idx="8">
                  <c:v>57192.05</c:v>
                </c:pt>
                <c:pt idx="9">
                  <c:v>43569.61</c:v>
                </c:pt>
                <c:pt idx="10">
                  <c:v>46394.1</c:v>
                </c:pt>
                <c:pt idx="11">
                  <c:v>177960.44999999998</c:v>
                </c:pt>
              </c:numCache>
            </c:numRef>
          </c:val>
          <c:extLst>
            <c:ext xmlns:c16="http://schemas.microsoft.com/office/drawing/2014/chart" uri="{C3380CC4-5D6E-409C-BE32-E72D297353CC}">
              <c16:uniqueId val="{00000000-335E-4D19-BDAC-CBD168BCE4B8}"/>
            </c:ext>
          </c:extLst>
        </c:ser>
        <c:ser>
          <c:idx val="1"/>
          <c:order val="1"/>
          <c:tx>
            <c:strRef>
              <c:f>'Pivot Analysis'!$E$19:$E$20</c:f>
              <c:strCache>
                <c:ptCount val="1"/>
                <c:pt idx="0">
                  <c:v>Express Air</c:v>
                </c:pt>
              </c:strCache>
            </c:strRef>
          </c:tx>
          <c:spPr>
            <a:solidFill>
              <a:schemeClr val="accent2"/>
            </a:solidFill>
            <a:ln>
              <a:noFill/>
            </a:ln>
            <a:effectLst/>
          </c:spPr>
          <c:invertIfNegative val="0"/>
          <c:cat>
            <c:strRef>
              <c:f>'Pivot Analysis'!$C$21:$C$33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Analysis'!$E$21:$E$33</c:f>
              <c:numCache>
                <c:formatCode>_("$"* #,##0.00_);_("$"* \(#,##0.00\);_("$"* "-"??_);_(@_)</c:formatCode>
                <c:ptCount val="12"/>
                <c:pt idx="0">
                  <c:v>1481145.2199999997</c:v>
                </c:pt>
                <c:pt idx="1">
                  <c:v>518049.63</c:v>
                </c:pt>
                <c:pt idx="2">
                  <c:v>1023408.76</c:v>
                </c:pt>
                <c:pt idx="3">
                  <c:v>1399362.24</c:v>
                </c:pt>
                <c:pt idx="4">
                  <c:v>799521.68</c:v>
                </c:pt>
                <c:pt idx="5">
                  <c:v>796858.24000000022</c:v>
                </c:pt>
                <c:pt idx="6">
                  <c:v>872846.79000000027</c:v>
                </c:pt>
                <c:pt idx="7">
                  <c:v>901186.3899999999</c:v>
                </c:pt>
                <c:pt idx="8">
                  <c:v>867742.17999999993</c:v>
                </c:pt>
                <c:pt idx="9">
                  <c:v>1188777.6500000001</c:v>
                </c:pt>
                <c:pt idx="10">
                  <c:v>949240.83000000007</c:v>
                </c:pt>
                <c:pt idx="11">
                  <c:v>1559307.6900000002</c:v>
                </c:pt>
              </c:numCache>
            </c:numRef>
          </c:val>
          <c:extLst>
            <c:ext xmlns:c16="http://schemas.microsoft.com/office/drawing/2014/chart" uri="{C3380CC4-5D6E-409C-BE32-E72D297353CC}">
              <c16:uniqueId val="{00000007-335E-4D19-BDAC-CBD168BCE4B8}"/>
            </c:ext>
          </c:extLst>
        </c:ser>
        <c:ser>
          <c:idx val="2"/>
          <c:order val="2"/>
          <c:tx>
            <c:strRef>
              <c:f>'Pivot Analysis'!$F$19:$F$20</c:f>
              <c:strCache>
                <c:ptCount val="1"/>
                <c:pt idx="0">
                  <c:v>Regular Air</c:v>
                </c:pt>
              </c:strCache>
            </c:strRef>
          </c:tx>
          <c:spPr>
            <a:solidFill>
              <a:schemeClr val="accent3"/>
            </a:solidFill>
            <a:ln>
              <a:noFill/>
            </a:ln>
            <a:effectLst/>
          </c:spPr>
          <c:invertIfNegative val="0"/>
          <c:cat>
            <c:strRef>
              <c:f>'Pivot Analysis'!$C$21:$C$33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Analysis'!$F$21:$F$33</c:f>
              <c:numCache>
                <c:formatCode>_("$"* #,##0.00_);_("$"* \(#,##0.00\);_("$"* "-"??_);_(@_)</c:formatCode>
                <c:ptCount val="12"/>
                <c:pt idx="0">
                  <c:v>1481742.43</c:v>
                </c:pt>
                <c:pt idx="1">
                  <c:v>1225203.17</c:v>
                </c:pt>
                <c:pt idx="2">
                  <c:v>952606.25999999978</c:v>
                </c:pt>
                <c:pt idx="3">
                  <c:v>1015378.2899999999</c:v>
                </c:pt>
                <c:pt idx="4">
                  <c:v>1163822.7400000002</c:v>
                </c:pt>
                <c:pt idx="5">
                  <c:v>1169542.6600000001</c:v>
                </c:pt>
                <c:pt idx="6">
                  <c:v>1154075.49</c:v>
                </c:pt>
                <c:pt idx="7">
                  <c:v>1041562.8099999997</c:v>
                </c:pt>
                <c:pt idx="8">
                  <c:v>1403936.9</c:v>
                </c:pt>
                <c:pt idx="9">
                  <c:v>1193223.7800000003</c:v>
                </c:pt>
                <c:pt idx="10">
                  <c:v>993620.5199999999</c:v>
                </c:pt>
                <c:pt idx="11">
                  <c:v>1337235.8800000001</c:v>
                </c:pt>
              </c:numCache>
            </c:numRef>
          </c:val>
          <c:extLst>
            <c:ext xmlns:c16="http://schemas.microsoft.com/office/drawing/2014/chart" uri="{C3380CC4-5D6E-409C-BE32-E72D297353CC}">
              <c16:uniqueId val="{0000000C-90AB-4BAE-921A-9920B472719A}"/>
            </c:ext>
          </c:extLst>
        </c:ser>
        <c:ser>
          <c:idx val="3"/>
          <c:order val="3"/>
          <c:tx>
            <c:strRef>
              <c:f>'Pivot Analysis'!$G$19:$G$20</c:f>
              <c:strCache>
                <c:ptCount val="1"/>
                <c:pt idx="0">
                  <c:v>Standard Class</c:v>
                </c:pt>
              </c:strCache>
            </c:strRef>
          </c:tx>
          <c:spPr>
            <a:solidFill>
              <a:schemeClr val="accent4"/>
            </a:solidFill>
            <a:ln>
              <a:noFill/>
            </a:ln>
            <a:effectLst/>
          </c:spPr>
          <c:invertIfNegative val="0"/>
          <c:cat>
            <c:strRef>
              <c:f>'Pivot Analysis'!$C$21:$C$33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Analysis'!$G$21:$G$33</c:f>
              <c:numCache>
                <c:formatCode>_("$"* #,##0.00_);_("$"* \(#,##0.00\);_("$"* "-"??_);_(@_)</c:formatCode>
                <c:ptCount val="12"/>
                <c:pt idx="0">
                  <c:v>1375630.0300000003</c:v>
                </c:pt>
                <c:pt idx="1">
                  <c:v>1292696.02</c:v>
                </c:pt>
                <c:pt idx="2">
                  <c:v>1043592.0500000002</c:v>
                </c:pt>
                <c:pt idx="3">
                  <c:v>1051761.54</c:v>
                </c:pt>
                <c:pt idx="4">
                  <c:v>1169530.7</c:v>
                </c:pt>
                <c:pt idx="5">
                  <c:v>1071736.7399999998</c:v>
                </c:pt>
                <c:pt idx="6">
                  <c:v>867105.65</c:v>
                </c:pt>
                <c:pt idx="7">
                  <c:v>1035416.5900000001</c:v>
                </c:pt>
                <c:pt idx="8">
                  <c:v>677183.41999999993</c:v>
                </c:pt>
                <c:pt idx="9">
                  <c:v>609915.93000000005</c:v>
                </c:pt>
                <c:pt idx="10">
                  <c:v>1048695.7100000002</c:v>
                </c:pt>
                <c:pt idx="11">
                  <c:v>1029877.5699999997</c:v>
                </c:pt>
              </c:numCache>
            </c:numRef>
          </c:val>
          <c:extLst>
            <c:ext xmlns:c16="http://schemas.microsoft.com/office/drawing/2014/chart" uri="{C3380CC4-5D6E-409C-BE32-E72D297353CC}">
              <c16:uniqueId val="{0000000E-90AB-4BAE-921A-9920B472719A}"/>
            </c:ext>
          </c:extLst>
        </c:ser>
        <c:dLbls>
          <c:showLegendKey val="0"/>
          <c:showVal val="0"/>
          <c:showCatName val="0"/>
          <c:showSerName val="0"/>
          <c:showPercent val="0"/>
          <c:showBubbleSize val="0"/>
        </c:dLbls>
        <c:gapWidth val="219"/>
        <c:overlap val="-27"/>
        <c:axId val="679644528"/>
        <c:axId val="679645608"/>
      </c:barChart>
      <c:catAx>
        <c:axId val="67964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9645608"/>
        <c:crosses val="autoZero"/>
        <c:auto val="1"/>
        <c:lblAlgn val="ctr"/>
        <c:lblOffset val="100"/>
        <c:noMultiLvlLbl val="0"/>
      </c:catAx>
      <c:valAx>
        <c:axId val="67964560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644528"/>
        <c:crosses val="autoZero"/>
        <c:crossBetween val="between"/>
      </c:valAx>
      <c:spPr>
        <a:noFill/>
        <a:ln>
          <a:noFill/>
        </a:ln>
        <a:effectLst/>
      </c:spPr>
    </c:plotArea>
    <c:legend>
      <c:legendPos val="r"/>
      <c:layout>
        <c:manualLayout>
          <c:xMode val="edge"/>
          <c:yMode val="edge"/>
          <c:x val="0.85785807508709222"/>
          <c:y val="0.22193456517991728"/>
          <c:w val="0.14214192491290781"/>
          <c:h val="0.532754086696276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Analysis!PivotTable1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42839384755709"/>
          <c:y val="0.1460954514805779"/>
          <c:w val="0.53633568725660041"/>
          <c:h val="0.81057615902666513"/>
        </c:manualLayout>
      </c:layout>
      <c:barChart>
        <c:barDir val="bar"/>
        <c:grouping val="clustered"/>
        <c:varyColors val="0"/>
        <c:ser>
          <c:idx val="0"/>
          <c:order val="0"/>
          <c:tx>
            <c:strRef>
              <c:f>'Pivot Analysis'!$D$51:$D$52</c:f>
              <c:strCache>
                <c:ptCount val="1"/>
                <c:pt idx="0">
                  <c:v>Furniture</c:v>
                </c:pt>
              </c:strCache>
            </c:strRef>
          </c:tx>
          <c:spPr>
            <a:solidFill>
              <a:schemeClr val="accent1"/>
            </a:solidFill>
            <a:ln>
              <a:noFill/>
            </a:ln>
            <a:effectLst/>
          </c:spPr>
          <c:invertIfNegative val="0"/>
          <c:cat>
            <c:strRef>
              <c:f>'Pivot Analysis'!$C$53:$C$65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Analysis'!$D$53:$D$65</c:f>
              <c:numCache>
                <c:formatCode>_("$"* #,##0.00_);_("$"* \(#,##0.00\);_("$"* "-"??_);_(@_)</c:formatCode>
                <c:ptCount val="12"/>
                <c:pt idx="0">
                  <c:v>967092.94</c:v>
                </c:pt>
                <c:pt idx="1">
                  <c:v>1266556.48</c:v>
                </c:pt>
                <c:pt idx="2">
                  <c:v>1225483.7699999998</c:v>
                </c:pt>
                <c:pt idx="3">
                  <c:v>1626772.77</c:v>
                </c:pt>
                <c:pt idx="4">
                  <c:v>1067291.9700000002</c:v>
                </c:pt>
                <c:pt idx="5">
                  <c:v>783467.84999999974</c:v>
                </c:pt>
                <c:pt idx="6">
                  <c:v>866030.72</c:v>
                </c:pt>
                <c:pt idx="7">
                  <c:v>1422310.9399999997</c:v>
                </c:pt>
                <c:pt idx="8">
                  <c:v>1231871.81</c:v>
                </c:pt>
                <c:pt idx="9">
                  <c:v>1022718.29</c:v>
                </c:pt>
                <c:pt idx="10">
                  <c:v>911025.82000000007</c:v>
                </c:pt>
                <c:pt idx="11">
                  <c:v>1126126.48</c:v>
                </c:pt>
              </c:numCache>
            </c:numRef>
          </c:val>
          <c:extLst>
            <c:ext xmlns:c16="http://schemas.microsoft.com/office/drawing/2014/chart" uri="{C3380CC4-5D6E-409C-BE32-E72D297353CC}">
              <c16:uniqueId val="{00000000-E2CC-4EFD-92F3-CDCEEBB0B4E9}"/>
            </c:ext>
          </c:extLst>
        </c:ser>
        <c:ser>
          <c:idx val="1"/>
          <c:order val="1"/>
          <c:tx>
            <c:strRef>
              <c:f>'Pivot Analysis'!$E$51:$E$52</c:f>
              <c:strCache>
                <c:ptCount val="1"/>
                <c:pt idx="0">
                  <c:v>Office Supplies</c:v>
                </c:pt>
              </c:strCache>
            </c:strRef>
          </c:tx>
          <c:spPr>
            <a:solidFill>
              <a:schemeClr val="accent2"/>
            </a:solidFill>
            <a:ln>
              <a:noFill/>
            </a:ln>
            <a:effectLst/>
          </c:spPr>
          <c:invertIfNegative val="0"/>
          <c:cat>
            <c:strRef>
              <c:f>'Pivot Analysis'!$C$53:$C$65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Analysis'!$E$53:$E$65</c:f>
              <c:numCache>
                <c:formatCode>_("$"* #,##0.00_);_("$"* \(#,##0.00\);_("$"* "-"??_);_(@_)</c:formatCode>
                <c:ptCount val="12"/>
                <c:pt idx="0">
                  <c:v>1588317.5499999998</c:v>
                </c:pt>
                <c:pt idx="1">
                  <c:v>1097472.6300000001</c:v>
                </c:pt>
                <c:pt idx="2">
                  <c:v>858220.30999999994</c:v>
                </c:pt>
                <c:pt idx="3">
                  <c:v>875081.92</c:v>
                </c:pt>
                <c:pt idx="4">
                  <c:v>1098950.8799999999</c:v>
                </c:pt>
                <c:pt idx="5">
                  <c:v>1156780.42</c:v>
                </c:pt>
                <c:pt idx="6">
                  <c:v>1037874.2400000001</c:v>
                </c:pt>
                <c:pt idx="7">
                  <c:v>832884.88999999966</c:v>
                </c:pt>
                <c:pt idx="8">
                  <c:v>811191.78999999992</c:v>
                </c:pt>
                <c:pt idx="9">
                  <c:v>1330939.9200000002</c:v>
                </c:pt>
                <c:pt idx="10">
                  <c:v>1226858.7</c:v>
                </c:pt>
                <c:pt idx="11">
                  <c:v>1084583.82</c:v>
                </c:pt>
              </c:numCache>
            </c:numRef>
          </c:val>
          <c:extLst>
            <c:ext xmlns:c16="http://schemas.microsoft.com/office/drawing/2014/chart" uri="{C3380CC4-5D6E-409C-BE32-E72D297353CC}">
              <c16:uniqueId val="{00000001-E2CC-4EFD-92F3-CDCEEBB0B4E9}"/>
            </c:ext>
          </c:extLst>
        </c:ser>
        <c:ser>
          <c:idx val="2"/>
          <c:order val="2"/>
          <c:tx>
            <c:strRef>
              <c:f>'Pivot Analysis'!$F$51:$F$52</c:f>
              <c:strCache>
                <c:ptCount val="1"/>
                <c:pt idx="0">
                  <c:v>Technology</c:v>
                </c:pt>
              </c:strCache>
            </c:strRef>
          </c:tx>
          <c:spPr>
            <a:solidFill>
              <a:schemeClr val="accent3"/>
            </a:solidFill>
            <a:ln>
              <a:noFill/>
            </a:ln>
            <a:effectLst/>
          </c:spPr>
          <c:invertIfNegative val="0"/>
          <c:cat>
            <c:strRef>
              <c:f>'Pivot Analysis'!$C$53:$C$65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Analysis'!$F$53:$F$65</c:f>
              <c:numCache>
                <c:formatCode>_("$"* #,##0.00_);_("$"* \(#,##0.00\);_("$"* "-"??_);_(@_)</c:formatCode>
                <c:ptCount val="12"/>
                <c:pt idx="0">
                  <c:v>1842266.95</c:v>
                </c:pt>
                <c:pt idx="1">
                  <c:v>772715.31</c:v>
                </c:pt>
                <c:pt idx="2">
                  <c:v>977677.48</c:v>
                </c:pt>
                <c:pt idx="3">
                  <c:v>1010326.28</c:v>
                </c:pt>
                <c:pt idx="4">
                  <c:v>1026989.0800000001</c:v>
                </c:pt>
                <c:pt idx="5">
                  <c:v>1169451.2200000002</c:v>
                </c:pt>
                <c:pt idx="6">
                  <c:v>1028332.9800000001</c:v>
                </c:pt>
                <c:pt idx="7">
                  <c:v>859996.95999999985</c:v>
                </c:pt>
                <c:pt idx="8">
                  <c:v>962990.95</c:v>
                </c:pt>
                <c:pt idx="9">
                  <c:v>681828.76000000013</c:v>
                </c:pt>
                <c:pt idx="10">
                  <c:v>900066.64000000013</c:v>
                </c:pt>
                <c:pt idx="11">
                  <c:v>1893671.29</c:v>
                </c:pt>
              </c:numCache>
            </c:numRef>
          </c:val>
          <c:extLst>
            <c:ext xmlns:c16="http://schemas.microsoft.com/office/drawing/2014/chart" uri="{C3380CC4-5D6E-409C-BE32-E72D297353CC}">
              <c16:uniqueId val="{00000002-E2CC-4EFD-92F3-CDCEEBB0B4E9}"/>
            </c:ext>
          </c:extLst>
        </c:ser>
        <c:dLbls>
          <c:showLegendKey val="0"/>
          <c:showVal val="0"/>
          <c:showCatName val="0"/>
          <c:showSerName val="0"/>
          <c:showPercent val="0"/>
          <c:showBubbleSize val="0"/>
        </c:dLbls>
        <c:gapWidth val="182"/>
        <c:axId val="682888472"/>
        <c:axId val="682893152"/>
      </c:barChart>
      <c:catAx>
        <c:axId val="682888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893152"/>
        <c:crosses val="autoZero"/>
        <c:auto val="1"/>
        <c:lblAlgn val="ctr"/>
        <c:lblOffset val="100"/>
        <c:noMultiLvlLbl val="0"/>
      </c:catAx>
      <c:valAx>
        <c:axId val="682893152"/>
        <c:scaling>
          <c:orientation val="minMax"/>
        </c:scaling>
        <c:delete val="1"/>
        <c:axPos val="b"/>
        <c:numFmt formatCode="_(&quot;$&quot;* #,##0.00_);_(&quot;$&quot;* \(#,##0.00\);_(&quot;$&quot;* &quot;-&quot;??_);_(@_)" sourceLinked="1"/>
        <c:majorTickMark val="none"/>
        <c:minorTickMark val="none"/>
        <c:tickLblPos val="nextTo"/>
        <c:crossAx val="682888472"/>
        <c:crosses val="autoZero"/>
        <c:crossBetween val="between"/>
      </c:valAx>
      <c:spPr>
        <a:noFill/>
        <a:ln>
          <a:noFill/>
        </a:ln>
        <a:effectLst/>
      </c:spPr>
    </c:plotArea>
    <c:legend>
      <c:legendPos val="r"/>
      <c:layout>
        <c:manualLayout>
          <c:xMode val="edge"/>
          <c:yMode val="edge"/>
          <c:x val="0.72493131428756641"/>
          <c:y val="0.45167814543327461"/>
          <c:w val="0.26062499662364552"/>
          <c:h val="0.266372517456967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Analysis!YoY Sales</c:name>
    <c:fmtId val="31"/>
  </c:pivotSource>
  <c:chart>
    <c:title>
      <c:tx>
        <c:rich>
          <a:bodyPr rot="0" spcFirstLastPara="1" vertOverflow="ellipsis" vert="horz" wrap="square" anchor="ctr" anchorCtr="1"/>
          <a:lstStyle/>
          <a:p>
            <a:pPr>
              <a:defRPr sz="1600" b="0" i="0" u="none" strike="noStrike" kern="1200" spc="0" baseline="0">
                <a:solidFill>
                  <a:srgbClr val="050D51"/>
                </a:solidFill>
                <a:latin typeface="+mn-lt"/>
                <a:ea typeface="+mn-ea"/>
                <a:cs typeface="+mn-cs"/>
              </a:defRPr>
            </a:pPr>
            <a:r>
              <a:rPr lang="en-US" sz="1600" b="1">
                <a:solidFill>
                  <a:srgbClr val="050D51"/>
                </a:solidFill>
              </a:rPr>
              <a:t>Total</a:t>
            </a:r>
            <a:r>
              <a:rPr lang="en-US" sz="1600" b="1" baseline="0">
                <a:solidFill>
                  <a:srgbClr val="050D51"/>
                </a:solidFill>
              </a:rPr>
              <a:t> </a:t>
            </a:r>
            <a:r>
              <a:rPr lang="en-US" sz="1600" b="1">
                <a:solidFill>
                  <a:srgbClr val="050D51"/>
                </a:solidFill>
              </a:rPr>
              <a:t>Sales by Year</a:t>
            </a:r>
          </a:p>
        </c:rich>
      </c:tx>
      <c:layout>
        <c:manualLayout>
          <c:xMode val="edge"/>
          <c:yMode val="edge"/>
          <c:x val="0.3081354190210972"/>
          <c:y val="1.3789134813222369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050D51"/>
              </a:solidFill>
              <a:latin typeface="+mn-lt"/>
              <a:ea typeface="+mn-ea"/>
              <a:cs typeface="+mn-cs"/>
            </a:defRPr>
          </a:pPr>
          <a:endParaRPr lang="en-US"/>
        </a:p>
      </c:txPr>
    </c:title>
    <c:autoTitleDeleted val="0"/>
    <c:pivotFmts>
      <c:pivotFmt>
        <c:idx val="0"/>
        <c:spPr>
          <a:solidFill>
            <a:schemeClr val="accent1"/>
          </a:solidFill>
          <a:ln w="28575" cap="rnd">
            <a:solidFill>
              <a:srgbClr val="050D5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50D51"/>
            </a:solidFill>
            <a:round/>
          </a:ln>
          <a:effectLst/>
        </c:spPr>
        <c:marker>
          <c:symbol val="none"/>
        </c:marker>
        <c:dLbl>
          <c:idx val="0"/>
          <c:layout>
            <c:manualLayout>
              <c:x val="-0.12098599563166493"/>
              <c:y val="-6.85827153345609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0156782064949719"/>
                  <c:h val="0.2066381572993031"/>
                </c:manualLayout>
              </c15:layout>
            </c:ext>
          </c:extLst>
        </c:dLbl>
      </c:pivotFmt>
      <c:pivotFmt>
        <c:idx val="2"/>
        <c:spPr>
          <a:solidFill>
            <a:schemeClr val="accent1"/>
          </a:solidFill>
          <a:ln w="28575" cap="rnd">
            <a:solidFill>
              <a:srgbClr val="050D51"/>
            </a:solidFill>
            <a:round/>
          </a:ln>
          <a:effectLst/>
        </c:spPr>
        <c:marker>
          <c:symbol val="none"/>
        </c:marker>
        <c:dLbl>
          <c:idx val="0"/>
          <c:layout>
            <c:manualLayout>
              <c:x val="-0.14023310023310023"/>
              <c:y val="-0.20036078448534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50D51"/>
            </a:solidFill>
            <a:round/>
          </a:ln>
          <a:effectLst/>
        </c:spPr>
        <c:marker>
          <c:symbol val="none"/>
        </c:marker>
        <c:dLbl>
          <c:idx val="0"/>
          <c:layout>
            <c:manualLayout>
              <c:x val="-0.11139083139083145"/>
              <c:y val="-0.221736865492272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50D5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50D51"/>
            </a:solidFill>
            <a:round/>
          </a:ln>
          <a:effectLst/>
        </c:spPr>
        <c:marker>
          <c:symbol val="none"/>
        </c:marker>
        <c:dLbl>
          <c:idx val="0"/>
          <c:layout>
            <c:manualLayout>
              <c:x val="-0.14023310023310023"/>
              <c:y val="-0.20036078448534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50D51"/>
            </a:solidFill>
            <a:round/>
          </a:ln>
          <a:effectLst/>
        </c:spPr>
        <c:marker>
          <c:symbol val="none"/>
        </c:marker>
        <c:dLbl>
          <c:idx val="0"/>
          <c:layout>
            <c:manualLayout>
              <c:x val="-0.12098599563166493"/>
              <c:y val="-6.85827153345609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0156782064949719"/>
                  <c:h val="0.2066381572993031"/>
                </c:manualLayout>
              </c15:layout>
            </c:ext>
          </c:extLst>
        </c:dLbl>
      </c:pivotFmt>
      <c:pivotFmt>
        <c:idx val="7"/>
        <c:spPr>
          <a:solidFill>
            <a:schemeClr val="accent1"/>
          </a:solidFill>
          <a:ln w="28575" cap="rnd">
            <a:solidFill>
              <a:srgbClr val="050D51"/>
            </a:solidFill>
            <a:round/>
          </a:ln>
          <a:effectLst/>
        </c:spPr>
        <c:marker>
          <c:symbol val="none"/>
        </c:marker>
        <c:dLbl>
          <c:idx val="0"/>
          <c:layout>
            <c:manualLayout>
              <c:x val="-0.11139083139083145"/>
              <c:y val="-0.221736865492272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50D5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50D5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050D51"/>
            </a:solidFill>
            <a:round/>
          </a:ln>
          <a:effectLst/>
        </c:spPr>
        <c:marker>
          <c:symbol val="none"/>
        </c:marker>
        <c:dLbl>
          <c:idx val="0"/>
          <c:layout>
            <c:manualLayout>
              <c:x val="-0.14023310023310023"/>
              <c:y val="-0.200360784485341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50D5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050D51"/>
            </a:solidFill>
            <a:round/>
          </a:ln>
          <a:effectLst/>
        </c:spPr>
        <c:marker>
          <c:symbol val="none"/>
        </c:marker>
        <c:dLbl>
          <c:idx val="0"/>
          <c:layout>
            <c:manualLayout>
              <c:x val="-0.15952616302567513"/>
              <c:y val="-5.78948852255933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50D5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7864806550225929"/>
                  <c:h val="0.20663811473064453"/>
                </c:manualLayout>
              </c15:layout>
            </c:ext>
          </c:extLst>
        </c:dLbl>
      </c:pivotFmt>
      <c:pivotFmt>
        <c:idx val="11"/>
        <c:spPr>
          <a:ln w="28575" cap="rnd">
            <a:solidFill>
              <a:srgbClr val="050D51"/>
            </a:solidFill>
            <a:round/>
          </a:ln>
          <a:effectLst/>
        </c:spPr>
        <c:marker>
          <c:symbol val="none"/>
        </c:marker>
        <c:dLbl>
          <c:idx val="0"/>
          <c:layout>
            <c:manualLayout>
              <c:x val="-0.13274136732526751"/>
              <c:y val="-0.276893155920370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50D5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6307171916946381"/>
                  <c:h val="0.19214445854555126"/>
                </c:manualLayout>
              </c15:layout>
            </c:ext>
          </c:extLst>
        </c:dLbl>
      </c:pivotFmt>
      <c:pivotFmt>
        <c:idx val="12"/>
        <c:spPr>
          <a:ln w="28575" cap="rnd">
            <a:solidFill>
              <a:srgbClr val="050D51"/>
            </a:solidFill>
            <a:round/>
          </a:ln>
          <a:effectLst/>
        </c:spPr>
        <c:marker>
          <c:symbol val="none"/>
        </c:marker>
        <c:dLbl>
          <c:idx val="0"/>
          <c:layout>
            <c:manualLayout>
              <c:x val="0"/>
              <c:y val="-0.187566434857195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50D5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050D51"/>
            </a:solidFill>
            <a:round/>
          </a:ln>
          <a:effectLst/>
        </c:spPr>
        <c:marker>
          <c:symbol val="none"/>
        </c:marker>
        <c:dLbl>
          <c:idx val="0"/>
          <c:layout>
            <c:manualLayout>
              <c:x val="-0.13181381057372049"/>
              <c:y val="-0.1875664348571956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50D5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124045256240223E-2"/>
          <c:y val="0.32393283497011449"/>
          <c:w val="0.9258760022301975"/>
          <c:h val="0.44400308355455659"/>
        </c:manualLayout>
      </c:layout>
      <c:lineChart>
        <c:grouping val="standard"/>
        <c:varyColors val="0"/>
        <c:ser>
          <c:idx val="0"/>
          <c:order val="0"/>
          <c:tx>
            <c:strRef>
              <c:f>'Pivot Analysis'!$K$2</c:f>
              <c:strCache>
                <c:ptCount val="1"/>
                <c:pt idx="0">
                  <c:v>Total</c:v>
                </c:pt>
              </c:strCache>
            </c:strRef>
          </c:tx>
          <c:spPr>
            <a:ln w="28575" cap="rnd">
              <a:solidFill>
                <a:srgbClr val="050D51"/>
              </a:solidFill>
              <a:round/>
            </a:ln>
            <a:effectLst/>
          </c:spPr>
          <c:marker>
            <c:symbol val="none"/>
          </c:marker>
          <c:dPt>
            <c:idx val="0"/>
            <c:marker>
              <c:symbol val="none"/>
            </c:marker>
            <c:bubble3D val="0"/>
            <c:extLst>
              <c:ext xmlns:c16="http://schemas.microsoft.com/office/drawing/2014/chart" uri="{C3380CC4-5D6E-409C-BE32-E72D297353CC}">
                <c16:uniqueId val="{00000000-E763-48C6-A163-5D01722CC19E}"/>
              </c:ext>
            </c:extLst>
          </c:dPt>
          <c:dPt>
            <c:idx val="1"/>
            <c:marker>
              <c:symbol val="none"/>
            </c:marker>
            <c:bubble3D val="0"/>
            <c:extLst>
              <c:ext xmlns:c16="http://schemas.microsoft.com/office/drawing/2014/chart" uri="{C3380CC4-5D6E-409C-BE32-E72D297353CC}">
                <c16:uniqueId val="{00000001-E763-48C6-A163-5D01722CC19E}"/>
              </c:ext>
            </c:extLst>
          </c:dPt>
          <c:dPt>
            <c:idx val="2"/>
            <c:marker>
              <c:symbol val="none"/>
            </c:marker>
            <c:bubble3D val="0"/>
            <c:extLst>
              <c:ext xmlns:c16="http://schemas.microsoft.com/office/drawing/2014/chart" uri="{C3380CC4-5D6E-409C-BE32-E72D297353CC}">
                <c16:uniqueId val="{00000002-E763-48C6-A163-5D01722CC19E}"/>
              </c:ext>
            </c:extLst>
          </c:dPt>
          <c:dPt>
            <c:idx val="3"/>
            <c:marker>
              <c:symbol val="none"/>
            </c:marker>
            <c:bubble3D val="0"/>
            <c:extLst>
              <c:ext xmlns:c16="http://schemas.microsoft.com/office/drawing/2014/chart" uri="{C3380CC4-5D6E-409C-BE32-E72D297353CC}">
                <c16:uniqueId val="{00000004-2F69-4DCE-80B4-5FF0FB34C9FD}"/>
              </c:ext>
            </c:extLst>
          </c:dPt>
          <c:dPt>
            <c:idx val="4"/>
            <c:marker>
              <c:symbol val="none"/>
            </c:marker>
            <c:bubble3D val="0"/>
            <c:extLst>
              <c:ext xmlns:c16="http://schemas.microsoft.com/office/drawing/2014/chart" uri="{C3380CC4-5D6E-409C-BE32-E72D297353CC}">
                <c16:uniqueId val="{00000003-2F69-4DCE-80B4-5FF0FB34C9FD}"/>
              </c:ext>
            </c:extLst>
          </c:dPt>
          <c:dLbls>
            <c:dLbl>
              <c:idx val="0"/>
              <c:layout>
                <c:manualLayout>
                  <c:x val="-0.14023310023310023"/>
                  <c:y val="-0.20036078448534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63-48C6-A163-5D01722CC19E}"/>
                </c:ext>
              </c:extLst>
            </c:dLbl>
            <c:dLbl>
              <c:idx val="1"/>
              <c:layout>
                <c:manualLayout>
                  <c:x val="-0.15952616302567513"/>
                  <c:y val="-5.7894885225593398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27864806550225929"/>
                      <c:h val="0.20663811473064453"/>
                    </c:manualLayout>
                  </c15:layout>
                </c:ext>
                <c:ext xmlns:c16="http://schemas.microsoft.com/office/drawing/2014/chart" uri="{C3380CC4-5D6E-409C-BE32-E72D297353CC}">
                  <c16:uniqueId val="{00000001-E763-48C6-A163-5D01722CC19E}"/>
                </c:ext>
              </c:extLst>
            </c:dLbl>
            <c:dLbl>
              <c:idx val="2"/>
              <c:layout>
                <c:manualLayout>
                  <c:x val="-0.13274136732526751"/>
                  <c:y val="-0.2768931559203705"/>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26307171916946381"/>
                      <c:h val="0.19214445854555126"/>
                    </c:manualLayout>
                  </c15:layout>
                </c:ext>
                <c:ext xmlns:c16="http://schemas.microsoft.com/office/drawing/2014/chart" uri="{C3380CC4-5D6E-409C-BE32-E72D297353CC}">
                  <c16:uniqueId val="{00000002-E763-48C6-A163-5D01722CC19E}"/>
                </c:ext>
              </c:extLst>
            </c:dLbl>
            <c:dLbl>
              <c:idx val="3"/>
              <c:layout>
                <c:manualLayout>
                  <c:x val="-0.13181381057372049"/>
                  <c:y val="-0.1875664348571956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F69-4DCE-80B4-5FF0FB34C9FD}"/>
                </c:ext>
              </c:extLst>
            </c:dLbl>
            <c:dLbl>
              <c:idx val="4"/>
              <c:layout>
                <c:manualLayout>
                  <c:x val="0"/>
                  <c:y val="-0.18756643485719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69-4DCE-80B4-5FF0FB34C9F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50D5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Analysis'!$J$3:$J$8</c:f>
              <c:strCache>
                <c:ptCount val="5"/>
                <c:pt idx="0">
                  <c:v>2019</c:v>
                </c:pt>
                <c:pt idx="1">
                  <c:v>2020</c:v>
                </c:pt>
                <c:pt idx="2">
                  <c:v>2021</c:v>
                </c:pt>
                <c:pt idx="3">
                  <c:v>2022</c:v>
                </c:pt>
                <c:pt idx="4">
                  <c:v>2023</c:v>
                </c:pt>
              </c:strCache>
            </c:strRef>
          </c:cat>
          <c:val>
            <c:numRef>
              <c:f>'Pivot Analysis'!$K$3:$K$8</c:f>
              <c:numCache>
                <c:formatCode>_("$"* #,##0.00_);_("$"* \(#,##0.00\);_("$"* "-"??_);_(@_)</c:formatCode>
                <c:ptCount val="5"/>
                <c:pt idx="0">
                  <c:v>14005.790000000003</c:v>
                </c:pt>
                <c:pt idx="1">
                  <c:v>37415058.220000051</c:v>
                </c:pt>
                <c:pt idx="2">
                  <c:v>1380822.0500000005</c:v>
                </c:pt>
                <c:pt idx="3">
                  <c:v>424662.84000000014</c:v>
                </c:pt>
                <c:pt idx="4">
                  <c:v>407671.90999999957</c:v>
                </c:pt>
              </c:numCache>
            </c:numRef>
          </c:val>
          <c:smooth val="0"/>
          <c:extLst>
            <c:ext xmlns:c16="http://schemas.microsoft.com/office/drawing/2014/chart" uri="{C3380CC4-5D6E-409C-BE32-E72D297353CC}">
              <c16:uniqueId val="{00000003-E763-48C6-A163-5D01722CC19E}"/>
            </c:ext>
          </c:extLst>
        </c:ser>
        <c:dLbls>
          <c:dLblPos val="t"/>
          <c:showLegendKey val="0"/>
          <c:showVal val="1"/>
          <c:showCatName val="0"/>
          <c:showSerName val="0"/>
          <c:showPercent val="0"/>
          <c:showBubbleSize val="0"/>
        </c:dLbls>
        <c:smooth val="0"/>
        <c:axId val="680787472"/>
        <c:axId val="680786392"/>
      </c:lineChart>
      <c:catAx>
        <c:axId val="68078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50D51"/>
                </a:solidFill>
                <a:latin typeface="+mn-lt"/>
                <a:ea typeface="+mn-ea"/>
                <a:cs typeface="+mn-cs"/>
              </a:defRPr>
            </a:pPr>
            <a:endParaRPr lang="en-US"/>
          </a:p>
        </c:txPr>
        <c:crossAx val="680786392"/>
        <c:crosses val="autoZero"/>
        <c:auto val="1"/>
        <c:lblAlgn val="ctr"/>
        <c:lblOffset val="100"/>
        <c:noMultiLvlLbl val="0"/>
      </c:catAx>
      <c:valAx>
        <c:axId val="680786392"/>
        <c:scaling>
          <c:orientation val="minMax"/>
        </c:scaling>
        <c:delete val="1"/>
        <c:axPos val="l"/>
        <c:numFmt formatCode="_(&quot;$&quot;* #,##0.00_);_(&quot;$&quot;* \(#,##0.00\);_(&quot;$&quot;* &quot;-&quot;??_);_(@_)" sourceLinked="1"/>
        <c:majorTickMark val="none"/>
        <c:minorTickMark val="none"/>
        <c:tickLblPos val="nextTo"/>
        <c:crossAx val="68078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Analysis!Sales by Ship mode</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rgbClr val="050D51"/>
                </a:solidFill>
              </a:rPr>
              <a:t>Sales by Shipping</a:t>
            </a:r>
            <a:r>
              <a:rPr lang="en-US" sz="1600" b="1" baseline="0">
                <a:solidFill>
                  <a:srgbClr val="050D51"/>
                </a:solidFill>
              </a:rPr>
              <a:t> Mode</a:t>
            </a:r>
            <a:endParaRPr lang="en-US" sz="1600" b="1">
              <a:solidFill>
                <a:srgbClr val="050D51"/>
              </a:solidFill>
            </a:endParaRPr>
          </a:p>
        </c:rich>
      </c:tx>
      <c:layout>
        <c:manualLayout>
          <c:xMode val="edge"/>
          <c:yMode val="edge"/>
          <c:x val="0.16564435765299518"/>
          <c:y val="2.8743869075799661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5.0062383485774846E-2"/>
              <c:y val="0.1439168954455405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0.10267144212360531"/>
              <c:y val="0.1786120413109280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layout>
            <c:manualLayout>
              <c:x val="0.13941061829112911"/>
              <c:y val="-0.1942015868706066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dLbl>
          <c:idx val="0"/>
          <c:layout>
            <c:manualLayout>
              <c:x val="-0.18103912496411131"/>
              <c:y val="7.111835158536222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5.0062383485774846E-2"/>
              <c:y val="0.1439168954455405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0.18103912496411131"/>
              <c:y val="7.111835158536222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0.13941061829112911"/>
              <c:y val="-0.1942015868706066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0.10267144212360531"/>
              <c:y val="0.1786120413109280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dLbl>
          <c:idx val="0"/>
          <c:layout>
            <c:manualLayout>
              <c:x val="-5.0062383485774846E-2"/>
              <c:y val="0.1439168954455405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w="19050">
            <a:solidFill>
              <a:schemeClr val="lt1"/>
            </a:solidFill>
          </a:ln>
          <a:effectLst/>
        </c:spPr>
        <c:dLbl>
          <c:idx val="0"/>
          <c:layout>
            <c:manualLayout>
              <c:x val="-0.18103912496411131"/>
              <c:y val="7.11183515853622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w="19050">
            <a:solidFill>
              <a:schemeClr val="lt1"/>
            </a:solidFill>
          </a:ln>
          <a:effectLst/>
        </c:spPr>
        <c:dLbl>
          <c:idx val="0"/>
          <c:layout>
            <c:manualLayout>
              <c:x val="0.13941061829112911"/>
              <c:y val="-0.1942015868706066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w="19050">
            <a:solidFill>
              <a:schemeClr val="lt1"/>
            </a:solidFill>
          </a:ln>
          <a:effectLst/>
        </c:spPr>
        <c:dLbl>
          <c:idx val="0"/>
          <c:layout>
            <c:manualLayout>
              <c:x val="0.10267144212360531"/>
              <c:y val="0.1786120413109280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pivotFmt>
    </c:pivotFmts>
    <c:plotArea>
      <c:layout>
        <c:manualLayout>
          <c:layoutTarget val="inner"/>
          <c:xMode val="edge"/>
          <c:yMode val="edge"/>
          <c:x val="0.12659708048988813"/>
          <c:y val="0.18594491371126268"/>
          <c:w val="0.48513665827825481"/>
          <c:h val="0.78751743087636028"/>
        </c:manualLayout>
      </c:layout>
      <c:pieChart>
        <c:varyColors val="1"/>
        <c:ser>
          <c:idx val="0"/>
          <c:order val="0"/>
          <c:tx>
            <c:strRef>
              <c:f>'Pivot Analysis'!$D$3</c:f>
              <c:strCache>
                <c:ptCount val="1"/>
                <c:pt idx="0">
                  <c:v>% Sales</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B18-47A9-8DFE-C0E9913D9C8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B18-47A9-8DFE-C0E9913D9C8E}"/>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DB18-47A9-8DFE-C0E9913D9C8E}"/>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DB18-47A9-8DFE-C0E9913D9C8E}"/>
              </c:ext>
            </c:extLst>
          </c:dPt>
          <c:dLbls>
            <c:dLbl>
              <c:idx val="0"/>
              <c:layout>
                <c:manualLayout>
                  <c:x val="-5.0062383485774846E-2"/>
                  <c:y val="0.1439168954455405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18-47A9-8DFE-C0E9913D9C8E}"/>
                </c:ext>
              </c:extLst>
            </c:dLbl>
            <c:dLbl>
              <c:idx val="1"/>
              <c:layout>
                <c:manualLayout>
                  <c:x val="-0.18103912496411131"/>
                  <c:y val="7.111835158536222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18-47A9-8DFE-C0E9913D9C8E}"/>
                </c:ext>
              </c:extLst>
            </c:dLbl>
            <c:dLbl>
              <c:idx val="2"/>
              <c:layout>
                <c:manualLayout>
                  <c:x val="0.13941061829112911"/>
                  <c:y val="-0.1942015868706066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B18-47A9-8DFE-C0E9913D9C8E}"/>
                </c:ext>
              </c:extLst>
            </c:dLbl>
            <c:dLbl>
              <c:idx val="3"/>
              <c:layout>
                <c:manualLayout>
                  <c:x val="0.10267144212360531"/>
                  <c:y val="0.1786120413109280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B18-47A9-8DFE-C0E9913D9C8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'Pivot Analysis'!$C$4:$C$8</c:f>
              <c:strCache>
                <c:ptCount val="4"/>
                <c:pt idx="0">
                  <c:v>Delivery Truck</c:v>
                </c:pt>
                <c:pt idx="1">
                  <c:v>Express Air</c:v>
                </c:pt>
                <c:pt idx="2">
                  <c:v>Regular Air</c:v>
                </c:pt>
                <c:pt idx="3">
                  <c:v>Standard Class</c:v>
                </c:pt>
              </c:strCache>
            </c:strRef>
          </c:cat>
          <c:val>
            <c:numRef>
              <c:f>'Pivot Analysis'!$D$4:$D$8</c:f>
              <c:numCache>
                <c:formatCode>0.00%</c:formatCode>
                <c:ptCount val="4"/>
                <c:pt idx="0">
                  <c:v>6.5769805680119586E-2</c:v>
                </c:pt>
                <c:pt idx="1">
                  <c:v>0.22471350274040858</c:v>
                </c:pt>
                <c:pt idx="2">
                  <c:v>0.547085201793722</c:v>
                </c:pt>
                <c:pt idx="3">
                  <c:v>0.16243148978574987</c:v>
                </c:pt>
              </c:numCache>
            </c:numRef>
          </c:val>
          <c:extLst>
            <c:ext xmlns:c16="http://schemas.microsoft.com/office/drawing/2014/chart" uri="{C3380CC4-5D6E-409C-BE32-E72D297353CC}">
              <c16:uniqueId val="{00000008-DB18-47A9-8DFE-C0E9913D9C8E}"/>
            </c:ext>
          </c:extLst>
        </c:ser>
        <c:ser>
          <c:idx val="1"/>
          <c:order val="1"/>
          <c:tx>
            <c:strRef>
              <c:f>'Pivot Analysis'!$E$3</c:f>
              <c:strCache>
                <c:ptCount val="1"/>
                <c:pt idx="0">
                  <c:v>Sum of Sales</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A-DB18-47A9-8DFE-C0E9913D9C8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C-DB18-47A9-8DFE-C0E9913D9C8E}"/>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E-DB18-47A9-8DFE-C0E9913D9C8E}"/>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0-DB18-47A9-8DFE-C0E9913D9C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Analysis'!$C$4:$C$8</c:f>
              <c:strCache>
                <c:ptCount val="4"/>
                <c:pt idx="0">
                  <c:v>Delivery Truck</c:v>
                </c:pt>
                <c:pt idx="1">
                  <c:v>Express Air</c:v>
                </c:pt>
                <c:pt idx="2">
                  <c:v>Regular Air</c:v>
                </c:pt>
                <c:pt idx="3">
                  <c:v>Standard Class</c:v>
                </c:pt>
              </c:strCache>
            </c:strRef>
          </c:cat>
          <c:val>
            <c:numRef>
              <c:f>'Pivot Analysis'!$E$4:$E$8</c:f>
              <c:numCache>
                <c:formatCode>_("$"* #,##0.00_);_("$"* \(#,##0.00\);_("$"* "-"??_);_(@_)</c:formatCode>
                <c:ptCount val="4"/>
                <c:pt idx="0">
                  <c:v>879680.63000000059</c:v>
                </c:pt>
                <c:pt idx="1">
                  <c:v>12357447.300000004</c:v>
                </c:pt>
                <c:pt idx="2">
                  <c:v>14131950.930000003</c:v>
                </c:pt>
                <c:pt idx="3">
                  <c:v>12273141.949999994</c:v>
                </c:pt>
              </c:numCache>
            </c:numRef>
          </c:val>
          <c:extLst>
            <c:ext xmlns:c16="http://schemas.microsoft.com/office/drawing/2014/chart" uri="{C3380CC4-5D6E-409C-BE32-E72D297353CC}">
              <c16:uniqueId val="{00000011-DB18-47A9-8DFE-C0E9913D9C8E}"/>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9594942542401872"/>
          <c:y val="0.30950529843995206"/>
          <c:w val="0.26909817379895906"/>
          <c:h val="0.4258702770211496"/>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50D5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Analysis!Monthly Sale by Shipping</c:name>
    <c:fmtId val="18"/>
  </c:pivotSource>
  <c:chart>
    <c:title>
      <c:tx>
        <c:rich>
          <a:bodyPr rot="0" spcFirstLastPara="1" vertOverflow="ellipsis" vert="horz" wrap="square" anchor="ctr" anchorCtr="1"/>
          <a:lstStyle/>
          <a:p>
            <a:pPr algn="ctr">
              <a:defRPr sz="1600" b="1" i="0" u="none" strike="noStrike" kern="1200" spc="0" baseline="0">
                <a:solidFill>
                  <a:srgbClr val="050D51"/>
                </a:solidFill>
                <a:latin typeface="+mn-lt"/>
                <a:ea typeface="+mn-ea"/>
                <a:cs typeface="+mn-cs"/>
              </a:defRPr>
            </a:pPr>
            <a:r>
              <a:rPr lang="en-US" sz="1600" b="1" baseline="0">
                <a:solidFill>
                  <a:srgbClr val="050D51"/>
                </a:solidFill>
              </a:rPr>
              <a:t>Monthly Sales Trend</a:t>
            </a:r>
            <a:endParaRPr lang="en-US" sz="1600" b="1">
              <a:solidFill>
                <a:srgbClr val="050D51"/>
              </a:solidFill>
            </a:endParaRPr>
          </a:p>
        </c:rich>
      </c:tx>
      <c:overlay val="0"/>
      <c:spPr>
        <a:noFill/>
        <a:ln>
          <a:noFill/>
        </a:ln>
        <a:effectLst/>
      </c:spPr>
      <c:txPr>
        <a:bodyPr rot="0" spcFirstLastPara="1" vertOverflow="ellipsis" vert="horz" wrap="square" anchor="ctr" anchorCtr="1"/>
        <a:lstStyle/>
        <a:p>
          <a:pPr algn="ctr">
            <a:defRPr sz="1600" b="1" i="0" u="none" strike="noStrike" kern="1200" spc="0" baseline="0">
              <a:solidFill>
                <a:srgbClr val="050D5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301608080602127E-2"/>
          <c:y val="0.16708333333333336"/>
          <c:w val="0.79262815351661187"/>
          <c:h val="0.60359361329833772"/>
        </c:manualLayout>
      </c:layout>
      <c:barChart>
        <c:barDir val="col"/>
        <c:grouping val="clustered"/>
        <c:varyColors val="0"/>
        <c:ser>
          <c:idx val="0"/>
          <c:order val="0"/>
          <c:tx>
            <c:strRef>
              <c:f>'Pivot Analysis'!$D$19:$D$20</c:f>
              <c:strCache>
                <c:ptCount val="1"/>
                <c:pt idx="0">
                  <c:v>Delivery Truck</c:v>
                </c:pt>
              </c:strCache>
            </c:strRef>
          </c:tx>
          <c:spPr>
            <a:solidFill>
              <a:schemeClr val="accent1"/>
            </a:solidFill>
            <a:ln>
              <a:noFill/>
            </a:ln>
            <a:effectLst/>
          </c:spPr>
          <c:invertIfNegative val="0"/>
          <c:cat>
            <c:strRef>
              <c:f>'Pivot Analysis'!$C$21:$C$33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Analysis'!$D$21:$D$33</c:f>
              <c:numCache>
                <c:formatCode>_("$"* #,##0.00_);_("$"* \(#,##0.00\);_("$"* "-"??_);_(@_)</c:formatCode>
                <c:ptCount val="12"/>
                <c:pt idx="0">
                  <c:v>59159.76</c:v>
                </c:pt>
                <c:pt idx="1">
                  <c:v>100795.6</c:v>
                </c:pt>
                <c:pt idx="2">
                  <c:v>41774.49</c:v>
                </c:pt>
                <c:pt idx="3">
                  <c:v>45678.899999999994</c:v>
                </c:pt>
                <c:pt idx="4">
                  <c:v>60356.81</c:v>
                </c:pt>
                <c:pt idx="5">
                  <c:v>71561.849999999991</c:v>
                </c:pt>
                <c:pt idx="6">
                  <c:v>38210.009999999995</c:v>
                </c:pt>
                <c:pt idx="7">
                  <c:v>137027</c:v>
                </c:pt>
                <c:pt idx="8">
                  <c:v>57192.05</c:v>
                </c:pt>
                <c:pt idx="9">
                  <c:v>43569.61</c:v>
                </c:pt>
                <c:pt idx="10">
                  <c:v>46394.1</c:v>
                </c:pt>
                <c:pt idx="11">
                  <c:v>177960.44999999998</c:v>
                </c:pt>
              </c:numCache>
            </c:numRef>
          </c:val>
          <c:extLst>
            <c:ext xmlns:c16="http://schemas.microsoft.com/office/drawing/2014/chart" uri="{C3380CC4-5D6E-409C-BE32-E72D297353CC}">
              <c16:uniqueId val="{00000000-1694-4FFD-AE64-54D28B1B697D}"/>
            </c:ext>
          </c:extLst>
        </c:ser>
        <c:ser>
          <c:idx val="1"/>
          <c:order val="1"/>
          <c:tx>
            <c:strRef>
              <c:f>'Pivot Analysis'!$E$19:$E$20</c:f>
              <c:strCache>
                <c:ptCount val="1"/>
                <c:pt idx="0">
                  <c:v>Express Air</c:v>
                </c:pt>
              </c:strCache>
            </c:strRef>
          </c:tx>
          <c:spPr>
            <a:solidFill>
              <a:schemeClr val="accent3"/>
            </a:solidFill>
            <a:ln>
              <a:noFill/>
            </a:ln>
            <a:effectLst/>
          </c:spPr>
          <c:invertIfNegative val="0"/>
          <c:cat>
            <c:strRef>
              <c:f>'Pivot Analysis'!$C$21:$C$33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Analysis'!$E$21:$E$33</c:f>
              <c:numCache>
                <c:formatCode>_("$"* #,##0.00_);_("$"* \(#,##0.00\);_("$"* "-"??_);_(@_)</c:formatCode>
                <c:ptCount val="12"/>
                <c:pt idx="0">
                  <c:v>1481145.2199999997</c:v>
                </c:pt>
                <c:pt idx="1">
                  <c:v>518049.63</c:v>
                </c:pt>
                <c:pt idx="2">
                  <c:v>1023408.76</c:v>
                </c:pt>
                <c:pt idx="3">
                  <c:v>1399362.24</c:v>
                </c:pt>
                <c:pt idx="4">
                  <c:v>799521.68</c:v>
                </c:pt>
                <c:pt idx="5">
                  <c:v>796858.24000000022</c:v>
                </c:pt>
                <c:pt idx="6">
                  <c:v>872846.79000000027</c:v>
                </c:pt>
                <c:pt idx="7">
                  <c:v>901186.3899999999</c:v>
                </c:pt>
                <c:pt idx="8">
                  <c:v>867742.17999999993</c:v>
                </c:pt>
                <c:pt idx="9">
                  <c:v>1188777.6500000001</c:v>
                </c:pt>
                <c:pt idx="10">
                  <c:v>949240.83000000007</c:v>
                </c:pt>
                <c:pt idx="11">
                  <c:v>1559307.6900000002</c:v>
                </c:pt>
              </c:numCache>
            </c:numRef>
          </c:val>
          <c:extLst>
            <c:ext xmlns:c16="http://schemas.microsoft.com/office/drawing/2014/chart" uri="{C3380CC4-5D6E-409C-BE32-E72D297353CC}">
              <c16:uniqueId val="{00000006-1694-4FFD-AE64-54D28B1B697D}"/>
            </c:ext>
          </c:extLst>
        </c:ser>
        <c:ser>
          <c:idx val="2"/>
          <c:order val="2"/>
          <c:tx>
            <c:strRef>
              <c:f>'Pivot Analysis'!$F$19:$F$20</c:f>
              <c:strCache>
                <c:ptCount val="1"/>
                <c:pt idx="0">
                  <c:v>Regular Air</c:v>
                </c:pt>
              </c:strCache>
            </c:strRef>
          </c:tx>
          <c:spPr>
            <a:solidFill>
              <a:schemeClr val="accent5"/>
            </a:solidFill>
            <a:ln>
              <a:noFill/>
            </a:ln>
            <a:effectLst/>
          </c:spPr>
          <c:invertIfNegative val="0"/>
          <c:cat>
            <c:strRef>
              <c:f>'Pivot Analysis'!$C$21:$C$33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Analysis'!$F$21:$F$33</c:f>
              <c:numCache>
                <c:formatCode>_("$"* #,##0.00_);_("$"* \(#,##0.00\);_("$"* "-"??_);_(@_)</c:formatCode>
                <c:ptCount val="12"/>
                <c:pt idx="0">
                  <c:v>1481742.43</c:v>
                </c:pt>
                <c:pt idx="1">
                  <c:v>1225203.17</c:v>
                </c:pt>
                <c:pt idx="2">
                  <c:v>952606.25999999978</c:v>
                </c:pt>
                <c:pt idx="3">
                  <c:v>1015378.2899999999</c:v>
                </c:pt>
                <c:pt idx="4">
                  <c:v>1163822.7400000002</c:v>
                </c:pt>
                <c:pt idx="5">
                  <c:v>1169542.6600000001</c:v>
                </c:pt>
                <c:pt idx="6">
                  <c:v>1154075.49</c:v>
                </c:pt>
                <c:pt idx="7">
                  <c:v>1041562.8099999997</c:v>
                </c:pt>
                <c:pt idx="8">
                  <c:v>1403936.9</c:v>
                </c:pt>
                <c:pt idx="9">
                  <c:v>1193223.7800000003</c:v>
                </c:pt>
                <c:pt idx="10">
                  <c:v>993620.5199999999</c:v>
                </c:pt>
                <c:pt idx="11">
                  <c:v>1337235.8800000001</c:v>
                </c:pt>
              </c:numCache>
            </c:numRef>
          </c:val>
          <c:extLst>
            <c:ext xmlns:c16="http://schemas.microsoft.com/office/drawing/2014/chart" uri="{C3380CC4-5D6E-409C-BE32-E72D297353CC}">
              <c16:uniqueId val="{0000000C-C2B8-4ABD-9540-99770B6B92B4}"/>
            </c:ext>
          </c:extLst>
        </c:ser>
        <c:ser>
          <c:idx val="3"/>
          <c:order val="3"/>
          <c:tx>
            <c:strRef>
              <c:f>'Pivot Analysis'!$G$19:$G$20</c:f>
              <c:strCache>
                <c:ptCount val="1"/>
                <c:pt idx="0">
                  <c:v>Standard Class</c:v>
                </c:pt>
              </c:strCache>
            </c:strRef>
          </c:tx>
          <c:spPr>
            <a:solidFill>
              <a:schemeClr val="accent1">
                <a:lumMod val="60000"/>
              </a:schemeClr>
            </a:solidFill>
            <a:ln>
              <a:noFill/>
            </a:ln>
            <a:effectLst/>
          </c:spPr>
          <c:invertIfNegative val="0"/>
          <c:cat>
            <c:strRef>
              <c:f>'Pivot Analysis'!$C$21:$C$33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Analysis'!$G$21:$G$33</c:f>
              <c:numCache>
                <c:formatCode>_("$"* #,##0.00_);_("$"* \(#,##0.00\);_("$"* "-"??_);_(@_)</c:formatCode>
                <c:ptCount val="12"/>
                <c:pt idx="0">
                  <c:v>1375630.0300000003</c:v>
                </c:pt>
                <c:pt idx="1">
                  <c:v>1292696.02</c:v>
                </c:pt>
                <c:pt idx="2">
                  <c:v>1043592.0500000002</c:v>
                </c:pt>
                <c:pt idx="3">
                  <c:v>1051761.54</c:v>
                </c:pt>
                <c:pt idx="4">
                  <c:v>1169530.7</c:v>
                </c:pt>
                <c:pt idx="5">
                  <c:v>1071736.7399999998</c:v>
                </c:pt>
                <c:pt idx="6">
                  <c:v>867105.65</c:v>
                </c:pt>
                <c:pt idx="7">
                  <c:v>1035416.5900000001</c:v>
                </c:pt>
                <c:pt idx="8">
                  <c:v>677183.41999999993</c:v>
                </c:pt>
                <c:pt idx="9">
                  <c:v>609915.93000000005</c:v>
                </c:pt>
                <c:pt idx="10">
                  <c:v>1048695.7100000002</c:v>
                </c:pt>
                <c:pt idx="11">
                  <c:v>1029877.5699999997</c:v>
                </c:pt>
              </c:numCache>
            </c:numRef>
          </c:val>
          <c:extLst>
            <c:ext xmlns:c16="http://schemas.microsoft.com/office/drawing/2014/chart" uri="{C3380CC4-5D6E-409C-BE32-E72D297353CC}">
              <c16:uniqueId val="{0000000E-C2B8-4ABD-9540-99770B6B92B4}"/>
            </c:ext>
          </c:extLst>
        </c:ser>
        <c:dLbls>
          <c:showLegendKey val="0"/>
          <c:showVal val="0"/>
          <c:showCatName val="0"/>
          <c:showSerName val="0"/>
          <c:showPercent val="0"/>
          <c:showBubbleSize val="0"/>
        </c:dLbls>
        <c:gapWidth val="219"/>
        <c:overlap val="-27"/>
        <c:axId val="679644528"/>
        <c:axId val="679645608"/>
      </c:barChart>
      <c:catAx>
        <c:axId val="67964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50D51"/>
                </a:solidFill>
                <a:latin typeface="+mn-lt"/>
                <a:ea typeface="+mn-ea"/>
                <a:cs typeface="+mn-cs"/>
              </a:defRPr>
            </a:pPr>
            <a:endParaRPr lang="en-US"/>
          </a:p>
        </c:txPr>
        <c:crossAx val="679645608"/>
        <c:crosses val="autoZero"/>
        <c:auto val="1"/>
        <c:lblAlgn val="ctr"/>
        <c:lblOffset val="100"/>
        <c:noMultiLvlLbl val="0"/>
      </c:catAx>
      <c:valAx>
        <c:axId val="679645608"/>
        <c:scaling>
          <c:orientation val="minMax"/>
        </c:scaling>
        <c:delete val="1"/>
        <c:axPos val="l"/>
        <c:numFmt formatCode="_(&quot;$&quot;* #,##0.00_);_(&quot;$&quot;* \(#,##0.00\);_(&quot;$&quot;* &quot;-&quot;??_);_(@_)" sourceLinked="1"/>
        <c:majorTickMark val="none"/>
        <c:minorTickMark val="none"/>
        <c:tickLblPos val="nextTo"/>
        <c:crossAx val="679644528"/>
        <c:crosses val="autoZero"/>
        <c:crossBetween val="between"/>
      </c:valAx>
      <c:spPr>
        <a:noFill/>
        <a:ln>
          <a:noFill/>
        </a:ln>
        <a:effectLst/>
      </c:spPr>
    </c:plotArea>
    <c:legend>
      <c:legendPos val="r"/>
      <c:layout>
        <c:manualLayout>
          <c:xMode val="edge"/>
          <c:yMode val="edge"/>
          <c:x val="0.85185466222893114"/>
          <c:y val="0.28925194265966697"/>
          <c:w val="0.13836635183149268"/>
          <c:h val="0.3476420121366665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50D5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Analysis!PivotTable1</c:name>
    <c:fmtId val="14"/>
  </c:pivotSource>
  <c:chart>
    <c:title>
      <c:tx>
        <c:rich>
          <a:bodyPr rot="0" spcFirstLastPara="1" vertOverflow="ellipsis" vert="horz" wrap="square" anchor="ctr" anchorCtr="1"/>
          <a:lstStyle/>
          <a:p>
            <a:pPr>
              <a:defRPr sz="1600" b="1" i="0" u="none" strike="noStrike" kern="1200" spc="0" baseline="0">
                <a:solidFill>
                  <a:srgbClr val="050D51"/>
                </a:solidFill>
                <a:latin typeface="+mn-lt"/>
                <a:ea typeface="+mn-ea"/>
                <a:cs typeface="+mn-cs"/>
              </a:defRPr>
            </a:pPr>
            <a:r>
              <a:rPr lang="en-US" sz="1600" b="1" baseline="0">
                <a:solidFill>
                  <a:srgbClr val="050D51"/>
                </a:solidFill>
              </a:rPr>
              <a:t>Sales by Product Category</a:t>
            </a:r>
            <a:endParaRPr lang="en-US" sz="1600" b="1">
              <a:solidFill>
                <a:srgbClr val="050D51"/>
              </a:solidFill>
            </a:endParaRPr>
          </a:p>
        </c:rich>
      </c:tx>
      <c:layout>
        <c:manualLayout>
          <c:xMode val="edge"/>
          <c:yMode val="edge"/>
          <c:x val="0.14085896436929451"/>
          <c:y val="1.067853020542086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50D5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31276043304258"/>
          <c:y val="0.10338141544758701"/>
          <c:w val="0.71675083174033871"/>
          <c:h val="0.78921905680410498"/>
        </c:manualLayout>
      </c:layout>
      <c:barChart>
        <c:barDir val="bar"/>
        <c:grouping val="clustered"/>
        <c:varyColors val="0"/>
        <c:ser>
          <c:idx val="0"/>
          <c:order val="0"/>
          <c:tx>
            <c:strRef>
              <c:f>'Pivot Analysis'!$D$51:$D$52</c:f>
              <c:strCache>
                <c:ptCount val="1"/>
                <c:pt idx="0">
                  <c:v>Furniture</c:v>
                </c:pt>
              </c:strCache>
            </c:strRef>
          </c:tx>
          <c:spPr>
            <a:solidFill>
              <a:schemeClr val="accent1"/>
            </a:solidFill>
            <a:ln>
              <a:noFill/>
            </a:ln>
            <a:effectLst/>
          </c:spPr>
          <c:invertIfNegative val="0"/>
          <c:cat>
            <c:strRef>
              <c:f>'Pivot Analysis'!$C$53:$C$65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Analysis'!$D$53:$D$65</c:f>
              <c:numCache>
                <c:formatCode>_("$"* #,##0.00_);_("$"* \(#,##0.00\);_("$"* "-"??_);_(@_)</c:formatCode>
                <c:ptCount val="12"/>
                <c:pt idx="0">
                  <c:v>967092.94</c:v>
                </c:pt>
                <c:pt idx="1">
                  <c:v>1266556.48</c:v>
                </c:pt>
                <c:pt idx="2">
                  <c:v>1225483.7699999998</c:v>
                </c:pt>
                <c:pt idx="3">
                  <c:v>1626772.77</c:v>
                </c:pt>
                <c:pt idx="4">
                  <c:v>1067291.9700000002</c:v>
                </c:pt>
                <c:pt idx="5">
                  <c:v>783467.84999999974</c:v>
                </c:pt>
                <c:pt idx="6">
                  <c:v>866030.72</c:v>
                </c:pt>
                <c:pt idx="7">
                  <c:v>1422310.9399999997</c:v>
                </c:pt>
                <c:pt idx="8">
                  <c:v>1231871.81</c:v>
                </c:pt>
                <c:pt idx="9">
                  <c:v>1022718.29</c:v>
                </c:pt>
                <c:pt idx="10">
                  <c:v>911025.82000000007</c:v>
                </c:pt>
                <c:pt idx="11">
                  <c:v>1126126.48</c:v>
                </c:pt>
              </c:numCache>
            </c:numRef>
          </c:val>
          <c:extLst>
            <c:ext xmlns:c16="http://schemas.microsoft.com/office/drawing/2014/chart" uri="{C3380CC4-5D6E-409C-BE32-E72D297353CC}">
              <c16:uniqueId val="{00000000-E907-4863-851C-84D9260D81D7}"/>
            </c:ext>
          </c:extLst>
        </c:ser>
        <c:ser>
          <c:idx val="1"/>
          <c:order val="1"/>
          <c:tx>
            <c:strRef>
              <c:f>'Pivot Analysis'!$E$51:$E$52</c:f>
              <c:strCache>
                <c:ptCount val="1"/>
                <c:pt idx="0">
                  <c:v>Office Supplies</c:v>
                </c:pt>
              </c:strCache>
            </c:strRef>
          </c:tx>
          <c:spPr>
            <a:solidFill>
              <a:schemeClr val="accent3"/>
            </a:solidFill>
            <a:ln>
              <a:noFill/>
            </a:ln>
            <a:effectLst/>
          </c:spPr>
          <c:invertIfNegative val="0"/>
          <c:cat>
            <c:strRef>
              <c:f>'Pivot Analysis'!$C$53:$C$65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Analysis'!$E$53:$E$65</c:f>
              <c:numCache>
                <c:formatCode>_("$"* #,##0.00_);_("$"* \(#,##0.00\);_("$"* "-"??_);_(@_)</c:formatCode>
                <c:ptCount val="12"/>
                <c:pt idx="0">
                  <c:v>1588317.5499999998</c:v>
                </c:pt>
                <c:pt idx="1">
                  <c:v>1097472.6300000001</c:v>
                </c:pt>
                <c:pt idx="2">
                  <c:v>858220.30999999994</c:v>
                </c:pt>
                <c:pt idx="3">
                  <c:v>875081.92</c:v>
                </c:pt>
                <c:pt idx="4">
                  <c:v>1098950.8799999999</c:v>
                </c:pt>
                <c:pt idx="5">
                  <c:v>1156780.42</c:v>
                </c:pt>
                <c:pt idx="6">
                  <c:v>1037874.2400000001</c:v>
                </c:pt>
                <c:pt idx="7">
                  <c:v>832884.88999999966</c:v>
                </c:pt>
                <c:pt idx="8">
                  <c:v>811191.78999999992</c:v>
                </c:pt>
                <c:pt idx="9">
                  <c:v>1330939.9200000002</c:v>
                </c:pt>
                <c:pt idx="10">
                  <c:v>1226858.7</c:v>
                </c:pt>
                <c:pt idx="11">
                  <c:v>1084583.82</c:v>
                </c:pt>
              </c:numCache>
            </c:numRef>
          </c:val>
          <c:extLst>
            <c:ext xmlns:c16="http://schemas.microsoft.com/office/drawing/2014/chart" uri="{C3380CC4-5D6E-409C-BE32-E72D297353CC}">
              <c16:uniqueId val="{00000001-E907-4863-851C-84D9260D81D7}"/>
            </c:ext>
          </c:extLst>
        </c:ser>
        <c:ser>
          <c:idx val="2"/>
          <c:order val="2"/>
          <c:tx>
            <c:strRef>
              <c:f>'Pivot Analysis'!$F$51:$F$52</c:f>
              <c:strCache>
                <c:ptCount val="1"/>
                <c:pt idx="0">
                  <c:v>Technology</c:v>
                </c:pt>
              </c:strCache>
            </c:strRef>
          </c:tx>
          <c:spPr>
            <a:solidFill>
              <a:schemeClr val="accent5"/>
            </a:solidFill>
            <a:ln>
              <a:noFill/>
            </a:ln>
            <a:effectLst/>
          </c:spPr>
          <c:invertIfNegative val="0"/>
          <c:cat>
            <c:strRef>
              <c:f>'Pivot Analysis'!$C$53:$C$65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Analysis'!$F$53:$F$65</c:f>
              <c:numCache>
                <c:formatCode>_("$"* #,##0.00_);_("$"* \(#,##0.00\);_("$"* "-"??_);_(@_)</c:formatCode>
                <c:ptCount val="12"/>
                <c:pt idx="0">
                  <c:v>1842266.95</c:v>
                </c:pt>
                <c:pt idx="1">
                  <c:v>772715.31</c:v>
                </c:pt>
                <c:pt idx="2">
                  <c:v>977677.48</c:v>
                </c:pt>
                <c:pt idx="3">
                  <c:v>1010326.28</c:v>
                </c:pt>
                <c:pt idx="4">
                  <c:v>1026989.0800000001</c:v>
                </c:pt>
                <c:pt idx="5">
                  <c:v>1169451.2200000002</c:v>
                </c:pt>
                <c:pt idx="6">
                  <c:v>1028332.9800000001</c:v>
                </c:pt>
                <c:pt idx="7">
                  <c:v>859996.95999999985</c:v>
                </c:pt>
                <c:pt idx="8">
                  <c:v>962990.95</c:v>
                </c:pt>
                <c:pt idx="9">
                  <c:v>681828.76000000013</c:v>
                </c:pt>
                <c:pt idx="10">
                  <c:v>900066.64000000013</c:v>
                </c:pt>
                <c:pt idx="11">
                  <c:v>1893671.29</c:v>
                </c:pt>
              </c:numCache>
            </c:numRef>
          </c:val>
          <c:extLst>
            <c:ext xmlns:c16="http://schemas.microsoft.com/office/drawing/2014/chart" uri="{C3380CC4-5D6E-409C-BE32-E72D297353CC}">
              <c16:uniqueId val="{00000002-E907-4863-851C-84D9260D81D7}"/>
            </c:ext>
          </c:extLst>
        </c:ser>
        <c:dLbls>
          <c:showLegendKey val="0"/>
          <c:showVal val="0"/>
          <c:showCatName val="0"/>
          <c:showSerName val="0"/>
          <c:showPercent val="0"/>
          <c:showBubbleSize val="0"/>
        </c:dLbls>
        <c:gapWidth val="182"/>
        <c:axId val="682888472"/>
        <c:axId val="682893152"/>
      </c:barChart>
      <c:catAx>
        <c:axId val="682888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50D51"/>
                </a:solidFill>
                <a:latin typeface="+mn-lt"/>
                <a:ea typeface="+mn-ea"/>
                <a:cs typeface="+mn-cs"/>
              </a:defRPr>
            </a:pPr>
            <a:endParaRPr lang="en-US"/>
          </a:p>
        </c:txPr>
        <c:crossAx val="682893152"/>
        <c:crosses val="autoZero"/>
        <c:auto val="1"/>
        <c:lblAlgn val="ctr"/>
        <c:lblOffset val="100"/>
        <c:noMultiLvlLbl val="0"/>
      </c:catAx>
      <c:valAx>
        <c:axId val="682893152"/>
        <c:scaling>
          <c:orientation val="minMax"/>
        </c:scaling>
        <c:delete val="1"/>
        <c:axPos val="b"/>
        <c:numFmt formatCode="_(&quot;$&quot;* #,##0.00_);_(&quot;$&quot;* \(#,##0.00\);_(&quot;$&quot;* &quot;-&quot;??_);_(@_)" sourceLinked="1"/>
        <c:majorTickMark val="none"/>
        <c:minorTickMark val="none"/>
        <c:tickLblPos val="nextTo"/>
        <c:crossAx val="68288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50D5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119065</xdr:rowOff>
    </xdr:from>
    <xdr:to>
      <xdr:col>1</xdr:col>
      <xdr:colOff>619125</xdr:colOff>
      <xdr:row>13</xdr:row>
      <xdr:rowOff>133353</xdr:rowOff>
    </xdr:to>
    <mc:AlternateContent xmlns:mc="http://schemas.openxmlformats.org/markup-compatibility/2006" xmlns:a14="http://schemas.microsoft.com/office/drawing/2010/main">
      <mc:Choice Requires="a14">
        <xdr:graphicFrame macro="">
          <xdr:nvGraphicFramePr>
            <xdr:cNvPr id="2" name="Customer Segment">
              <a:extLst>
                <a:ext uri="{FF2B5EF4-FFF2-40B4-BE49-F238E27FC236}">
                  <a16:creationId xmlns:a16="http://schemas.microsoft.com/office/drawing/2014/main" id="{8F0EB9C5-864B-C462-A8F3-C5C1CF84DD73}"/>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0" y="1023940"/>
              <a:ext cx="1647825" cy="1462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22</xdr:row>
      <xdr:rowOff>47625</xdr:rowOff>
    </xdr:from>
    <xdr:to>
      <xdr:col>1</xdr:col>
      <xdr:colOff>590551</xdr:colOff>
      <xdr:row>29</xdr:row>
      <xdr:rowOff>152400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C91CF684-CB01-5406-691B-9BB04E3B770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 y="4029075"/>
              <a:ext cx="16192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8</xdr:col>
      <xdr:colOff>361950</xdr:colOff>
      <xdr:row>8</xdr:row>
      <xdr:rowOff>119061</xdr:rowOff>
    </xdr:from>
    <xdr:to>
      <xdr:col>12</xdr:col>
      <xdr:colOff>204788</xdr:colOff>
      <xdr:row>18</xdr:row>
      <xdr:rowOff>95250</xdr:rowOff>
    </xdr:to>
    <xdr:graphicFrame macro="">
      <xdr:nvGraphicFramePr>
        <xdr:cNvPr id="4" name="Chart 3">
          <a:extLst>
            <a:ext uri="{FF2B5EF4-FFF2-40B4-BE49-F238E27FC236}">
              <a16:creationId xmlns:a16="http://schemas.microsoft.com/office/drawing/2014/main" id="{9E80059C-FD00-CB97-44B9-790A94BC27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14</xdr:row>
      <xdr:rowOff>71438</xdr:rowOff>
    </xdr:from>
    <xdr:to>
      <xdr:col>1</xdr:col>
      <xdr:colOff>623888</xdr:colOff>
      <xdr:row>21</xdr:row>
      <xdr:rowOff>100013</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5C1A80E1-6C78-BD14-4682-CB3DF2111D3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0" y="2605088"/>
              <a:ext cx="1652588"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138112</xdr:colOff>
      <xdr:row>0</xdr:row>
      <xdr:rowOff>9526</xdr:rowOff>
    </xdr:from>
    <xdr:to>
      <xdr:col>7</xdr:col>
      <xdr:colOff>642937</xdr:colOff>
      <xdr:row>8</xdr:row>
      <xdr:rowOff>138114</xdr:rowOff>
    </xdr:to>
    <xdr:graphicFrame macro="">
      <xdr:nvGraphicFramePr>
        <xdr:cNvPr id="12" name="Chart 11">
          <a:extLst>
            <a:ext uri="{FF2B5EF4-FFF2-40B4-BE49-F238E27FC236}">
              <a16:creationId xmlns:a16="http://schemas.microsoft.com/office/drawing/2014/main" id="{60EB4F4E-B97F-A399-BF22-F2B17D57E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357187</xdr:colOff>
      <xdr:row>19</xdr:row>
      <xdr:rowOff>114300</xdr:rowOff>
    </xdr:from>
    <xdr:to>
      <xdr:col>12</xdr:col>
      <xdr:colOff>538163</xdr:colOff>
      <xdr:row>32</xdr:row>
      <xdr:rowOff>176213</xdr:rowOff>
    </xdr:to>
    <xdr:graphicFrame macro="">
      <xdr:nvGraphicFramePr>
        <xdr:cNvPr id="13" name="Chart 12">
          <a:extLst>
            <a:ext uri="{FF2B5EF4-FFF2-40B4-BE49-F238E27FC236}">
              <a16:creationId xmlns:a16="http://schemas.microsoft.com/office/drawing/2014/main" id="{C62466FF-9338-1C4C-2D75-1D9E19040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126205</xdr:colOff>
      <xdr:row>50</xdr:row>
      <xdr:rowOff>33336</xdr:rowOff>
    </xdr:from>
    <xdr:to>
      <xdr:col>10</xdr:col>
      <xdr:colOff>747713</xdr:colOff>
      <xdr:row>65</xdr:row>
      <xdr:rowOff>109538</xdr:rowOff>
    </xdr:to>
    <xdr:graphicFrame macro="">
      <xdr:nvGraphicFramePr>
        <xdr:cNvPr id="10" name="Chart 9">
          <a:extLst>
            <a:ext uri="{FF2B5EF4-FFF2-40B4-BE49-F238E27FC236}">
              <a16:creationId xmlns:a16="http://schemas.microsoft.com/office/drawing/2014/main" id="{FB3883A0-D838-B2AE-3932-AB9A4251D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195792</xdr:colOff>
      <xdr:row>1</xdr:row>
      <xdr:rowOff>10583</xdr:rowOff>
    </xdr:from>
    <xdr:to>
      <xdr:col>20</xdr:col>
      <xdr:colOff>492125</xdr:colOff>
      <xdr:row>34</xdr:row>
      <xdr:rowOff>47625</xdr:rowOff>
    </xdr:to>
    <xdr:sp macro="" textlink="">
      <xdr:nvSpPr>
        <xdr:cNvPr id="2" name="Rectangle 1">
          <a:extLst>
            <a:ext uri="{FF2B5EF4-FFF2-40B4-BE49-F238E27FC236}">
              <a16:creationId xmlns:a16="http://schemas.microsoft.com/office/drawing/2014/main" id="{28D2D56F-FF58-6256-85BC-062DA2187F81}"/>
            </a:ext>
          </a:extLst>
        </xdr:cNvPr>
        <xdr:cNvSpPr/>
      </xdr:nvSpPr>
      <xdr:spPr>
        <a:xfrm>
          <a:off x="195792" y="190500"/>
          <a:ext cx="13208000" cy="5974292"/>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296332</xdr:colOff>
      <xdr:row>1</xdr:row>
      <xdr:rowOff>142875</xdr:rowOff>
    </xdr:from>
    <xdr:to>
      <xdr:col>10</xdr:col>
      <xdr:colOff>391584</xdr:colOff>
      <xdr:row>5</xdr:row>
      <xdr:rowOff>133350</xdr:rowOff>
    </xdr:to>
    <xdr:sp macro="" textlink="">
      <xdr:nvSpPr>
        <xdr:cNvPr id="3" name="Rectangle: Rounded Corners 2">
          <a:extLst>
            <a:ext uri="{FF2B5EF4-FFF2-40B4-BE49-F238E27FC236}">
              <a16:creationId xmlns:a16="http://schemas.microsoft.com/office/drawing/2014/main" id="{C2FE82AD-EF3D-4FE5-6F0B-9EBB715C18C2}"/>
            </a:ext>
          </a:extLst>
        </xdr:cNvPr>
        <xdr:cNvSpPr/>
      </xdr:nvSpPr>
      <xdr:spPr>
        <a:xfrm>
          <a:off x="296332" y="322792"/>
          <a:ext cx="6551085" cy="710141"/>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a:solidFill>
                <a:schemeClr val="accent1">
                  <a:lumMod val="75000"/>
                </a:schemeClr>
              </a:solidFill>
            </a:rPr>
            <a:t>         </a:t>
          </a:r>
          <a:r>
            <a:rPr lang="en-US" sz="2800" b="1">
              <a:solidFill>
                <a:srgbClr val="050D51"/>
              </a:solidFill>
            </a:rPr>
            <a:t>GCC LIMITED'S SALES DASHBOARD</a:t>
          </a:r>
          <a:endParaRPr lang="en-US" sz="3600" b="1">
            <a:solidFill>
              <a:srgbClr val="050D51"/>
            </a:solidFill>
          </a:endParaRPr>
        </a:p>
      </xdr:txBody>
    </xdr:sp>
    <xdr:clientData/>
  </xdr:twoCellAnchor>
  <xdr:twoCellAnchor editAs="oneCell">
    <xdr:from>
      <xdr:col>0</xdr:col>
      <xdr:colOff>508000</xdr:colOff>
      <xdr:row>2</xdr:row>
      <xdr:rowOff>50800</xdr:rowOff>
    </xdr:from>
    <xdr:to>
      <xdr:col>1</xdr:col>
      <xdr:colOff>422275</xdr:colOff>
      <xdr:row>5</xdr:row>
      <xdr:rowOff>69850</xdr:rowOff>
    </xdr:to>
    <xdr:pic>
      <xdr:nvPicPr>
        <xdr:cNvPr id="6" name="Graphic 5" descr="Shopping cart with solid fill">
          <a:extLst>
            <a:ext uri="{FF2B5EF4-FFF2-40B4-BE49-F238E27FC236}">
              <a16:creationId xmlns:a16="http://schemas.microsoft.com/office/drawing/2014/main" id="{0EBD6585-B169-E899-B270-B7C9E25F0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8000" y="410633"/>
          <a:ext cx="559858" cy="558800"/>
        </a:xfrm>
        <a:prstGeom prst="rect">
          <a:avLst/>
        </a:prstGeom>
      </xdr:spPr>
    </xdr:pic>
    <xdr:clientData/>
  </xdr:twoCellAnchor>
  <xdr:twoCellAnchor>
    <xdr:from>
      <xdr:col>10</xdr:col>
      <xdr:colOff>486834</xdr:colOff>
      <xdr:row>1</xdr:row>
      <xdr:rowOff>128588</xdr:rowOff>
    </xdr:from>
    <xdr:to>
      <xdr:col>13</xdr:col>
      <xdr:colOff>33338</xdr:colOff>
      <xdr:row>5</xdr:row>
      <xdr:rowOff>150811</xdr:rowOff>
    </xdr:to>
    <xdr:sp macro="" textlink="">
      <xdr:nvSpPr>
        <xdr:cNvPr id="7" name="Rectangle: Rounded Corners 6">
          <a:extLst>
            <a:ext uri="{FF2B5EF4-FFF2-40B4-BE49-F238E27FC236}">
              <a16:creationId xmlns:a16="http://schemas.microsoft.com/office/drawing/2014/main" id="{E14C250E-D6B7-DE47-C342-F4FAFD798DC3}"/>
            </a:ext>
          </a:extLst>
        </xdr:cNvPr>
        <xdr:cNvSpPr/>
      </xdr:nvSpPr>
      <xdr:spPr>
        <a:xfrm>
          <a:off x="6942667" y="308505"/>
          <a:ext cx="1483254" cy="74188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106363</xdr:colOff>
      <xdr:row>1</xdr:row>
      <xdr:rowOff>122238</xdr:rowOff>
    </xdr:from>
    <xdr:to>
      <xdr:col>15</xdr:col>
      <xdr:colOff>358775</xdr:colOff>
      <xdr:row>5</xdr:row>
      <xdr:rowOff>138114</xdr:rowOff>
    </xdr:to>
    <xdr:sp macro="" textlink="">
      <xdr:nvSpPr>
        <xdr:cNvPr id="8" name="Rectangle: Rounded Corners 7">
          <a:extLst>
            <a:ext uri="{FF2B5EF4-FFF2-40B4-BE49-F238E27FC236}">
              <a16:creationId xmlns:a16="http://schemas.microsoft.com/office/drawing/2014/main" id="{61FCF30C-BEFD-4DD2-A334-342801891CE6}"/>
            </a:ext>
          </a:extLst>
        </xdr:cNvPr>
        <xdr:cNvSpPr/>
      </xdr:nvSpPr>
      <xdr:spPr>
        <a:xfrm>
          <a:off x="8526463" y="303213"/>
          <a:ext cx="1547812" cy="739776"/>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rgbClr val="050D51"/>
              </a:solidFill>
              <a:effectLst/>
              <a:latin typeface="+mn-lt"/>
              <a:ea typeface="+mn-ea"/>
              <a:cs typeface="+mn-cs"/>
            </a:rPr>
            <a:t>AVERAGE</a:t>
          </a:r>
          <a:r>
            <a:rPr lang="en-US" sz="1500" b="1">
              <a:solidFill>
                <a:srgbClr val="050D51"/>
              </a:solidFill>
              <a:effectLst/>
              <a:latin typeface="+mn-lt"/>
              <a:ea typeface="+mn-ea"/>
              <a:cs typeface="+mn-cs"/>
            </a:rPr>
            <a:t> SALE</a:t>
          </a:r>
          <a:endParaRPr lang="en-US" sz="1500">
            <a:solidFill>
              <a:srgbClr val="050D51"/>
            </a:solidFill>
            <a:effectLst/>
          </a:endParaRPr>
        </a:p>
        <a:p>
          <a:pPr algn="l"/>
          <a:endParaRPr lang="en-US" sz="1100"/>
        </a:p>
      </xdr:txBody>
    </xdr:sp>
    <xdr:clientData/>
  </xdr:twoCellAnchor>
  <xdr:oneCellAnchor>
    <xdr:from>
      <xdr:col>10</xdr:col>
      <xdr:colOff>557212</xdr:colOff>
      <xdr:row>2</xdr:row>
      <xdr:rowOff>95250</xdr:rowOff>
    </xdr:from>
    <xdr:ext cx="1323975" cy="606190"/>
    <xdr:sp macro="" textlink="Total_Sales">
      <xdr:nvSpPr>
        <xdr:cNvPr id="12" name="TextBox 11">
          <a:extLst>
            <a:ext uri="{FF2B5EF4-FFF2-40B4-BE49-F238E27FC236}">
              <a16:creationId xmlns:a16="http://schemas.microsoft.com/office/drawing/2014/main" id="{3B16FDD2-DD08-D8B9-4580-A5DF28FFA59F}"/>
            </a:ext>
          </a:extLst>
        </xdr:cNvPr>
        <xdr:cNvSpPr txBox="1"/>
      </xdr:nvSpPr>
      <xdr:spPr>
        <a:xfrm>
          <a:off x="7034212" y="457200"/>
          <a:ext cx="1323975" cy="6061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CB3930D-2150-48BB-B8BF-3B460949B132}" type="TxLink">
            <a:rPr lang="en-US" sz="1400" b="1" i="0" u="none" strike="noStrike">
              <a:solidFill>
                <a:srgbClr val="050D51"/>
              </a:solidFill>
              <a:latin typeface="Calibri"/>
              <a:ea typeface="Calibri"/>
              <a:cs typeface="Calibri"/>
            </a:rPr>
            <a:pPr/>
            <a:t> $39,642,220.81 </a:t>
          </a:fld>
          <a:endParaRPr lang="en-US" sz="1400">
            <a:solidFill>
              <a:srgbClr val="050D51"/>
            </a:solidFill>
          </a:endParaRPr>
        </a:p>
      </xdr:txBody>
    </xdr:sp>
    <xdr:clientData/>
  </xdr:oneCellAnchor>
  <xdr:oneCellAnchor>
    <xdr:from>
      <xdr:col>11</xdr:col>
      <xdr:colOff>19579</xdr:colOff>
      <xdr:row>1</xdr:row>
      <xdr:rowOff>175154</xdr:rowOff>
    </xdr:from>
    <xdr:ext cx="1366839" cy="338137"/>
    <xdr:sp macro="" textlink="">
      <xdr:nvSpPr>
        <xdr:cNvPr id="13" name="TextBox 12">
          <a:extLst>
            <a:ext uri="{FF2B5EF4-FFF2-40B4-BE49-F238E27FC236}">
              <a16:creationId xmlns:a16="http://schemas.microsoft.com/office/drawing/2014/main" id="{7A4870EA-36D3-37C4-02E0-FE6670A59391}"/>
            </a:ext>
          </a:extLst>
        </xdr:cNvPr>
        <xdr:cNvSpPr txBox="1"/>
      </xdr:nvSpPr>
      <xdr:spPr>
        <a:xfrm>
          <a:off x="7120996" y="355071"/>
          <a:ext cx="1366839" cy="338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t>TOTAL SALES</a:t>
          </a:r>
        </a:p>
      </xdr:txBody>
    </xdr:sp>
    <xdr:clientData/>
  </xdr:oneCellAnchor>
  <xdr:twoCellAnchor>
    <xdr:from>
      <xdr:col>15</xdr:col>
      <xdr:colOff>431800</xdr:colOff>
      <xdr:row>1</xdr:row>
      <xdr:rowOff>114300</xdr:rowOff>
    </xdr:from>
    <xdr:to>
      <xdr:col>18</xdr:col>
      <xdr:colOff>74612</xdr:colOff>
      <xdr:row>5</xdr:row>
      <xdr:rowOff>128588</xdr:rowOff>
    </xdr:to>
    <xdr:sp macro="" textlink="">
      <xdr:nvSpPr>
        <xdr:cNvPr id="15" name="Rectangle: Rounded Corners 14">
          <a:extLst>
            <a:ext uri="{FF2B5EF4-FFF2-40B4-BE49-F238E27FC236}">
              <a16:creationId xmlns:a16="http://schemas.microsoft.com/office/drawing/2014/main" id="{B5DCFBF7-CB90-6F76-336D-F12B3997F038}"/>
            </a:ext>
          </a:extLst>
        </xdr:cNvPr>
        <xdr:cNvSpPr/>
      </xdr:nvSpPr>
      <xdr:spPr>
        <a:xfrm>
          <a:off x="10115550" y="294217"/>
          <a:ext cx="1579562" cy="73395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rgbClr val="050D51"/>
              </a:solidFill>
              <a:effectLst/>
              <a:latin typeface="+mn-lt"/>
              <a:ea typeface="+mn-ea"/>
              <a:cs typeface="+mn-cs"/>
            </a:rPr>
            <a:t>MAXIMUM SALE</a:t>
          </a:r>
        </a:p>
      </xdr:txBody>
    </xdr:sp>
    <xdr:clientData/>
  </xdr:twoCellAnchor>
  <xdr:twoCellAnchor>
    <xdr:from>
      <xdr:col>18</xdr:col>
      <xdr:colOff>147638</xdr:colOff>
      <xdr:row>1</xdr:row>
      <xdr:rowOff>142875</xdr:rowOff>
    </xdr:from>
    <xdr:to>
      <xdr:col>20</xdr:col>
      <xdr:colOff>407458</xdr:colOff>
      <xdr:row>5</xdr:row>
      <xdr:rowOff>133351</xdr:rowOff>
    </xdr:to>
    <xdr:sp macro="" textlink="">
      <xdr:nvSpPr>
        <xdr:cNvPr id="16" name="Rectangle: Rounded Corners 15">
          <a:extLst>
            <a:ext uri="{FF2B5EF4-FFF2-40B4-BE49-F238E27FC236}">
              <a16:creationId xmlns:a16="http://schemas.microsoft.com/office/drawing/2014/main" id="{E3B225AD-1322-85F6-EE9A-62611C28FCA4}"/>
            </a:ext>
          </a:extLst>
        </xdr:cNvPr>
        <xdr:cNvSpPr/>
      </xdr:nvSpPr>
      <xdr:spPr>
        <a:xfrm>
          <a:off x="11768138" y="322792"/>
          <a:ext cx="1550987" cy="71014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050D51"/>
              </a:solidFill>
              <a:effectLst/>
              <a:latin typeface="+mn-lt"/>
              <a:ea typeface="+mn-ea"/>
              <a:cs typeface="+mn-cs"/>
            </a:rPr>
            <a:t>MINIMUM</a:t>
          </a:r>
          <a:r>
            <a:rPr lang="en-US" sz="1050"/>
            <a:t> </a:t>
          </a:r>
          <a:r>
            <a:rPr lang="en-US" sz="1400" b="1">
              <a:solidFill>
                <a:srgbClr val="050D51"/>
              </a:solidFill>
              <a:effectLst/>
              <a:latin typeface="+mn-lt"/>
              <a:ea typeface="+mn-ea"/>
              <a:cs typeface="+mn-cs"/>
            </a:rPr>
            <a:t>SALE</a:t>
          </a:r>
        </a:p>
      </xdr:txBody>
    </xdr:sp>
    <xdr:clientData/>
  </xdr:twoCellAnchor>
  <xdr:oneCellAnchor>
    <xdr:from>
      <xdr:col>13</xdr:col>
      <xdr:colOff>309563</xdr:colOff>
      <xdr:row>3</xdr:row>
      <xdr:rowOff>133350</xdr:rowOff>
    </xdr:from>
    <xdr:ext cx="1087990" cy="311496"/>
    <xdr:sp macro="" textlink="Average_Sales">
      <xdr:nvSpPr>
        <xdr:cNvPr id="18" name="TextBox 17">
          <a:extLst>
            <a:ext uri="{FF2B5EF4-FFF2-40B4-BE49-F238E27FC236}">
              <a16:creationId xmlns:a16="http://schemas.microsoft.com/office/drawing/2014/main" id="{AE97E516-AB98-F6FA-EBBF-C3DABAAE156D}"/>
            </a:ext>
          </a:extLst>
        </xdr:cNvPr>
        <xdr:cNvSpPr txBox="1"/>
      </xdr:nvSpPr>
      <xdr:spPr>
        <a:xfrm>
          <a:off x="8729663" y="676275"/>
          <a:ext cx="108799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34FE76F-6B34-43AF-A008-810716FF9807}" type="TxLink">
            <a:rPr lang="en-US" sz="1400" b="1" i="0" u="none" strike="noStrike">
              <a:solidFill>
                <a:srgbClr val="000000"/>
              </a:solidFill>
              <a:latin typeface="Calibri"/>
              <a:ea typeface="Calibri"/>
              <a:cs typeface="Calibri"/>
            </a:rPr>
            <a:pPr/>
            <a:t> $19,751.98 </a:t>
          </a:fld>
          <a:endParaRPr lang="en-US" sz="1400"/>
        </a:p>
      </xdr:txBody>
    </xdr:sp>
    <xdr:clientData/>
  </xdr:oneCellAnchor>
  <xdr:oneCellAnchor>
    <xdr:from>
      <xdr:col>16</xdr:col>
      <xdr:colOff>4763</xdr:colOff>
      <xdr:row>3</xdr:row>
      <xdr:rowOff>142875</xdr:rowOff>
    </xdr:from>
    <xdr:ext cx="1178977" cy="311496"/>
    <xdr:sp macro="" textlink="Maximum_Sale">
      <xdr:nvSpPr>
        <xdr:cNvPr id="19" name="TextBox 18">
          <a:extLst>
            <a:ext uri="{FF2B5EF4-FFF2-40B4-BE49-F238E27FC236}">
              <a16:creationId xmlns:a16="http://schemas.microsoft.com/office/drawing/2014/main" id="{7A80431A-61B5-4C4D-F14D-4520D943A3F1}"/>
            </a:ext>
          </a:extLst>
        </xdr:cNvPr>
        <xdr:cNvSpPr txBox="1"/>
      </xdr:nvSpPr>
      <xdr:spPr>
        <a:xfrm>
          <a:off x="10367963" y="685800"/>
          <a:ext cx="117897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68E0079-9E49-45E4-A36D-8853F25E85FB}" type="TxLink">
            <a:rPr lang="en-US" sz="1400" b="1" i="0" u="none" strike="noStrike">
              <a:solidFill>
                <a:srgbClr val="000000"/>
              </a:solidFill>
              <a:latin typeface="Calibri"/>
              <a:ea typeface="Calibri"/>
              <a:cs typeface="Calibri"/>
            </a:rPr>
            <a:pPr/>
            <a:t> $147,346.65 </a:t>
          </a:fld>
          <a:endParaRPr lang="en-US" sz="1400"/>
        </a:p>
      </xdr:txBody>
    </xdr:sp>
    <xdr:clientData/>
  </xdr:oneCellAnchor>
  <xdr:oneCellAnchor>
    <xdr:from>
      <xdr:col>18</xdr:col>
      <xdr:colOff>581026</xdr:colOff>
      <xdr:row>3</xdr:row>
      <xdr:rowOff>138113</xdr:rowOff>
    </xdr:from>
    <xdr:ext cx="677750" cy="311496"/>
    <xdr:sp macro="" textlink="Minimum_Sale">
      <xdr:nvSpPr>
        <xdr:cNvPr id="20" name="TextBox 19">
          <a:extLst>
            <a:ext uri="{FF2B5EF4-FFF2-40B4-BE49-F238E27FC236}">
              <a16:creationId xmlns:a16="http://schemas.microsoft.com/office/drawing/2014/main" id="{ED31BA61-454D-5153-0915-CCE77E9BDAA4}"/>
            </a:ext>
          </a:extLst>
        </xdr:cNvPr>
        <xdr:cNvSpPr txBox="1"/>
      </xdr:nvSpPr>
      <xdr:spPr>
        <a:xfrm>
          <a:off x="12239626" y="681038"/>
          <a:ext cx="6777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BA25DFF-1E60-4EAA-9422-6D3B944C474F}" type="TxLink">
            <a:rPr lang="en-US" sz="1400" b="1" i="0" u="none" strike="noStrike">
              <a:solidFill>
                <a:srgbClr val="000000"/>
              </a:solidFill>
              <a:latin typeface="Calibri"/>
              <a:ea typeface="Calibri"/>
              <a:cs typeface="Calibri"/>
            </a:rPr>
            <a:pPr/>
            <a:t> $1.48 </a:t>
          </a:fld>
          <a:endParaRPr lang="en-US" sz="1400"/>
        </a:p>
      </xdr:txBody>
    </xdr:sp>
    <xdr:clientData/>
  </xdr:oneCellAnchor>
  <xdr:twoCellAnchor>
    <xdr:from>
      <xdr:col>0</xdr:col>
      <xdr:colOff>376236</xdr:colOff>
      <xdr:row>7</xdr:row>
      <xdr:rowOff>10582</xdr:rowOff>
    </xdr:from>
    <xdr:to>
      <xdr:col>4</xdr:col>
      <xdr:colOff>52916</xdr:colOff>
      <xdr:row>15</xdr:row>
      <xdr:rowOff>174624</xdr:rowOff>
    </xdr:to>
    <xdr:sp macro="" textlink="">
      <xdr:nvSpPr>
        <xdr:cNvPr id="21" name="Rectangle 20">
          <a:extLst>
            <a:ext uri="{FF2B5EF4-FFF2-40B4-BE49-F238E27FC236}">
              <a16:creationId xmlns:a16="http://schemas.microsoft.com/office/drawing/2014/main" id="{176A53F0-92C1-24E2-EE0F-0F05BED9B78E}"/>
            </a:ext>
          </a:extLst>
        </xdr:cNvPr>
        <xdr:cNvSpPr/>
      </xdr:nvSpPr>
      <xdr:spPr>
        <a:xfrm>
          <a:off x="376236" y="1269999"/>
          <a:ext cx="2259013" cy="160337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365126</xdr:colOff>
      <xdr:row>16</xdr:row>
      <xdr:rowOff>153459</xdr:rowOff>
    </xdr:from>
    <xdr:to>
      <xdr:col>4</xdr:col>
      <xdr:colOff>58209</xdr:colOff>
      <xdr:row>24</xdr:row>
      <xdr:rowOff>15875</xdr:rowOff>
    </xdr:to>
    <xdr:sp macro="" textlink="">
      <xdr:nvSpPr>
        <xdr:cNvPr id="24" name="Rectangle 23">
          <a:extLst>
            <a:ext uri="{FF2B5EF4-FFF2-40B4-BE49-F238E27FC236}">
              <a16:creationId xmlns:a16="http://schemas.microsoft.com/office/drawing/2014/main" id="{D2C835A0-26A3-4C7B-8C00-E13E99964EE3}"/>
            </a:ext>
          </a:extLst>
        </xdr:cNvPr>
        <xdr:cNvSpPr/>
      </xdr:nvSpPr>
      <xdr:spPr>
        <a:xfrm>
          <a:off x="365126" y="3032126"/>
          <a:ext cx="2275416" cy="1301749"/>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476252</xdr:colOff>
      <xdr:row>6</xdr:row>
      <xdr:rowOff>140756</xdr:rowOff>
    </xdr:from>
    <xdr:to>
      <xdr:col>20</xdr:col>
      <xdr:colOff>289981</xdr:colOff>
      <xdr:row>33</xdr:row>
      <xdr:rowOff>111125</xdr:rowOff>
    </xdr:to>
    <xdr:sp macro="" textlink="">
      <xdr:nvSpPr>
        <xdr:cNvPr id="28" name="Rectangle: Rounded Corners 27">
          <a:extLst>
            <a:ext uri="{FF2B5EF4-FFF2-40B4-BE49-F238E27FC236}">
              <a16:creationId xmlns:a16="http://schemas.microsoft.com/office/drawing/2014/main" id="{3247AEC8-DB6B-4C42-B4F7-5A721E6BCD81}"/>
            </a:ext>
          </a:extLst>
        </xdr:cNvPr>
        <xdr:cNvSpPr/>
      </xdr:nvSpPr>
      <xdr:spPr>
        <a:xfrm>
          <a:off x="10160002" y="1220256"/>
          <a:ext cx="3041646" cy="482811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370417</xdr:colOff>
      <xdr:row>6</xdr:row>
      <xdr:rowOff>151341</xdr:rowOff>
    </xdr:from>
    <xdr:to>
      <xdr:col>15</xdr:col>
      <xdr:colOff>322792</xdr:colOff>
      <xdr:row>18</xdr:row>
      <xdr:rowOff>68792</xdr:rowOff>
    </xdr:to>
    <xdr:sp macro="" textlink="">
      <xdr:nvSpPr>
        <xdr:cNvPr id="34" name="Rectangle: Rounded Corners 33">
          <a:extLst>
            <a:ext uri="{FF2B5EF4-FFF2-40B4-BE49-F238E27FC236}">
              <a16:creationId xmlns:a16="http://schemas.microsoft.com/office/drawing/2014/main" id="{10B6B988-006B-4AF6-8FC5-07B80210EA3A}"/>
            </a:ext>
          </a:extLst>
        </xdr:cNvPr>
        <xdr:cNvSpPr/>
      </xdr:nvSpPr>
      <xdr:spPr>
        <a:xfrm>
          <a:off x="6826250" y="1230841"/>
          <a:ext cx="3180292" cy="2076451"/>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285751</xdr:colOff>
      <xdr:row>6</xdr:row>
      <xdr:rowOff>168801</xdr:rowOff>
    </xdr:from>
    <xdr:to>
      <xdr:col>10</xdr:col>
      <xdr:colOff>222251</xdr:colOff>
      <xdr:row>18</xdr:row>
      <xdr:rowOff>74082</xdr:rowOff>
    </xdr:to>
    <xdr:sp macro="" textlink="">
      <xdr:nvSpPr>
        <xdr:cNvPr id="35" name="Rectangle: Rounded Corners 34">
          <a:extLst>
            <a:ext uri="{FF2B5EF4-FFF2-40B4-BE49-F238E27FC236}">
              <a16:creationId xmlns:a16="http://schemas.microsoft.com/office/drawing/2014/main" id="{AA8BBC80-6221-47A1-A320-51DE9BBC588B}"/>
            </a:ext>
          </a:extLst>
        </xdr:cNvPr>
        <xdr:cNvSpPr/>
      </xdr:nvSpPr>
      <xdr:spPr>
        <a:xfrm>
          <a:off x="2868084" y="1248301"/>
          <a:ext cx="3810000" cy="2064281"/>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301625</xdr:colOff>
      <xdr:row>18</xdr:row>
      <xdr:rowOff>132292</xdr:rowOff>
    </xdr:from>
    <xdr:to>
      <xdr:col>15</xdr:col>
      <xdr:colOff>365125</xdr:colOff>
      <xdr:row>33</xdr:row>
      <xdr:rowOff>137583</xdr:rowOff>
    </xdr:to>
    <xdr:sp macro="" textlink="">
      <xdr:nvSpPr>
        <xdr:cNvPr id="43" name="Rectangle: Rounded Corners 42">
          <a:extLst>
            <a:ext uri="{FF2B5EF4-FFF2-40B4-BE49-F238E27FC236}">
              <a16:creationId xmlns:a16="http://schemas.microsoft.com/office/drawing/2014/main" id="{E5054EB9-1B77-459E-8D18-DE2762215B8A}"/>
            </a:ext>
          </a:extLst>
        </xdr:cNvPr>
        <xdr:cNvSpPr/>
      </xdr:nvSpPr>
      <xdr:spPr>
        <a:xfrm>
          <a:off x="2883958" y="3370792"/>
          <a:ext cx="7164917" cy="2704041"/>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364068</xdr:colOff>
      <xdr:row>25</xdr:row>
      <xdr:rowOff>63499</xdr:rowOff>
    </xdr:from>
    <xdr:to>
      <xdr:col>4</xdr:col>
      <xdr:colOff>121708</xdr:colOff>
      <xdr:row>33</xdr:row>
      <xdr:rowOff>100541</xdr:rowOff>
    </xdr:to>
    <xdr:sp macro="" textlink="">
      <xdr:nvSpPr>
        <xdr:cNvPr id="47" name="Rectangle 46">
          <a:extLst>
            <a:ext uri="{FF2B5EF4-FFF2-40B4-BE49-F238E27FC236}">
              <a16:creationId xmlns:a16="http://schemas.microsoft.com/office/drawing/2014/main" id="{982048B9-0E13-4A35-85E0-4FA184EF8CE5}"/>
            </a:ext>
          </a:extLst>
        </xdr:cNvPr>
        <xdr:cNvSpPr/>
      </xdr:nvSpPr>
      <xdr:spPr>
        <a:xfrm>
          <a:off x="364068" y="4561416"/>
          <a:ext cx="2339973" cy="147637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402165</xdr:colOff>
      <xdr:row>7</xdr:row>
      <xdr:rowOff>26460</xdr:rowOff>
    </xdr:from>
    <xdr:to>
      <xdr:col>4</xdr:col>
      <xdr:colOff>47626</xdr:colOff>
      <xdr:row>15</xdr:row>
      <xdr:rowOff>164043</xdr:rowOff>
    </xdr:to>
    <mc:AlternateContent xmlns:mc="http://schemas.openxmlformats.org/markup-compatibility/2006" xmlns:a14="http://schemas.microsoft.com/office/drawing/2010/main">
      <mc:Choice Requires="a14">
        <xdr:graphicFrame macro="">
          <xdr:nvGraphicFramePr>
            <xdr:cNvPr id="49" name="Customer Segment 1">
              <a:extLst>
                <a:ext uri="{FF2B5EF4-FFF2-40B4-BE49-F238E27FC236}">
                  <a16:creationId xmlns:a16="http://schemas.microsoft.com/office/drawing/2014/main" id="{E0CDFCF4-E602-4825-94C6-2FE86D226182}"/>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402164" y="1285877"/>
              <a:ext cx="2238375" cy="15769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375710</xdr:colOff>
      <xdr:row>16</xdr:row>
      <xdr:rowOff>174629</xdr:rowOff>
    </xdr:from>
    <xdr:to>
      <xdr:col>4</xdr:col>
      <xdr:colOff>42335</xdr:colOff>
      <xdr:row>23</xdr:row>
      <xdr:rowOff>148170</xdr:rowOff>
    </xdr:to>
    <mc:AlternateContent xmlns:mc="http://schemas.openxmlformats.org/markup-compatibility/2006" xmlns:a14="http://schemas.microsoft.com/office/drawing/2010/main">
      <mc:Choice Requires="a14">
        <xdr:graphicFrame macro="">
          <xdr:nvGraphicFramePr>
            <xdr:cNvPr id="50" name="Product Category 1">
              <a:extLst>
                <a:ext uri="{FF2B5EF4-FFF2-40B4-BE49-F238E27FC236}">
                  <a16:creationId xmlns:a16="http://schemas.microsoft.com/office/drawing/2014/main" id="{DA5DEFB3-485B-44B8-BD40-7F08412A4182}"/>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375709" y="3053296"/>
              <a:ext cx="2291291" cy="1232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359832</xdr:colOff>
      <xdr:row>25</xdr:row>
      <xdr:rowOff>79374</xdr:rowOff>
    </xdr:from>
    <xdr:to>
      <xdr:col>4</xdr:col>
      <xdr:colOff>121709</xdr:colOff>
      <xdr:row>33</xdr:row>
      <xdr:rowOff>89957</xdr:rowOff>
    </xdr:to>
    <mc:AlternateContent xmlns:mc="http://schemas.openxmlformats.org/markup-compatibility/2006" xmlns:tsle="http://schemas.microsoft.com/office/drawing/2012/timeslicer">
      <mc:Choice Requires="tsle">
        <xdr:graphicFrame macro="">
          <xdr:nvGraphicFramePr>
            <xdr:cNvPr id="51" name="Order Date 2">
              <a:extLst>
                <a:ext uri="{FF2B5EF4-FFF2-40B4-BE49-F238E27FC236}">
                  <a16:creationId xmlns:a16="http://schemas.microsoft.com/office/drawing/2014/main" id="{53DF0A1C-D23B-44C8-91B1-9C32D1F91B87}"/>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359832" y="4577291"/>
              <a:ext cx="2344210" cy="144991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216955</xdr:colOff>
      <xdr:row>7</xdr:row>
      <xdr:rowOff>41803</xdr:rowOff>
    </xdr:from>
    <xdr:to>
      <xdr:col>10</xdr:col>
      <xdr:colOff>95247</xdr:colOff>
      <xdr:row>17</xdr:row>
      <xdr:rowOff>84667</xdr:rowOff>
    </xdr:to>
    <xdr:graphicFrame macro="">
      <xdr:nvGraphicFramePr>
        <xdr:cNvPr id="52" name="Chart 51">
          <a:extLst>
            <a:ext uri="{FF2B5EF4-FFF2-40B4-BE49-F238E27FC236}">
              <a16:creationId xmlns:a16="http://schemas.microsoft.com/office/drawing/2014/main" id="{AAF5997A-B959-4FFC-947D-D5AA76DC0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351898</xdr:colOff>
      <xdr:row>7</xdr:row>
      <xdr:rowOff>34924</xdr:rowOff>
    </xdr:from>
    <xdr:to>
      <xdr:col>15</xdr:col>
      <xdr:colOff>391584</xdr:colOff>
      <xdr:row>18</xdr:row>
      <xdr:rowOff>68792</xdr:rowOff>
    </xdr:to>
    <xdr:graphicFrame macro="">
      <xdr:nvGraphicFramePr>
        <xdr:cNvPr id="53" name="Chart 52">
          <a:extLst>
            <a:ext uri="{FF2B5EF4-FFF2-40B4-BE49-F238E27FC236}">
              <a16:creationId xmlns:a16="http://schemas.microsoft.com/office/drawing/2014/main" id="{F912C9DB-E403-42C8-86BF-E861D2E9F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396876</xdr:colOff>
      <xdr:row>19</xdr:row>
      <xdr:rowOff>74084</xdr:rowOff>
    </xdr:from>
    <xdr:to>
      <xdr:col>15</xdr:col>
      <xdr:colOff>201083</xdr:colOff>
      <xdr:row>33</xdr:row>
      <xdr:rowOff>21167</xdr:rowOff>
    </xdr:to>
    <xdr:graphicFrame macro="">
      <xdr:nvGraphicFramePr>
        <xdr:cNvPr id="54" name="Chart 53">
          <a:extLst>
            <a:ext uri="{FF2B5EF4-FFF2-40B4-BE49-F238E27FC236}">
              <a16:creationId xmlns:a16="http://schemas.microsoft.com/office/drawing/2014/main" id="{BA7AE5A0-8C4A-430A-9A6C-3A32ABE77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492124</xdr:colOff>
      <xdr:row>6</xdr:row>
      <xdr:rowOff>164041</xdr:rowOff>
    </xdr:from>
    <xdr:to>
      <xdr:col>20</xdr:col>
      <xdr:colOff>333374</xdr:colOff>
      <xdr:row>33</xdr:row>
      <xdr:rowOff>63500</xdr:rowOff>
    </xdr:to>
    <xdr:graphicFrame macro="">
      <xdr:nvGraphicFramePr>
        <xdr:cNvPr id="4" name="Chart 3">
          <a:extLst>
            <a:ext uri="{FF2B5EF4-FFF2-40B4-BE49-F238E27FC236}">
              <a16:creationId xmlns:a16="http://schemas.microsoft.com/office/drawing/2014/main" id="{7F9087B6-64E5-4E3A-9889-BFF8D1694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22</xdr:col>
      <xdr:colOff>190500</xdr:colOff>
      <xdr:row>20</xdr:row>
      <xdr:rowOff>164042</xdr:rowOff>
    </xdr:from>
    <xdr:ext cx="184731" cy="264560"/>
    <xdr:sp macro="" textlink="">
      <xdr:nvSpPr>
        <xdr:cNvPr id="17" name="TextBox 16">
          <a:extLst>
            <a:ext uri="{FF2B5EF4-FFF2-40B4-BE49-F238E27FC236}">
              <a16:creationId xmlns:a16="http://schemas.microsoft.com/office/drawing/2014/main" id="{088273D3-30AB-0D45-D58E-723177E60B54}"/>
            </a:ext>
          </a:extLst>
        </xdr:cNvPr>
        <xdr:cNvSpPr txBox="1"/>
      </xdr:nvSpPr>
      <xdr:spPr>
        <a:xfrm>
          <a:off x="14393333" y="3762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solidFill>
              <a:schemeClr val="accent6">
                <a:lumMod val="75000"/>
              </a:schemeClr>
            </a:solidFill>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3.759391435182" backgroundQuery="1" createdVersion="8" refreshedVersion="8" minRefreshableVersion="3" recordCount="0" supportSubquery="1" supportAdvancedDrill="1" xr:uid="{95C0511C-B00A-4D05-AE20-5D02CCA9DF84}">
  <cacheSource type="external" connectionId="1"/>
  <cacheFields count="2">
    <cacheField name="[Measures].[Sum of Sales]" caption="Sum of Sales" numFmtId="0" hierarchy="13" level="32767"/>
    <cacheField name="[Table1].[Customer Segment].[Customer Segment]" caption="Customer Segment" numFmtId="0" hierarchy="9" level="1">
      <sharedItems containsSemiMixedTypes="0" containsNonDate="0" containsString="0"/>
    </cacheField>
  </cacheFields>
  <cacheHierarchies count="19">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Order Date)]" caption="Year(Order Date)" attribute="1" defaultMemberUniqueName="[Table1].[Year(Order Date)].[All]" allUniqueName="[Table1].[Year(Order Date)].[All]" dimensionUniqueName="[Table1]" displayFolder="" count="0" memberValueDatatype="130" unbalanced="0"/>
    <cacheHierarchy uniqueName="[Table1].[Month(Order Date)]" caption="Month(Order Date)" attribute="1" defaultMemberUniqueName="[Table1].[Month(Order Date)].[All]" allUniqueName="[Table1].[Month(Order Dat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Quantity]" caption="Order Quantity" attribute="1" defaultMemberUniqueName="[Table1].[Order Quantity].[All]" allUniqueName="[Table1].[Order 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 Mode]" caption="Ship Mode" attribute="1" defaultMemberUniqueName="[Table1].[Ship Mode].[All]" allUniqueName="[Table1].[Ship Mode].[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2" memberValueDatatype="130" unbalanced="0">
      <fieldsUsage count="2">
        <fieldUsage x="-1"/>
        <fieldUsage x="1"/>
      </fieldsUsage>
    </cacheHierarchy>
    <cacheHierarchy uniqueName="[Table1].[Product Category]" caption="Product Category" attribute="1" defaultMemberUniqueName="[Table1].[Product Category].[All]" allUniqueName="[Table1].[Product Catego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8"/>
        </ext>
      </extLst>
    </cacheHierarchy>
    <cacheHierarchy uniqueName="[Measures].[Count of Year(Order Date)]" caption="Count of Year(Order Date)" measure="1" displayFolder="" measureGroup="Table1" count="0" hidden="1">
      <extLst>
        <ext xmlns:x15="http://schemas.microsoft.com/office/spreadsheetml/2010/11/main" uri="{B97F6D7D-B522-45F9-BDA1-12C45D357490}">
          <x15:cacheHierarchy aggregatedColumn="2"/>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3.759393402775" backgroundQuery="1" createdVersion="8" refreshedVersion="8" minRefreshableVersion="3" recordCount="0" supportSubquery="1" supportAdvancedDrill="1" xr:uid="{6AB2D543-850E-4FDD-97F2-F2FD2CD5F8D9}">
  <cacheSource type="external" connectionId="1"/>
  <cacheFields count="4">
    <cacheField name="[Measures].[Sum of Sales]" caption="Sum of Sales" numFmtId="0" hierarchy="13" level="32767"/>
    <cacheField name="[Table1].[Year(Order Date)].[Year(Order Date)]" caption="Year(Order Date)" numFmtId="0" hierarchy="2" level="1">
      <sharedItems count="5">
        <s v="2019"/>
        <s v="2020"/>
        <s v="2021"/>
        <s v="2022"/>
        <s v="2023"/>
      </sharedItems>
    </cacheField>
    <cacheField name="[Table1].[Order Date].[Order Date]" caption="Order Date" numFmtId="0" hierarchy="1" level="1">
      <sharedItems containsSemiMixedTypes="0" containsNonDate="0" containsString="0"/>
    </cacheField>
    <cacheField name="[Table1].[Customer Segment].[Customer Segment]" caption="Customer Segment" numFmtId="0" hierarchy="9" level="1">
      <sharedItems containsSemiMixedTypes="0" containsNonDate="0" containsString="0"/>
    </cacheField>
  </cacheFields>
  <cacheHierarchies count="19">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2"/>
      </fieldsUsage>
    </cacheHierarchy>
    <cacheHierarchy uniqueName="[Table1].[Year(Order Date)]" caption="Year(Order Date)" attribute="1" defaultMemberUniqueName="[Table1].[Year(Order Date)].[All]" allUniqueName="[Table1].[Year(Order Date)].[All]" dimensionUniqueName="[Table1]" displayFolder="" count="2" memberValueDatatype="130" unbalanced="0">
      <fieldsUsage count="2">
        <fieldUsage x="-1"/>
        <fieldUsage x="1"/>
      </fieldsUsage>
    </cacheHierarchy>
    <cacheHierarchy uniqueName="[Table1].[Month(Order Date)]" caption="Month(Order Date)" attribute="1" defaultMemberUniqueName="[Table1].[Month(Order Date)].[All]" allUniqueName="[Table1].[Month(Order Dat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Quantity]" caption="Order Quantity" attribute="1" defaultMemberUniqueName="[Table1].[Order Quantity].[All]" allUniqueName="[Table1].[Order 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 Mode]" caption="Ship Mode" attribute="1" defaultMemberUniqueName="[Table1].[Ship Mode].[All]" allUniqueName="[Table1].[Ship Mode].[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2" memberValueDatatype="130" unbalanced="0">
      <fieldsUsage count="2">
        <fieldUsage x="-1"/>
        <fieldUsage x="3"/>
      </fieldsUsage>
    </cacheHierarchy>
    <cacheHierarchy uniqueName="[Table1].[Product Category]" caption="Product Category" attribute="1" defaultMemberUniqueName="[Table1].[Product Category].[All]" allUniqueName="[Table1].[Product Category].[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8"/>
        </ext>
      </extLst>
    </cacheHierarchy>
    <cacheHierarchy uniqueName="[Measures].[Count of Year(Order Date)]" caption="Count of Year(Order Date)" measure="1" displayFolder="" measureGroup="Table1" count="0" hidden="1">
      <extLst>
        <ext xmlns:x15="http://schemas.microsoft.com/office/spreadsheetml/2010/11/main" uri="{B97F6D7D-B522-45F9-BDA1-12C45D357490}">
          <x15:cacheHierarchy aggregatedColumn="2"/>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3.761035763891" backgroundQuery="1" createdVersion="8" refreshedVersion="8" minRefreshableVersion="3" recordCount="0" supportSubquery="1" supportAdvancedDrill="1" xr:uid="{39CBB725-4581-4FC0-ADB7-7EE82CDD4DAF}">
  <cacheSource type="external" connectionId="1"/>
  <cacheFields count="3">
    <cacheField name="[Measures].[Sum of Sales]" caption="Sum of Sales" numFmtId="0" hierarchy="13" level="32767"/>
    <cacheField name="[Table1].[Month(Order Date)].[Month(Order Date)]" caption="Month(Order Date)" numFmtId="0" hierarchy="3" level="1">
      <sharedItems count="12">
        <s v="April"/>
        <s v="August"/>
        <s v="December"/>
        <s v="February"/>
        <s v="January"/>
        <s v="July"/>
        <s v="June"/>
        <s v="March"/>
        <s v="May"/>
        <s v="November"/>
        <s v="October"/>
        <s v="September"/>
      </sharedItems>
    </cacheField>
    <cacheField name="[Table1].[Ship Mode].[Ship Mode]" caption="Ship Mode" numFmtId="0" hierarchy="7" level="1">
      <sharedItems count="4">
        <s v="Delivery Truck"/>
        <s v="Express Air"/>
        <s v="Regular Air"/>
        <s v="Standard Class"/>
      </sharedItems>
    </cacheField>
  </cacheFields>
  <cacheHierarchies count="19">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Order Date)]" caption="Year(Order Date)" attribute="1" defaultMemberUniqueName="[Table1].[Year(Order Date)].[All]" allUniqueName="[Table1].[Year(Order Date)].[All]" dimensionUniqueName="[Table1]" displayFolder="" count="2" memberValueDatatype="130" unbalanced="0"/>
    <cacheHierarchy uniqueName="[Table1].[Month(Order Date)]" caption="Month(Order Date)" attribute="1" defaultMemberUniqueName="[Table1].[Month(Order Date)].[All]" allUniqueName="[Table1].[Month(Order Date)].[All]" dimensionUniqueName="[Table1]" displayFolder="" count="2" memberValueDatatype="130" unbalanced="0">
      <fieldsUsage count="2">
        <fieldUsage x="-1"/>
        <fieldUsage x="1"/>
      </fieldsUsage>
    </cacheHierarchy>
    <cacheHierarchy uniqueName="[Table1].[Sales]" caption="Sales" attribute="1" defaultMemberUniqueName="[Table1].[Sales].[All]" allUniqueName="[Table1].[Sales].[All]" dimensionUniqueName="[Table1]" displayFolder="" count="0" memberValueDatatype="5" unbalanced="0"/>
    <cacheHierarchy uniqueName="[Table1].[Order Quantity]" caption="Order Quantity" attribute="1" defaultMemberUniqueName="[Table1].[Order Quantity].[All]" allUniqueName="[Table1].[Order 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2"/>
      </fieldsUsage>
    </cacheHierarchy>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8"/>
        </ext>
      </extLst>
    </cacheHierarchy>
    <cacheHierarchy uniqueName="[Measures].[Count of Year(Order Date)]" caption="Count of Year(Order Date)" measure="1" displayFolder="" measureGroup="Table1" count="0" hidden="1">
      <extLst>
        <ext xmlns:x15="http://schemas.microsoft.com/office/spreadsheetml/2010/11/main" uri="{B97F6D7D-B522-45F9-BDA1-12C45D357490}">
          <x15:cacheHierarchy aggregatedColumn="2"/>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3.761036458331" backgroundQuery="1" createdVersion="8" refreshedVersion="8" minRefreshableVersion="3" recordCount="0" supportSubquery="1" supportAdvancedDrill="1" xr:uid="{F6057B4F-9AE3-47F7-9DB3-8B48168A504C}">
  <cacheSource type="external" connectionId="1"/>
  <cacheFields count="3">
    <cacheField name="[Measures].[Sum of Sales]" caption="Sum of Sales" numFmtId="0" hierarchy="13" level="32767"/>
    <cacheField name="[Table1].[Year(Order Date)].[Year(Order Date)]" caption="Year(Order Date)" numFmtId="0" hierarchy="2" level="1">
      <sharedItems count="5">
        <s v="2019"/>
        <s v="2020"/>
        <s v="2021"/>
        <s v="2022"/>
        <s v="2023"/>
      </sharedItems>
    </cacheField>
    <cacheField name="[Table1].[Month(Order Date)].[Month(Order Date)]" caption="Month(Order Date)" numFmtId="0" hierarchy="3" level="1">
      <sharedItems count="12">
        <s v="April"/>
        <s v="August"/>
        <s v="December"/>
        <s v="February"/>
        <s v="January"/>
        <s v="July"/>
        <s v="June"/>
        <s v="March"/>
        <s v="May"/>
        <s v="November"/>
        <s v="October"/>
        <s v="September"/>
      </sharedItems>
    </cacheField>
  </cacheFields>
  <cacheHierarchies count="19">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Order Date)]" caption="Year(Order Date)" attribute="1" defaultMemberUniqueName="[Table1].[Year(Order Date)].[All]" allUniqueName="[Table1].[Year(Order Date)].[All]" dimensionUniqueName="[Table1]" displayFolder="" count="2" memberValueDatatype="130" unbalanced="0">
      <fieldsUsage count="2">
        <fieldUsage x="-1"/>
        <fieldUsage x="1"/>
      </fieldsUsage>
    </cacheHierarchy>
    <cacheHierarchy uniqueName="[Table1].[Month(Order Date)]" caption="Month(Order Date)" attribute="1" defaultMemberUniqueName="[Table1].[Month(Order Date)].[All]" allUniqueName="[Table1].[Month(Order Date)].[All]" dimensionUniqueName="[Table1]" displayFolder="" count="2" memberValueDatatype="130" unbalanced="0">
      <fieldsUsage count="2">
        <fieldUsage x="-1"/>
        <fieldUsage x="2"/>
      </fieldsUsage>
    </cacheHierarchy>
    <cacheHierarchy uniqueName="[Table1].[Sales]" caption="Sales" attribute="1" defaultMemberUniqueName="[Table1].[Sales].[All]" allUniqueName="[Table1].[Sales].[All]" dimensionUniqueName="[Table1]" displayFolder="" count="0" memberValueDatatype="5" unbalanced="0"/>
    <cacheHierarchy uniqueName="[Table1].[Order Quantity]" caption="Order Quantity" attribute="1" defaultMemberUniqueName="[Table1].[Order Quantity].[All]" allUniqueName="[Table1].[Order 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 Mode]" caption="Ship Mode" attribute="1" defaultMemberUniqueName="[Table1].[Ship Mode].[All]" allUniqueName="[Table1].[Ship Mode].[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8"/>
        </ext>
      </extLst>
    </cacheHierarchy>
    <cacheHierarchy uniqueName="[Measures].[Count of Year(Order Date)]" caption="Count of Year(Order Date)" measure="1" displayFolder="" measureGroup="Table1" count="0" hidden="1">
      <extLst>
        <ext xmlns:x15="http://schemas.microsoft.com/office/spreadsheetml/2010/11/main" uri="{B97F6D7D-B522-45F9-BDA1-12C45D357490}">
          <x15:cacheHierarchy aggregatedColumn="2"/>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3.761037037038" backgroundQuery="1" createdVersion="8" refreshedVersion="8" minRefreshableVersion="3" recordCount="0" supportSubquery="1" supportAdvancedDrill="1" xr:uid="{DED2F475-0811-4F8E-9808-9D2C835391E8}">
  <cacheSource type="external" connectionId="1"/>
  <cacheFields count="3">
    <cacheField name="[Measures].[Sum of Sales]" caption="Sum of Sales" numFmtId="0" hierarchy="13" level="32767"/>
    <cacheField name="[Table1].[Product Category].[Product Category]" caption="Product Category" numFmtId="0" hierarchy="10" level="1">
      <sharedItems count="3">
        <s v="Furniture"/>
        <s v="Office Supplies"/>
        <s v="Technology"/>
      </sharedItems>
    </cacheField>
    <cacheField name="[Table1].[Year(Order Date)].[Year(Order Date)]" caption="Year(Order Date)" numFmtId="0" hierarchy="2" level="1">
      <sharedItems count="5">
        <s v="2019"/>
        <s v="2020"/>
        <s v="2021"/>
        <s v="2022"/>
        <s v="2023"/>
      </sharedItems>
    </cacheField>
  </cacheFields>
  <cacheHierarchies count="19">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Order Date)]" caption="Year(Order Date)" attribute="1" defaultMemberUniqueName="[Table1].[Year(Order Date)].[All]" allUniqueName="[Table1].[Year(Order Date)].[All]" dimensionUniqueName="[Table1]" displayFolder="" count="2" memberValueDatatype="130" unbalanced="0">
      <fieldsUsage count="2">
        <fieldUsage x="-1"/>
        <fieldUsage x="2"/>
      </fieldsUsage>
    </cacheHierarchy>
    <cacheHierarchy uniqueName="[Table1].[Month(Order Date)]" caption="Month(Order Date)" attribute="1" defaultMemberUniqueName="[Table1].[Month(Order Date)].[All]" allUniqueName="[Table1].[Month(Order Dat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Quantity]" caption="Order Quantity" attribute="1" defaultMemberUniqueName="[Table1].[Order Quantity].[All]" allUniqueName="[Table1].[Order 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 Mode]" caption="Ship Mode" attribute="1" defaultMemberUniqueName="[Table1].[Ship Mode].[All]" allUniqueName="[Table1].[Ship Mode].[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8"/>
        </ext>
      </extLst>
    </cacheHierarchy>
    <cacheHierarchy uniqueName="[Measures].[Count of Year(Order Date)]" caption="Count of Year(Order Date)" measure="1" displayFolder="" measureGroup="Table1" count="0" hidden="1">
      <extLst>
        <ext xmlns:x15="http://schemas.microsoft.com/office/spreadsheetml/2010/11/main" uri="{B97F6D7D-B522-45F9-BDA1-12C45D357490}">
          <x15:cacheHierarchy aggregatedColumn="2"/>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3.761037615739" backgroundQuery="1" createdVersion="8" refreshedVersion="8" minRefreshableVersion="3" recordCount="0" supportSubquery="1" supportAdvancedDrill="1" xr:uid="{90D26178-A352-452E-B101-62F6E7586632}">
  <cacheSource type="external" connectionId="1"/>
  <cacheFields count="4">
    <cacheField name="[Measures].[Sum of Sales]" caption="Sum of Sales" numFmtId="0" hierarchy="13" level="32767"/>
    <cacheField name="[Table1].[Product Category].[Product Category]" caption="Product Category" numFmtId="0" hierarchy="10" level="1">
      <sharedItems count="3">
        <s v="Furniture"/>
        <s v="Office Supplies"/>
        <s v="Technology"/>
      </sharedItems>
    </cacheField>
    <cacheField name="[Table1].[Year(Order Date)].[Year(Order Date)]" caption="Year(Order Date)" numFmtId="0" hierarchy="2" level="1">
      <sharedItems count="5">
        <s v="2020"/>
        <s v="2021"/>
        <s v="2022"/>
        <s v="2023"/>
        <s v="2019"/>
      </sharedItems>
    </cacheField>
    <cacheField name="[Table1].[Month(Order Date)].[Month(Order Date)]" caption="Month(Order Date)" numFmtId="0" hierarchy="3" level="1">
      <sharedItems count="12">
        <s v="April"/>
        <s v="August"/>
        <s v="December"/>
        <s v="February"/>
        <s v="January"/>
        <s v="July"/>
        <s v="June"/>
        <s v="March"/>
        <s v="May"/>
        <s v="November"/>
        <s v="October"/>
        <s v="September"/>
      </sharedItems>
    </cacheField>
  </cacheFields>
  <cacheHierarchies count="19">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Order Date)]" caption="Year(Order Date)" attribute="1" defaultMemberUniqueName="[Table1].[Year(Order Date)].[All]" allUniqueName="[Table1].[Year(Order Date)].[All]" dimensionUniqueName="[Table1]" displayFolder="" count="2" memberValueDatatype="130" unbalanced="0">
      <fieldsUsage count="2">
        <fieldUsage x="-1"/>
        <fieldUsage x="2"/>
      </fieldsUsage>
    </cacheHierarchy>
    <cacheHierarchy uniqueName="[Table1].[Month(Order Date)]" caption="Month(Order Date)" attribute="1" defaultMemberUniqueName="[Table1].[Month(Order Date)].[All]" allUniqueName="[Table1].[Month(Order Date)].[All]" dimensionUniqueName="[Table1]" displayFolder="" count="2" memberValueDatatype="130" unbalanced="0">
      <fieldsUsage count="2">
        <fieldUsage x="-1"/>
        <fieldUsage x="3"/>
      </fieldsUsage>
    </cacheHierarchy>
    <cacheHierarchy uniqueName="[Table1].[Sales]" caption="Sales" attribute="1" defaultMemberUniqueName="[Table1].[Sales].[All]" allUniqueName="[Table1].[Sales].[All]" dimensionUniqueName="[Table1]" displayFolder="" count="0" memberValueDatatype="5" unbalanced="0"/>
    <cacheHierarchy uniqueName="[Table1].[Order Quantity]" caption="Order Quantity" attribute="1" defaultMemberUniqueName="[Table1].[Order Quantity].[All]" allUniqueName="[Table1].[Order 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 Mode]" caption="Ship Mode" attribute="1" defaultMemberUniqueName="[Table1].[Ship Mode].[All]" allUniqueName="[Table1].[Ship Mode].[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8"/>
        </ext>
      </extLst>
    </cacheHierarchy>
    <cacheHierarchy uniqueName="[Measures].[Count of Year(Order Date)]" caption="Count of Year(Order Date)" measure="1" displayFolder="" measureGroup="Table1" count="0" hidden="1">
      <extLst>
        <ext xmlns:x15="http://schemas.microsoft.com/office/spreadsheetml/2010/11/main" uri="{B97F6D7D-B522-45F9-BDA1-12C45D357490}">
          <x15:cacheHierarchy aggregatedColumn="2"/>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3.761038425924" backgroundQuery="1" createdVersion="8" refreshedVersion="8" minRefreshableVersion="3" recordCount="0" supportSubquery="1" supportAdvancedDrill="1" xr:uid="{B641DE4E-579C-4E75-ACEE-042B12136392}">
  <cacheSource type="external" connectionId="1"/>
  <cacheFields count="3">
    <cacheField name="[Table1].[Customer Name].[Customer Name]" caption="Customer Name" numFmtId="0" hierarchy="8" level="1">
      <sharedItems count="1425">
        <s v="Aaron Bergman"/>
        <s v="Aaron Cruz"/>
        <s v="Aaron Gilmore"/>
        <s v="Aaron Smayling"/>
        <s v="Abigail Berry"/>
        <s v="Adam Hart"/>
        <s v="Adam Mckenzie"/>
        <s v="Adam Osborne"/>
        <s v="Adam Shillingsburg"/>
        <s v="Adrian Hane"/>
        <s v="Alan Barnes"/>
        <s v="Alan Davis"/>
        <s v="Alan Dominguez"/>
        <s v="Alan Haines"/>
        <s v="Alan Hwang"/>
        <s v="Alan Schoenberger"/>
        <s v="Alan Shonely"/>
        <s v="Alejandro Grove"/>
        <s v="Aleksandra Gannaway"/>
        <s v="Alex Avila"/>
        <s v="Alex Grayson"/>
        <s v="Alex Peck"/>
        <s v="Alexa Mathis"/>
        <s v="Alexander Santiago"/>
        <s v="Alexandria Johnston"/>
        <s v="Alexis Evans"/>
        <s v="Alice McCarthy"/>
        <s v="Alicia Ramirez MD"/>
        <s v="Alicia Rodriguez PhD"/>
        <s v="Allen Golden"/>
        <s v="Allen Rosenblatt"/>
        <s v="Allison Chen"/>
        <s v="Allison Fowler"/>
        <s v="Alyssa Tate"/>
        <s v="Amanda Arroyo"/>
        <s v="Amanda Cox"/>
        <s v="Amanda Diaz"/>
        <s v="Amanda Garcia"/>
        <s v="Amanda Gray MD"/>
        <s v="Amanda Howell"/>
        <s v="Amanda Johnson"/>
        <s v="Amanda Mcclain"/>
        <s v="Amanda Melton"/>
        <s v="Amanda Rivera"/>
        <s v="Amanda Rodriguez MD"/>
        <s v="Amanda Spence"/>
        <s v="Amber Boyle"/>
        <s v="Amber Fisher"/>
        <s v="Amber Garcia"/>
        <s v="Amber Green"/>
        <s v="Amber Krause"/>
        <s v="Amber Moon"/>
        <s v="Amy Collins"/>
        <s v="Amy Cox DDS"/>
        <s v="Amy Logan"/>
        <s v="Amy Payne"/>
        <s v="Amy Rivera"/>
        <s v="Andre Ramirez"/>
        <s v="Andrea Neal"/>
        <s v="Andrea Shelton"/>
        <s v="Andrew Allen"/>
        <s v="Andrew Gjertsen"/>
        <s v="Andrew Harris"/>
        <s v="Andrew Harvey"/>
        <s v="Andrew Johnson"/>
        <s v="Andrew Martinez"/>
        <s v="Andrew Mccormick"/>
        <s v="Andrew Neal"/>
        <s v="Andrew Parks"/>
        <s v="Andrew Richardson"/>
        <s v="Andy Gerbode"/>
        <s v="Andy Reiter"/>
        <s v="Angel Contreras"/>
        <s v="Angel Reyes"/>
        <s v="Angela Brooks"/>
        <s v="Angela Frank"/>
        <s v="Angela Gibson"/>
        <s v="Angela Hall"/>
        <s v="Angela Hart MD"/>
        <s v="Angela Johnson"/>
        <s v="Angela Kennedy"/>
        <s v="Angela Luna"/>
        <s v="Angela Moore"/>
        <s v="Angela Ramirez"/>
        <s v="Angela Watkins"/>
        <s v="Angela Wong"/>
        <s v="Ann Blume"/>
        <s v="Ann Chong"/>
        <s v="Anna Anderson"/>
        <s v="Anna Andreadi"/>
        <s v="Anna Bowman"/>
        <s v="Anna Carrillo"/>
        <s v="Anna Gayman"/>
        <s v="Anna Haberlin"/>
        <s v="Anne McFarland"/>
        <s v="Anne Miranda"/>
        <s v="Anne Pryor"/>
        <s v="Anne Smith"/>
        <s v="Annette Pope"/>
        <s v="Annie Cyprus"/>
        <s v="Annie Thurman"/>
        <s v="Anthony Cobb"/>
        <s v="Anthony Cox"/>
        <s v="Anthony Davis"/>
        <s v="Anthony Fields"/>
        <s v="Anthony Garverick"/>
        <s v="Anthony Gonzalez"/>
        <s v="Anthony Hartman"/>
        <s v="Anthony O'Donnell"/>
        <s v="Anthony Ray"/>
        <s v="Anthony Rodriguez"/>
        <s v="Anthony Smith"/>
        <s v="Anthony Taylor"/>
        <s v="Anthony Ward"/>
        <s v="Anthony Wilkerson"/>
        <s v="Anthony Witt"/>
        <s v="Antonio Vance"/>
        <s v="April Church"/>
        <s v="Arianne Irving"/>
        <s v="Art Ferguson"/>
        <s v="Art Foster"/>
        <s v="Art Miller"/>
        <s v="Arthur Gainer"/>
        <s v="Arthur Prichep"/>
        <s v="Ashlee Ramirez"/>
        <s v="Ashley Adams"/>
        <s v="Ashley Fischer"/>
        <s v="Ashley Jarboe"/>
        <s v="Ashley Mitchell"/>
        <s v="Astrea Jones"/>
        <s v="Bailey Smith"/>
        <s v="Barbara Collier"/>
        <s v="Barbara Ferrell"/>
        <s v="Barry Franz"/>
        <s v="Barry French"/>
        <s v="Barry Gonzalez"/>
        <s v="Barry Weirich"/>
        <s v="Bart Folk"/>
        <s v="Becky Pak"/>
        <s v="Ben Peterman"/>
        <s v="Ben Wallace"/>
        <s v="Benjamin Carroll"/>
        <s v="Benjamin Larsen"/>
        <s v="Benjamin Venier"/>
        <s v="Benjamin Watson"/>
        <s v="Beth Thompson"/>
        <s v="Beth Weaver"/>
        <s v="Beverly Taylor"/>
        <s v="Bill Eplett"/>
        <s v="Bill Overfelt"/>
        <s v="Bill Shonely"/>
        <s v="Bill Tyler"/>
        <s v="Blake Bennett"/>
        <s v="Blake Brown"/>
        <s v="Bobby Elias"/>
        <s v="Bobby Odegard"/>
        <s v="Bonnie Brown"/>
        <s v="Brad Eason"/>
        <s v="Brad Thomas"/>
        <s v="Bradley Drucker"/>
        <s v="Bradley Frost"/>
        <s v="Bradley Nguyen"/>
        <s v="Brandi Patton"/>
        <s v="Brandon Kane"/>
        <s v="Brandon Martinez"/>
        <s v="Brandon Parks"/>
        <s v="Brandon Ramirez"/>
        <s v="Brandon Rodriguez"/>
        <s v="Brandon Taylor"/>
        <s v="Brenda Bowman"/>
        <s v="Brenda Espinoza"/>
        <s v="Brenda Heath"/>
        <s v="Brenda Kaufman"/>
        <s v="Brenda Lewis"/>
        <s v="Brenda Miller"/>
        <s v="Brenda Mitchell"/>
        <s v="Brenda Taylor"/>
        <s v="Brendan Sweed"/>
        <s v="Brett Strickland"/>
        <s v="Brian Baxter"/>
        <s v="Brian Brown"/>
        <s v="Brian Cervantes"/>
        <s v="Brian Fernandez"/>
        <s v="Brian Gordon"/>
        <s v="Brian Moss"/>
        <s v="Brian Nunez"/>
        <s v="Brian Odonnell"/>
        <s v="Brian Palmer"/>
        <s v="Brian Walters"/>
        <s v="Brian Watson"/>
        <s v="Brian Wolfe"/>
        <s v="Brianna Davis"/>
        <s v="Brianna Ryan"/>
        <s v="Bridget Jimenez"/>
        <s v="Bridget Turner"/>
        <s v="Brittany Mueller"/>
        <s v="Brittany Richards"/>
        <s v="Brooke Gillingham"/>
        <s v="Brooke Hampton"/>
        <s v="Bruce Money"/>
        <s v="Bruce Stewart"/>
        <s v="Bryan Leblanc"/>
        <s v="Bryan Lewis"/>
        <s v="Bryan Morgan"/>
        <s v="Bryan Ruiz Jr."/>
        <s v="Bryan Spruell"/>
        <s v="Bryan Zhang"/>
        <s v="Bryce Bailey"/>
        <s v="Caitlin Archer"/>
        <s v="Caitlin Brown"/>
        <s v="Caitlin Nelson"/>
        <s v="Caitlin Stewart"/>
        <s v="Caitlyn Lin"/>
        <s v="Caleb Carter"/>
        <s v="Calvin Fry"/>
        <s v="Candace McMahon"/>
        <s v="Candice Johnson"/>
        <s v="Cari Sayre"/>
        <s v="Carl Carson"/>
        <s v="Carl Jackson"/>
        <s v="Carl Livingston"/>
        <s v="Carl Ludwig"/>
        <s v="Carl Weiss"/>
        <s v="Carla Perry"/>
        <s v="Carlos Daly"/>
        <s v="Carlos Meador"/>
        <s v="Carlos Soltero"/>
        <s v="Carly Williams"/>
        <s v="Carmen Jackson"/>
        <s v="Carmen Watkins"/>
        <s v="Carol Adams"/>
        <s v="Carol Darley"/>
        <s v="Carol Long"/>
        <s v="Carol Swanson"/>
        <s v="Caroline Jumper"/>
        <s v="Caroline Rojas"/>
        <s v="Carolyn Rivera"/>
        <s v="Cassandra Edwards"/>
        <s v="Cathy Armstrong"/>
        <s v="Cathy Elliott"/>
        <s v="Cathy Mccoy"/>
        <s v="Cathy Rodriguez"/>
        <s v="Cathy Simon"/>
        <s v="Cathy Torres"/>
        <s v="Chad Sievert"/>
        <s v="Chad Smith"/>
        <s v="Chad Yates"/>
        <s v="Charles Crestani"/>
        <s v="Charles Henry"/>
        <s v="Charles Schultz"/>
        <s v="Charles Stephenson"/>
        <s v="Charles Torres"/>
        <s v="Charlotte Reed"/>
        <s v="Chelsea Curry"/>
        <s v="Cheryl Cox"/>
        <s v="Cheryl Munoz"/>
        <s v="Christian Bryant"/>
        <s v="Christian Ford"/>
        <s v="Christian Hunt Jr."/>
        <s v="Christian Rivera"/>
        <s v="Christina Anderson"/>
        <s v="Christina DeMoss"/>
        <s v="Christina Hunter"/>
        <s v="Christina Vanderzanden"/>
        <s v="Christina Woods"/>
        <s v="Christina Zimmerman"/>
        <s v="Christine Abelman"/>
        <s v="Christine Bailey MD"/>
        <s v="Christine Cook"/>
        <s v="Christine Kargatis"/>
        <s v="Christine Reed"/>
        <s v="Christine Rojas"/>
        <s v="Christine Sundaresam"/>
        <s v="Christopher Cross"/>
        <s v="Christopher Fletcher"/>
        <s v="Christopher Kelley"/>
        <s v="Christopher Li"/>
        <s v="Christopher Martinez"/>
        <s v="Christopher Nash"/>
        <s v="Christopher Nelson"/>
        <s v="Christopher Torres"/>
        <s v="Christopher Ward"/>
        <s v="Christopher Wiggins"/>
        <s v="Christy Brittain"/>
        <s v="Christy Hughes"/>
        <s v="Chuck Clark"/>
        <s v="Cindy Bond"/>
        <s v="Cindy Chapman"/>
        <s v="Claudia Miner"/>
        <s v="Clay Cheatham"/>
        <s v="Clay Rozendal"/>
        <s v="Clayton Cochran"/>
        <s v="Clayton Li"/>
        <s v="Clytie Kelty"/>
        <s v="Colleen Dunn"/>
        <s v="Connie Kelly"/>
        <s v="Corey Catlett"/>
        <s v="Corey Johnson"/>
        <s v="Corey Merritt"/>
        <s v="Corinna Mitchell"/>
        <s v="Cory Patterson"/>
        <s v="Courtney Wade"/>
        <s v="Craig Carroll"/>
        <s v="Craig Forbes"/>
        <s v="Craig Yedwab"/>
        <s v="Cristian Arnold"/>
        <s v="Crystal Grimes"/>
        <s v="Crystal Mercado"/>
        <s v="Crystal Ray"/>
        <s v="Crystal Rodgers"/>
        <s v="Cynthia Arntzen"/>
        <s v="Cynthia Brown"/>
        <s v="Cynthia Hernandez"/>
        <s v="Cynthia Mccullough"/>
        <s v="Cynthia Mcgrath"/>
        <s v="Dakota Avila"/>
        <s v="Dale Mayo"/>
        <s v="Damala Kotsonis"/>
        <s v="Dan Campbell"/>
        <s v="Dana Oliver"/>
        <s v="Dana Reilly"/>
        <s v="Daniel Davies"/>
        <s v="Daniel Edwards"/>
        <s v="Daniel Fletcher"/>
        <s v="Daniel Garcia"/>
        <s v="Daniel James"/>
        <s v="Daniel Lacy"/>
        <s v="Daniel Martinez"/>
        <s v="Daniel Mccoy"/>
        <s v="Daniel Pena"/>
        <s v="Daniel Ramirez"/>
        <s v="Daniel Smith"/>
        <s v="Daniel Walters"/>
        <s v="Daniel White"/>
        <s v="Danielle Evans"/>
        <s v="Danielle Ibarra"/>
        <s v="Danielle Poole"/>
        <s v="Danielle Schaefer"/>
        <s v="Danny Gonzalez"/>
        <s v="Dario Medina"/>
        <s v="Darlene Fernandez"/>
        <s v="Darrell Gay"/>
        <s v="Darrell Green"/>
        <s v="Darrell Schroeder"/>
        <s v="Darren Holmes"/>
        <s v="Darren Montgomery"/>
        <s v="Darrin Martin"/>
        <s v="Darrin Van Huff"/>
        <s v="Dave Hallsten"/>
        <s v="Dave Poirier"/>
        <s v="David Bridges"/>
        <s v="David Bryan MD"/>
        <s v="David Burgess"/>
        <s v="David Hansen"/>
        <s v="David Hill"/>
        <s v="David Kendrick"/>
        <s v="David Martin"/>
        <s v="David Miller"/>
        <s v="David Moore"/>
        <s v="David Oneal"/>
        <s v="David Philippe"/>
        <s v="David Powers"/>
        <s v="David Ramirez"/>
        <s v="David Reyes"/>
        <s v="David Spence"/>
        <s v="David Swanson"/>
        <s v="David Thomas"/>
        <s v="David Wiener"/>
        <s v="Dawn Dennis"/>
        <s v="Dawn Golden"/>
        <s v="Dean Katz"/>
        <s v="Dean Pena"/>
        <s v="Dean Percer"/>
        <s v="Dean Torres"/>
        <s v="Deanna Turner"/>
        <s v="Deanra Eno"/>
        <s v="Debbie Adams"/>
        <s v="Deborah Adams"/>
        <s v="Deborah Bridges"/>
        <s v="Deborah Brown"/>
        <s v="Deborah Carter"/>
        <s v="Deborah Gordon"/>
        <s v="Deborah Jones"/>
        <s v="Deborah Kelley"/>
        <s v="Deborah Saunders"/>
        <s v="Debra Brown"/>
        <s v="Debra Gilbert"/>
        <s v="Debra Hampton"/>
        <s v="Debra Wiggins"/>
        <s v="Deirdre Greer"/>
        <s v="Denise Leinenbach"/>
        <s v="Denise Monton"/>
        <s v="Denise Rodriguez"/>
        <s v="Denise Wilson"/>
        <s v="Dennis Armstrong"/>
        <s v="Dennis Bolton"/>
        <s v="Dennis Kane"/>
        <s v="Dennis Little"/>
        <s v="Dennis Nolan"/>
        <s v="Denny Ordway"/>
        <s v="Derek Gamble"/>
        <s v="Derek Garcia"/>
        <s v="Derek Ryan"/>
        <s v="Derrick Brown"/>
        <s v="Derrick Gomez"/>
        <s v="Derrick Johnson"/>
        <s v="Derrick Miller"/>
        <s v="Destiny Atkinson"/>
        <s v="Destiny Davis"/>
        <s v="Devin Booth"/>
        <s v="Devin Rodriguez"/>
        <s v="Diana Brown"/>
        <s v="Diana Jones"/>
        <s v="Diane Zavala"/>
        <s v="Dianna Arnett"/>
        <s v="Don Jones"/>
        <s v="Don Miller"/>
        <s v="Donald Burns"/>
        <s v="Donald Butler"/>
        <s v="Donald Cohen"/>
        <s v="Donald Hale"/>
        <s v="Donald Stewart"/>
        <s v="Donna Case"/>
        <s v="Donna Rogers"/>
        <s v="Dorothy Badders"/>
        <s v="Dorothy Ryan"/>
        <s v="Dorothy Wardle"/>
        <s v="Dorris Love"/>
        <s v="Dr. Cassandra Parker DDS"/>
        <s v="Dr. Christopher Villa"/>
        <s v="Dr. Karen Floyd MD"/>
        <s v="Drew Williams"/>
        <s v="Duane Huffman"/>
        <s v="Dustin Lee"/>
        <s v="Ebony Townsend"/>
        <s v="Ed Braxton"/>
        <s v="Ed Jacobs"/>
        <s v="Ed Ludwig"/>
        <s v="Edward Becker"/>
        <s v="Edward Combs"/>
        <s v="Edward Glover"/>
        <s v="Edward Hooks"/>
        <s v="Edward Lindsey"/>
        <s v="Edward Nazzal"/>
        <s v="Edwin Mann"/>
        <s v="Eileen Kiefer"/>
        <s v="Elizabeth Ford"/>
        <s v="Elizabeth Leach"/>
        <s v="Elizabeth Mendoza"/>
        <s v="Elizabeth Nolan"/>
        <s v="Elizabeth Odom"/>
        <s v="Ellis Ballard"/>
        <s v="Elpida Rittenbach"/>
        <s v="Emily Brown DVM"/>
        <s v="Emily Grady"/>
        <s v="Emily Parker"/>
        <s v="Emily Phan"/>
        <s v="Emily Roberts"/>
        <s v="Emma Jackson"/>
        <s v="Emma Nelson"/>
        <s v="Eric Barreto"/>
        <s v="Eric Fisher"/>
        <s v="Eric Hahn"/>
        <s v="Eric Lawson"/>
        <s v="Eric Mcmahon"/>
        <s v="Eric Murdock"/>
        <s v="Eric Reynolds"/>
        <s v="Eric Rivas"/>
        <s v="Eric Romero"/>
        <s v="Eric Tate"/>
        <s v="Erica Bern"/>
        <s v="Erik Jennings"/>
        <s v="Erika Campbell"/>
        <s v="Erika Evans"/>
        <s v="Erika Goodman"/>
        <s v="Erika Sanchez"/>
        <s v="Erin Ashbrook"/>
        <s v="Erin Carr"/>
        <s v="Erin Creighton"/>
        <s v="Erin Smith"/>
        <s v="Erin Stark"/>
        <s v="Erin Taylor"/>
        <s v="Ethan Taylor"/>
        <s v="Eugene Barchas"/>
        <s v="Eugene Moren"/>
        <s v="Evan Brooks"/>
        <s v="Evan Henry"/>
        <s v="Evan Moreno"/>
        <s v="Evelyn Adams"/>
        <s v="Fernando Henson"/>
        <s v="Filia McAdams"/>
        <s v="Frank Carlisle"/>
        <s v="Frank Gastineau"/>
        <s v="Frank Merwin"/>
        <s v="Frank Price"/>
        <s v="Frank Rodriguez"/>
        <s v="Fred Chung"/>
        <s v="Fred Harton"/>
        <s v="Fred Thompson"/>
        <s v="Frederick Jensen"/>
        <s v="Frederick Williams"/>
        <s v="Gabriel Hamilton"/>
        <s v="Gabriella Bailey MD"/>
        <s v="Gabriella Brown"/>
        <s v="Garrett Riley"/>
        <s v="Gary Adams"/>
        <s v="Gary Gutierrez"/>
        <s v="Gary Hansen"/>
        <s v="Gary McGarr"/>
        <s v="Gary Richard"/>
        <s v="Gary Wade"/>
        <s v="Gary Zandusky"/>
        <s v="Geoffrey Clay"/>
        <s v="George Baker"/>
        <s v="George Nichols"/>
        <s v="George Powell"/>
        <s v="George Villa"/>
        <s v="George Zrebassa"/>
        <s v="Georgia Rosenberg"/>
        <s v="Gerald Stone"/>
        <s v="Gina Rogers"/>
        <s v="Giulietta Baptist"/>
        <s v="Giulietta Dortch"/>
        <s v="Giulietta Weimer"/>
        <s v="Grant Carroll"/>
        <s v="Grant Donatelli"/>
        <s v="Grant Thornton"/>
        <s v="Gregory Durham"/>
        <s v="Gregory Peterson"/>
        <s v="Guy Armstrong"/>
        <s v="Guy Thornton"/>
        <s v="Hailey Daniel"/>
        <s v="Hailey Hernandez"/>
        <s v="Haley Reynolds"/>
        <s v="Hallie Redmond"/>
        <s v="Hannah Barber"/>
        <s v="Hannah Wright"/>
        <s v="Harold Bates"/>
        <s v="Harold Dahlen"/>
        <s v="Harold Davis"/>
        <s v="Harold Engle"/>
        <s v="Harold Ryan"/>
        <s v="Heather Garrett"/>
        <s v="Heather Harris"/>
        <s v="Heather Roberts"/>
        <s v="Heather Watts"/>
        <s v="Heather Williamson"/>
        <s v="Heather Young"/>
        <s v="Hector Christian"/>
        <s v="Hector Hernandez"/>
        <s v="Heidi Moore"/>
        <s v="Heidi Reyes"/>
        <s v="Helen Abelman"/>
        <s v="Helen Andreada"/>
        <s v="Helen Wasserman"/>
        <s v="Henry Bell"/>
        <s v="Henry Freeman"/>
        <s v="Henry Goldwyn"/>
        <s v="Henry MacAllister"/>
        <s v="Herbert Flentye"/>
        <s v="Howard Jackson"/>
        <s v="Ian Barnes"/>
        <s v="Ian Hayes"/>
        <s v="Ian Lopez"/>
        <s v="Ionia McGrath"/>
        <s v="Irene Maddox"/>
        <s v="Jack Garza"/>
        <s v="Jack Kaufman"/>
        <s v="Jack Kim"/>
        <s v="Jack Lebron"/>
        <s v="Jack Miller"/>
        <s v="Jack O'Briant"/>
        <s v="Jackie Santos"/>
        <s v="Jacob Scott"/>
        <s v="Jacqueline Holland"/>
        <s v="Jacqueline Martin"/>
        <s v="Jaime Lopez"/>
        <s v="Jaime Roberts"/>
        <s v="James Adams"/>
        <s v="James Atkins"/>
        <s v="James Campbell MD"/>
        <s v="James Cook"/>
        <s v="James Davis"/>
        <s v="James Dunn"/>
        <s v="James Galang"/>
        <s v="James Gallagher"/>
        <s v="James Lanier"/>
        <s v="James Smith"/>
        <s v="James Williams"/>
        <s v="Jamie Adams"/>
        <s v="Jamie Hull"/>
        <s v="Jamie Rivera"/>
        <s v="Jamie Stevens"/>
        <s v="Jamie Wilson"/>
        <s v="Jane Waco"/>
        <s v="Janet Carrillo"/>
        <s v="Janet Lee"/>
        <s v="Janet Shaffer"/>
        <s v="Janet Vasquez"/>
        <s v="Jared Carter"/>
        <s v="Jared Fleming"/>
        <s v="Jas O'Carroll"/>
        <s v="Jasmin Davis"/>
        <s v="Jasmine Duncan"/>
        <s v="Jasmine Murray"/>
        <s v="Jason Alvarez"/>
        <s v="Jason Barrett"/>
        <s v="Jason Ellis"/>
        <s v="Jason Fleming"/>
        <s v="Jason Mendoza"/>
        <s v="Jason Nichols"/>
        <s v="Jason Sexton"/>
        <s v="Jason Terry"/>
        <s v="Jason Thompson"/>
        <s v="Jasper Cacioppo"/>
        <s v="Jay Fine"/>
        <s v="Jeffery Whitehead"/>
        <s v="Jeffrey Carlson"/>
        <s v="Jeffrey Diaz"/>
        <s v="Jeffrey Doyle"/>
        <s v="Jeffrey Evans"/>
        <s v="Jeffrey Garcia"/>
        <s v="Jeffrey Johnson"/>
        <s v="Jeffrey Lester"/>
        <s v="Jenna Riddle"/>
        <s v="Jenna Santos"/>
        <s v="Jennifer Braxton"/>
        <s v="Jennifer Chandler"/>
        <s v="Jennifer Goodwin"/>
        <s v="Jennifer Halladay"/>
        <s v="Jennifer James"/>
        <s v="Jennifer Miles"/>
        <s v="Jennifer Olson"/>
        <s v="Jennifer Patton"/>
        <s v="Jennifer Richards"/>
        <s v="Jennifer Schultz"/>
        <s v="Jennifer Smith"/>
        <s v="Jennifer Trujillo"/>
        <s v="Jennifer Wright"/>
        <s v="Jenny Jimenez"/>
        <s v="Jeremy Browning"/>
        <s v="Jeremy Ellison"/>
        <s v="Jeremy Long"/>
        <s v="Jeremy Morris"/>
        <s v="Jeremy Ruiz"/>
        <s v="Jeremy Valdez"/>
        <s v="Jerry Carter"/>
        <s v="Jerry Espinoza"/>
        <s v="Jerry Shelton"/>
        <s v="Jerry Smith"/>
        <s v="Jerry Whitaker"/>
        <s v="Jesse Gregory"/>
        <s v="Jesse Smith"/>
        <s v="Jessica Fleming"/>
        <s v="Jessica Foley"/>
        <s v="Jessica Hodges"/>
        <s v="Jessica Jackson"/>
        <s v="Jessica Moore"/>
        <s v="Jessica Myrick"/>
        <s v="Jessica Rivers"/>
        <s v="Jessica Scott"/>
        <s v="Jessica Silva"/>
        <s v="Jesus Calhoun"/>
        <s v="Jesus Mcdonald"/>
        <s v="Jill Fjeld"/>
        <s v="Jill Robinson"/>
        <s v="Jill Walker"/>
        <s v="Jim Epp"/>
        <s v="Jim Kriz"/>
        <s v="Jim Luna"/>
        <s v="Jim Radford"/>
        <s v="Jimmy Carroll"/>
        <s v="Jimmy Skinner"/>
        <s v="Joann Nichols"/>
        <s v="Joe Elijah"/>
        <s v="Joe Kamberova"/>
        <s v="Joe Sanchez"/>
        <s v="Joel Mcneil"/>
        <s v="Joel Webb"/>
        <s v="John Castell"/>
        <s v="John Dryer"/>
        <s v="John Gallagher"/>
        <s v="John Jensen"/>
        <s v="John Jones"/>
        <s v="John Lucas"/>
        <s v="John Mcclure"/>
        <s v="John Smith"/>
        <s v="John Stevenson"/>
        <s v="John Suarez"/>
        <s v="Johnathan Parker"/>
        <s v="Johnny Kirby"/>
        <s v="Johnny Romero"/>
        <s v="Jonathan Cohen"/>
        <s v="Jonathan Doherty"/>
        <s v="Jonathan Hardy"/>
        <s v="Jonathan Mendoza"/>
        <s v="Jonathan Wolf"/>
        <s v="Joni Blumstein"/>
        <s v="Jordan Barnes"/>
        <s v="Jose Gonzalez"/>
        <s v="Jose Stokes"/>
        <s v="Joseph Flores"/>
        <s v="Joseph Franklin"/>
        <s v="Joseph Holt"/>
        <s v="Joseph Morris"/>
        <s v="Joseph Rush"/>
        <s v="Joseph Young"/>
        <s v="Joshua Alvarez"/>
        <s v="Joshua Bell"/>
        <s v="Joshua Hoffman"/>
        <s v="Joshua Payne"/>
        <s v="Joshua Rowland"/>
        <s v="Joshua Stephenson"/>
        <s v="Joy Bell"/>
        <s v="Joyce Aguirre"/>
        <s v="Judy Walters"/>
        <s v="Julia Brown"/>
        <s v="Julia Dunbar"/>
        <s v="Julia Johnson"/>
        <s v="Julia Petty"/>
        <s v="Julia West"/>
        <s v="Julie Creighton"/>
        <s v="Julie Green"/>
        <s v="Julie Hall"/>
        <s v="Julie Harrison"/>
        <s v="Julie Prescott"/>
        <s v="Justin Buck"/>
        <s v="Justin Hines"/>
        <s v="Justin Hirsh"/>
        <s v="Justin Knight"/>
        <s v="Justin Martin"/>
        <s v="Justin Prince"/>
        <s v="Justin Robbins"/>
        <s v="Justin Wells"/>
        <s v="Kara Mcintosh"/>
        <s v="Karen Carlisle"/>
        <s v="Karen Ferguson"/>
        <s v="Karen Jones"/>
        <s v="Karen Perry"/>
        <s v="Karen Smith"/>
        <s v="Karen Sosa"/>
        <s v="Kari Page"/>
        <s v="Karl Brown"/>
        <s v="Katharine Harms"/>
        <s v="Katherine Gomez"/>
        <s v="Katherine Griffin"/>
        <s v="Katherine Murray"/>
        <s v="Katherine Perez"/>
        <s v="Katherine Spencer"/>
        <s v="Katherine Young"/>
        <s v="Kathleen Hernandez"/>
        <s v="Kathleen Montgomery"/>
        <s v="Kathryn Morales"/>
        <s v="Kathryn Munoz"/>
        <s v="Kathy Johnson"/>
        <s v="Katie Copeland"/>
        <s v="Katie Hood"/>
        <s v="Katie Moore"/>
        <s v="Katie Ward"/>
        <s v="Katrina Brady"/>
        <s v="Katrina Snyder"/>
        <s v="Katrina Willman"/>
        <s v="Katrina Young"/>
        <s v="Kayla Aguilar"/>
        <s v="Kayla Melton"/>
        <s v="Kayla Romero"/>
        <s v="Kaylee Brown"/>
        <s v="Kean Nguyen"/>
        <s v="Kean Thornton"/>
        <s v="Keith Dawkins"/>
        <s v="Keith Herrera"/>
        <s v="Keith Price"/>
        <s v="Kelly Andreada"/>
        <s v="Kelly Collister"/>
        <s v="Kelly Espinoza"/>
        <s v="Kelly Gomez"/>
        <s v="Kelly Holt"/>
        <s v="Kelly Lampkin"/>
        <s v="Kelly Williams"/>
        <s v="Kelsey Smith"/>
        <s v="Ken Black"/>
        <s v="Ken Brennan"/>
        <s v="Ken Heidel"/>
        <s v="Kenneth Davis"/>
        <s v="Kenneth Ho Jr."/>
        <s v="Kenneth Obrien"/>
        <s v="Kenneth Perry"/>
        <s v="Kerry Johnson"/>
        <s v="Kevin Cruz DDS"/>
        <s v="Kevin Davis"/>
        <s v="Kevin Hendricks"/>
        <s v="Kevin Williams"/>
        <s v="Kevin Wyatt"/>
        <s v="Khloe Miller"/>
        <s v="Kimberly Bell"/>
        <s v="Kimberly Cannon"/>
        <s v="Kimberly Green"/>
        <s v="Kimberly Martin"/>
        <s v="Kimberly Martinez"/>
        <s v="Kimberly Patrick"/>
        <s v="Kimberly Pierce"/>
        <s v="Kimberly Preston"/>
        <s v="Kimberly Reynolds"/>
        <s v="Kimberly Sanchez"/>
        <s v="Kimberly Woodard"/>
        <s v="Kimberly Wright"/>
        <s v="Kirsten Martinez"/>
        <s v="Kristina Armstrong"/>
        <s v="Kristina Nunn"/>
        <s v="Kristine Lin"/>
        <s v="Kristine Orr PhD"/>
        <s v="Kristy Jefferson"/>
        <s v="Krystal Campbell"/>
        <s v="Kurt Colon"/>
        <s v="Kyle Lambert"/>
        <s v="Kylie Shaffer"/>
        <s v="Larry Conway"/>
        <s v="Latasha Brown"/>
        <s v="Latasha Faulkner"/>
        <s v="Laura Andersen"/>
        <s v="Laura Knight"/>
        <s v="Laura Sims"/>
        <s v="Laura Sparks"/>
        <s v="Lauren Leatherbury"/>
        <s v="Lauren Patterson"/>
        <s v="Lauren Reyes"/>
        <s v="Lauren Yu"/>
        <s v="Lela Donovan"/>
        <s v="Lena Cacioppo"/>
        <s v="Lena Creighton"/>
        <s v="Lena Radford"/>
        <s v="Leslie Anderson"/>
        <s v="Leslie Sullivan"/>
        <s v="Linda Luna"/>
        <s v="Linda Southworth"/>
        <s v="Lindsay Castell"/>
        <s v="Lindsay Perez"/>
        <s v="Lindsay Williams"/>
        <s v="Lindsey Hart DDS"/>
        <s v="Lindsey Miller"/>
        <s v="Lisa Barajas MD"/>
        <s v="Lisa DeCherney"/>
        <s v="Lisa Hazard"/>
        <s v="Lisa Jones"/>
        <s v="Lisa Kennedy"/>
        <s v="Lisa Moore"/>
        <s v="Lisa Rivera"/>
        <s v="Lisa Webster"/>
        <s v="Liz Carlisle"/>
        <s v="Liz MacKendrick"/>
        <s v="Liz Pelletier"/>
        <s v="Liz Price"/>
        <s v="Liz Thompson"/>
        <s v="Liz Willingham"/>
        <s v="Logan Currie"/>
        <s v="Logan Haushalter"/>
        <s v="Lori Bradshaw"/>
        <s v="Lori Lopez"/>
        <s v="Lori Miller"/>
        <s v="Lori Nguyen"/>
        <s v="Lori Olson"/>
        <s v="Lori Thompson"/>
        <s v="Louis Adams"/>
        <s v="Louis Wall"/>
        <s v="Lucas Andrews"/>
        <s v="Luke Coleman"/>
        <s v="Luke Foster"/>
        <s v="Luke Schmidt"/>
        <s v="Lycoris Saunders"/>
        <s v="Lynn Allen"/>
        <s v="Lynn Smith"/>
        <s v="Madeline George"/>
        <s v="Madeline Griffin"/>
        <s v="Makayla Rodriguez"/>
        <s v="Mallory Hall"/>
        <s v="Mallory Thompson"/>
        <s v="Manuel Nguyen"/>
        <s v="Marc Harrigan"/>
        <s v="Marc Soto"/>
        <s v="Marco Blackwell"/>
        <s v="Marcus Perez"/>
        <s v="Margaret Crawford"/>
        <s v="Margaret Scott"/>
        <s v="Margaret Serrano"/>
        <s v="Maria Garcia"/>
        <s v="Maria Zettner"/>
        <s v="Maribeth Dona"/>
        <s v="Maribeth Schnelling"/>
        <s v="Marie Peterson"/>
        <s v="Mario Lewis"/>
        <s v="Marissa Clark"/>
        <s v="Mark Bright"/>
        <s v="Mark Brown"/>
        <s v="Mark Carroll"/>
        <s v="Mark Haberlin"/>
        <s v="Mark Huffman"/>
        <s v="Mark Lopez"/>
        <s v="Mark Mccoy"/>
        <s v="Mark Perkins"/>
        <s v="Mark Roberts"/>
        <s v="Martin Hill"/>
        <s v="Mary Ball"/>
        <s v="Mary Shaw"/>
        <s v="Mary Sherman"/>
        <s v="Mary Stanley"/>
        <s v="Mary White"/>
        <s v="Mathew Medina"/>
        <s v="Mathew Reese"/>
        <s v="Matt Abelman"/>
        <s v="Matt Collins"/>
        <s v="Matt Collister"/>
        <s v="Matthew Alvarez"/>
        <s v="Matthew Anderson"/>
        <s v="Matthew Baker"/>
        <s v="Matthew Branch"/>
        <s v="Matthew Davis"/>
        <s v="Matthew Flores"/>
        <s v="Matthew King"/>
        <s v="Matthew Mcclain"/>
        <s v="Matthew Miller DVM"/>
        <s v="Matthew Myers"/>
        <s v="Matthew Robinson"/>
        <s v="Matthew Smith"/>
        <s v="Matthew Valentine"/>
        <s v="Matthew Williamson"/>
        <s v="Maureen Collins"/>
        <s v="Maureen Fritzler"/>
        <s v="Maureen Gastineau"/>
        <s v="Maurice Satty"/>
        <s v="Max Engle"/>
        <s v="Max Jones"/>
        <s v="Max Ludwig"/>
        <s v="Maxwell Schwartz"/>
        <s v="Meagan Austin"/>
        <s v="Meagan Hill"/>
        <s v="Meg O'Connel"/>
        <s v="Megan Williams"/>
        <s v="Melanie Fernandez"/>
        <s v="Melanie Li MD"/>
        <s v="Melinda Walter"/>
        <s v="Melinda Williams"/>
        <s v="Melissa Braun"/>
        <s v="Melissa Hampton"/>
        <s v="Melissa Huffman"/>
        <s v="Melissa Peterson"/>
        <s v="Melissa Reyes"/>
        <s v="Melissa Spencer"/>
        <s v="Melissa Terry"/>
        <s v="Melissa Thompson"/>
        <s v="Melissa Weaver"/>
        <s v="Melissa White"/>
        <s v="Melissa Zhang"/>
        <s v="Mercedes Allen"/>
        <s v="Mercedes Higgins"/>
        <s v="Meredith Wilson"/>
        <s v="Michael Baker"/>
        <s v="Michael Berg"/>
        <s v="Michael Brandt"/>
        <s v="Michael Dominguez"/>
        <s v="Michael Gonzalez"/>
        <s v="Michael Granlund"/>
        <s v="Michael Hanson"/>
        <s v="Michael Harding"/>
        <s v="Michael Hensley"/>
        <s v="Michael Holden"/>
        <s v="Michael Howard"/>
        <s v="Michael Hunter"/>
        <s v="Michael Kennedy"/>
        <s v="Michael Long"/>
        <s v="Michael May"/>
        <s v="Michael Moore"/>
        <s v="Michael Paige"/>
        <s v="Michael Perez"/>
        <s v="Michael Shields"/>
        <s v="Michael Stewart"/>
        <s v="Michael Young"/>
        <s v="Michele Sharp"/>
        <s v="Michelle Brown"/>
        <s v="Michelle Chen"/>
        <s v="Michelle Dennis"/>
        <s v="Michelle Evans"/>
        <s v="Michelle Hampton"/>
        <s v="Michelle Lonsdale"/>
        <s v="Michelle Short"/>
        <s v="Michelle Tran"/>
        <s v="Michelle Woods"/>
        <s v="Mick Crebagga"/>
        <s v="Miguel Smith"/>
        <s v="Mike Vittorini"/>
        <s v="Miranda Torres"/>
        <s v="Miss Melody Smith"/>
        <s v="Mitch Gastineau"/>
        <s v="Mitch Willingham"/>
        <s v="Molly Davis"/>
        <s v="Monica Federle"/>
        <s v="Monica Gonzalez"/>
        <s v="Monica Johnson"/>
        <s v="Monique Nelson"/>
        <s v="Morgan Gray"/>
        <s v="Morgan Martinez"/>
        <s v="Mr. David Rodriguez"/>
        <s v="Mr. Gary Henson DDS"/>
        <s v="Mr. Larry Doyle"/>
        <s v="Mr. Richard Franklin Jr."/>
        <s v="Mr. Thomas Mack"/>
        <s v="Mr. Timothy Thomas II"/>
        <s v="Mrs. Amy Cox DDS"/>
        <s v="Mrs. Amy Mitchell"/>
        <s v="Mrs. Ann Martin"/>
        <s v="Mrs. Ashley Allen MD"/>
        <s v="Mrs. Jamie Boyd MD"/>
        <s v="Mrs. Jennifer Newman"/>
        <s v="Muhammed Lee"/>
        <s v="Muhammed MacIntyre"/>
        <s v="Muhammed Yedwab"/>
        <s v="Nancy Arnold"/>
        <s v="Nancy Crawford"/>
        <s v="Nancy Glover"/>
        <s v="Nancy Lomonaco"/>
        <s v="Nat Gilpin"/>
        <s v="Natalie Webber"/>
        <s v="Nathan Cano"/>
        <s v="Nathan Christian"/>
        <s v="Nathan Mautz"/>
        <s v="Neil French"/>
        <s v="Neil Knudson"/>
        <s v="Neil Smith"/>
        <s v="Neola Schneider"/>
        <s v="Nicholas Hall"/>
        <s v="Nicholas Horne"/>
        <s v="Nicholas Ramirez"/>
        <s v="Nicholas Smith"/>
        <s v="Nichole Foster"/>
        <s v="Nick Radford"/>
        <s v="Nicole Alvarez"/>
        <s v="Nicole Brennan"/>
        <s v="Nicole Frazier"/>
        <s v="Nicole Hansen"/>
        <s v="Nicole Martinez"/>
        <s v="Nicole Mueller"/>
        <s v="Noah Garcia"/>
        <s v="Noel Staavos"/>
        <s v="Nona Balk"/>
        <s v="Nora Paige"/>
        <s v="Nora Price"/>
        <s v="Odella Nelson"/>
        <s v="Olvera Toch"/>
        <s v="Paige Patton"/>
        <s v="Pamela Carroll"/>
        <s v="Pamela Johnson"/>
        <s v="Pamela Singleton"/>
        <s v="Pamela Stobb"/>
        <s v="Patricia English"/>
        <s v="Patricia Fox"/>
        <s v="Patricia Hayden"/>
        <s v="Patricia Novak"/>
        <s v="Patrick Burnett"/>
        <s v="Patrick Cruz"/>
        <s v="Patrick Jones"/>
        <s v="Patrick Knight"/>
        <s v="Patrick Ryan"/>
        <s v="Paul Gonzalez"/>
        <s v="Paul Howard"/>
        <s v="Paul Knutson"/>
        <s v="Paul Lucas"/>
        <s v="Paul Prost"/>
        <s v="Pauline Chand"/>
        <s v="Penelope Sewall"/>
        <s v="Pete Armstrong"/>
        <s v="Pete Takahito"/>
        <s v="Peter Buhler"/>
        <s v="Peter Fuller"/>
        <s v="Peter Garcia"/>
        <s v="Peter McVee"/>
        <s v="Philip Brown"/>
        <s v="Phillina Ober"/>
        <s v="Phillip Breyer"/>
        <s v="Phillip Flathmann"/>
        <s v="Phillip Nichols"/>
        <s v="Quincy Jones"/>
        <s v="Rachael White"/>
        <s v="Rachel Caldwell"/>
        <s v="Rachel Garcia"/>
        <s v="Rachel Harris"/>
        <s v="Rachel Sanchez"/>
        <s v="Rachel Weeks"/>
        <s v="Ralph Arnett"/>
        <s v="Ralph Kennedy"/>
        <s v="Ralph Knight"/>
        <s v="Randall White"/>
        <s v="Randy Bradley"/>
        <s v="Randy Ferguson"/>
        <s v="Randy Taylor"/>
        <s v="Raymond Book"/>
        <s v="Raymond Carr"/>
        <s v="Raymond Fair"/>
        <s v="Raymond Sweeney"/>
        <s v="Raymond Wright"/>
        <s v="Rebecca Carey"/>
        <s v="Rebecca Freeman"/>
        <s v="Rebecca Rogers"/>
        <s v="Rebecca Spencer"/>
        <s v="Regina Brown"/>
        <s v="Reginald Johnson"/>
        <s v="Rhonda Smith"/>
        <s v="Rhonda Wright"/>
        <s v="Ricardo Block"/>
        <s v="Ricardo Emerson"/>
        <s v="Richard Bennett"/>
        <s v="Richard Eichhorn"/>
        <s v="Richard Kelly"/>
        <s v="Richard Lee"/>
        <s v="Richard Mercado"/>
        <s v="Richard Monroe"/>
        <s v="Richard Murray"/>
        <s v="Richard Porter"/>
        <s v="Rick Hansen"/>
        <s v="Rick Wilson"/>
        <s v="Ricky Khan"/>
        <s v="Ritsa Hightower"/>
        <s v="Rob Dowd"/>
        <s v="Rob Haberlin"/>
        <s v="Rob Lucas"/>
        <s v="Robert Barroso"/>
        <s v="Robert Blanchard"/>
        <s v="Robert Davis"/>
        <s v="Robert Dilbeck"/>
        <s v="Robert Flowers"/>
        <s v="Robert Harris"/>
        <s v="Robert Harrison"/>
        <s v="Robert Jimenez"/>
        <s v="Robert Johnson"/>
        <s v="Robert Kennedy"/>
        <s v="Robert Spears"/>
        <s v="Robert Stanley"/>
        <s v="Robert Stout"/>
        <s v="Robert Swanson"/>
        <s v="Robert Thompson"/>
        <s v="Robert Waldorf"/>
        <s v="Robert Washington"/>
        <s v="Robert Williams"/>
        <s v="Roberto Floyd"/>
        <s v="Roberto Jackson"/>
        <s v="Robin Peck"/>
        <s v="Robin Rivera"/>
        <s v="Rodney Jenkins"/>
        <s v="Roger Barcio"/>
        <s v="Roger Jones"/>
        <s v="Roland Fjeld"/>
        <s v="Ronald Baker"/>
        <s v="Ronald House"/>
        <s v="Ronnie Horne"/>
        <s v="Rose Warren"/>
        <s v="Ross Baird"/>
        <s v="Roy Collins"/>
        <s v="Roy French"/>
        <s v="Roy Phan"/>
        <s v="Roy Skaria"/>
        <s v="Ruben Dartt"/>
        <s v="Ruben Wilkins PhD"/>
        <s v="Russell Collins"/>
        <s v="Ruth Burton"/>
        <s v="Ruth Chandler"/>
        <s v="Ryan Armstrong"/>
        <s v="Ryan Bass"/>
        <s v="Ryan Campbell"/>
        <s v="Ryan Crowe"/>
        <s v="Ryan Cruz"/>
        <s v="Ryan Thompson"/>
        <s v="Sabrina Wade"/>
        <s v="Sally Green"/>
        <s v="Sally Hughsby"/>
        <s v="Sally Matthias"/>
        <s v="Sam Craven"/>
        <s v="Sam Zeldin"/>
        <s v="Samantha Bradford"/>
        <s v="Samantha Cole"/>
        <s v="Samantha French"/>
        <s v="Samantha Mccoy"/>
        <s v="Sample Company A"/>
        <s v="Samuel Fletcher"/>
        <s v="Samuel Gutierrez"/>
        <s v="Samuel Hamilton"/>
        <s v="Samuel Mcmillan"/>
        <s v="Sandra Flanagan"/>
        <s v="Sandra Glassco"/>
        <s v="Sandra Hoffman"/>
        <s v="Sandra Hunter"/>
        <s v="Sandra Hurst"/>
        <s v="Sandra Jackson"/>
        <s v="Sandra Mitchell"/>
        <s v="Sanjit Chand"/>
        <s v="Sanjit Jacobs"/>
        <s v="Sara Chambers"/>
        <s v="Sara Harding"/>
        <s v="Sara Lee"/>
        <s v="Sara Luxemburg"/>
        <s v="Sara Rivera"/>
        <s v="Sara Wallace"/>
        <s v="Sarah Brown"/>
        <s v="Sarah Butler"/>
        <s v="Sarah Gonzalez"/>
        <s v="Sarah Howell"/>
        <s v="Sarah Jacobson"/>
        <s v="Sarah Jordon"/>
        <s v="Sarah Martinez"/>
        <s v="Sarah Munoz"/>
        <s v="Sarah Oneal"/>
        <s v="Sarah Reynolds"/>
        <s v="Sarah Richards"/>
        <s v="Sarah Shannon"/>
        <s v="Sarah Smith"/>
        <s v="Sarah Williams"/>
        <s v="Savannah Hardy"/>
        <s v="Scott Baldwin"/>
        <s v="Scott Cohen"/>
        <s v="Scott Greer"/>
        <s v="Scott Hughes"/>
        <s v="Scott Mcdaniel"/>
        <s v="Scott Smith"/>
        <s v="Scott Williams"/>
        <s v="Scott Williamson"/>
        <s v="Sean Braxton"/>
        <s v="Sean Christensen"/>
        <s v="Sean Miller"/>
        <s v="Sean O'Donnell"/>
        <s v="Sean Smith"/>
        <s v="Sean Stephens"/>
        <s v="Sean Wendt"/>
        <s v="Shahid Hopkins"/>
        <s v="Shahid Shariari"/>
        <s v="Shane Stephens"/>
        <s v="Shannon Galvan"/>
        <s v="Shannon Harrison"/>
        <s v="Shannon Henry"/>
        <s v="Shannon Porter"/>
        <s v="Shannon Shaw"/>
        <s v="Sharon Carter"/>
        <s v="Sharon Lin"/>
        <s v="Sharon Mann"/>
        <s v="Sharon Wood"/>
        <s v="Shaun Weien"/>
        <s v="Sheila Gonzalez"/>
        <s v="Shelia Gonzalez"/>
        <s v="Shelley Griffith"/>
        <s v="Sheri Gordon"/>
        <s v="Sherry Franco"/>
        <s v="Sherry Smith"/>
        <s v="Sherry Turner"/>
        <s v="Shirley Griffith"/>
        <s v="Shirley Jackson"/>
        <s v="Sibella Parks"/>
        <s v="Skye Norling"/>
        <s v="Sonia Cooley"/>
        <s v="Sonia Sunley"/>
        <s v="Sonya Anderson"/>
        <s v="Spencer Woods"/>
        <s v="Stacey Gilbert"/>
        <s v="Stacy Rubio"/>
        <s v="Stacy Wright"/>
        <s v="Stanley Torres"/>
        <s v="Stefania Perrino"/>
        <s v="Stefanie Holloman"/>
        <s v="Stephanie Brown"/>
        <s v="Stephanie Gutierrez"/>
        <s v="Stephanie Martinez"/>
        <s v="Stephanie Morales"/>
        <s v="Stephanie Myers"/>
        <s v="Stephanie Phelps"/>
        <s v="Stephanie Russell"/>
        <s v="Stephanie Ware"/>
        <s v="Stephen Adams"/>
        <s v="Stephen Dennis"/>
        <s v="Stephen Jones"/>
        <s v="Stephen Malone"/>
        <s v="Stephen Smith"/>
        <s v="Steve Burns"/>
        <s v="Steve Carroll"/>
        <s v="Steve Chapman"/>
        <s v="Steve Nguyen"/>
        <s v="Steve Wilson"/>
        <s v="Steven Kennedy"/>
        <s v="Steven Lopez"/>
        <s v="Steven Ward"/>
        <s v="Steven Wilson"/>
        <s v="Stuart Calhoun"/>
        <s v="Stuart Van"/>
        <s v="Sung Chung"/>
        <s v="Sung Pak"/>
        <s v="Sung Shariari"/>
        <s v="Susan Brown"/>
        <s v="Susan Doyle"/>
        <s v="Susan Gilcrest"/>
        <s v="Susan MacKendrick"/>
        <s v="Susan Proctor"/>
        <s v="Susan Sanders"/>
        <s v="Susan Vittorini"/>
        <s v="Suzanne Fischer"/>
        <s v="Suzanne Hunt"/>
        <s v="Sylvia Foulston"/>
        <s v="Sylvia Knapp"/>
        <s v="Tabitha Parsons"/>
        <s v="Tamara Chand"/>
        <s v="Tamara Dahlen"/>
        <s v="Tamara Willingham"/>
        <s v="Tammy Clark"/>
        <s v="Tammy Meyer"/>
        <s v="Tammy Morales"/>
        <s v="Tammy Nolan"/>
        <s v="Tanja Norvell"/>
        <s v="Tanya Velez"/>
        <s v="Tanya York"/>
        <s v="Tara Moore"/>
        <s v="Taylor Adams"/>
        <s v="Taylor Coffey"/>
        <s v="Ted Trevino"/>
        <s v="Teresa Lynch"/>
        <s v="Teresa Rodgers"/>
        <s v="Teresa Sparks"/>
        <s v="Teresa Summers"/>
        <s v="Terri Jackson"/>
        <s v="Terry Arroyo"/>
        <s v="Terry Davis"/>
        <s v="Terry Kidd"/>
        <s v="Terry Rodriguez"/>
        <s v="Terry Wilson"/>
        <s v="Thais Sissman"/>
        <s v="Thea Hendricks"/>
        <s v="Theodore Fleming"/>
        <s v="Theone Pippenger"/>
        <s v="Theresa Calhoun"/>
        <s v="Theresa Hines"/>
        <s v="Theresa Swint"/>
        <s v="Thomas Boland"/>
        <s v="Thomas Gray"/>
        <s v="Thomas Kennedy"/>
        <s v="Thomas Long"/>
        <s v="Thomas Reeves"/>
        <s v="Thomas Thornton"/>
        <s v="Tiffany Armstrong"/>
        <s v="Tiffany Carr"/>
        <s v="Tiffany Norton"/>
        <s v="Tim Brockman"/>
        <s v="Timothy Hawkins"/>
        <s v="Timothy Jackson"/>
        <s v="Timothy King"/>
        <s v="Timothy Mathews"/>
        <s v="Timothy Vargas"/>
        <s v="Timothy Watts"/>
        <s v="Tina Graham"/>
        <s v="Tina Martinez"/>
        <s v="Tina Schmidt"/>
        <s v="Toby Grace"/>
        <s v="Toby Swindell"/>
        <s v="Todd Boyes"/>
        <s v="Todd Bridges"/>
        <s v="Todd Hunter"/>
        <s v="Todd Phillips"/>
        <s v="Todd Rodriguez"/>
        <s v="Tom Prescott"/>
        <s v="Tom Stivers"/>
        <s v="Tommy Esparza"/>
        <s v="Tonja Turnell"/>
        <s v="Tony Sayre"/>
        <s v="Tonya Bell"/>
        <s v="Tonya Morgan"/>
        <s v="Tonya Ramirez"/>
        <s v="Tracey Johnson"/>
        <s v="Traci Briggs"/>
        <s v="Tracy Hansen"/>
        <s v="Tracy Harris"/>
        <s v="Tracy Jackson"/>
        <s v="Tracy Poddar"/>
        <s v="Tracy Wong"/>
        <s v="Tracy Zic"/>
        <s v="Travis Carter"/>
        <s v="Travis Foster"/>
        <s v="Travis Pena"/>
        <s v="Travis Willis"/>
        <s v="Travis Wilson"/>
        <s v="Trevor Luna"/>
        <s v="Trevor Morris"/>
        <s v="Trevor Rojas"/>
        <s v="Troy Blackwell"/>
        <s v="Troy Walker"/>
        <s v="Troy Yates"/>
        <s v="Trudy Schmidt"/>
        <s v="Tyler Myers"/>
        <s v="Valerie Dominguez"/>
        <s v="Valerie Takahito"/>
        <s v="Vanessa Green"/>
        <s v="Veronica Barrett"/>
        <s v="Victor Price"/>
        <s v="Victor Rodriguez"/>
        <s v="Victoria Casey"/>
        <s v="Victoria Estrada"/>
        <s v="Victoria Herrera"/>
        <s v="Victoria Howard"/>
        <s v="Victoria Lambert"/>
        <s v="Victoria Pisteka"/>
        <s v="Victoria Wood"/>
        <s v="Vincent Potts"/>
        <s v="Virginia Mills"/>
        <s v="Vivek Gonzalez"/>
        <s v="Vivian Mathis"/>
        <s v="Wesley Mcclain"/>
        <s v="William Anderson"/>
        <s v="William Barber"/>
        <s v="William Brown"/>
        <s v="William Burke"/>
        <s v="William Pitts"/>
        <s v="William Richards"/>
        <s v="William Richardson"/>
        <s v="William Rivas"/>
        <s v="William Serrano"/>
        <s v="William Thompson"/>
        <s v="William White"/>
        <s v="Willie Myers"/>
        <s v="Xylona Price"/>
        <s v="Yolanda Chapman"/>
        <s v="Yoseph Carroll"/>
        <s v="Zachary Cross"/>
        <s v="Zachary Lewis"/>
        <s v="Zachary Peters"/>
        <s v="Zachary Simmons"/>
      </sharedItems>
    </cacheField>
    <cacheField name="[Measures].[Count of Year(Order Date)]" caption="Count of Year(Order Date)" numFmtId="0" hierarchy="17" level="32767"/>
    <cacheField name="[Table1].[Year(Order Date)].[Year(Order Date)]" caption="Year(Order Date)" numFmtId="0" hierarchy="2" level="1">
      <sharedItems count="5">
        <s v="2019"/>
        <s v="2020"/>
        <s v="2021"/>
        <s v="2022"/>
        <s v="2023"/>
      </sharedItems>
    </cacheField>
  </cacheFields>
  <cacheHierarchies count="19">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Order Date)]" caption="Year(Order Date)" attribute="1" defaultMemberUniqueName="[Table1].[Year(Order Date)].[All]" allUniqueName="[Table1].[Year(Order Date)].[All]" dimensionUniqueName="[Table1]" displayFolder="" count="2" memberValueDatatype="130" unbalanced="0">
      <fieldsUsage count="2">
        <fieldUsage x="-1"/>
        <fieldUsage x="2"/>
      </fieldsUsage>
    </cacheHierarchy>
    <cacheHierarchy uniqueName="[Table1].[Month(Order Date)]" caption="Month(Order Date)" attribute="1" defaultMemberUniqueName="[Table1].[Month(Order Date)].[All]" allUniqueName="[Table1].[Month(Order Dat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Quantity]" caption="Order Quantity" attribute="1" defaultMemberUniqueName="[Table1].[Order Quantity].[All]" allUniqueName="[Table1].[Order 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 Mode]" caption="Ship Mode" attribute="1" defaultMemberUniqueName="[Table1].[Ship Mode].[All]" allUniqueName="[Table1].[Ship Mode].[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Customer Segment]" caption="Customer Segment" attribute="1" defaultMemberUniqueName="[Table1].[Customer Segment].[All]" allUniqueName="[Table1].[Customer Segment].[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8"/>
        </ext>
      </extLst>
    </cacheHierarchy>
    <cacheHierarchy uniqueName="[Measures].[Count of Year(Order Date)]" caption="Count of Year(Order Date)"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3.761039351855" backgroundQuery="1" createdVersion="8" refreshedVersion="8" minRefreshableVersion="3" recordCount="0" supportSubquery="1" supportAdvancedDrill="1" xr:uid="{818659CF-50C1-4775-8EFC-469EE4B13249}">
  <cacheSource type="external" connectionId="1"/>
  <cacheFields count="3">
    <cacheField name="[Measures].[Sum of Sales]" caption="Sum of Sales" numFmtId="0" hierarchy="13" level="32767"/>
    <cacheField name="[Table1].[Ship Mode].[Ship Mode]" caption="Ship Mode" numFmtId="0" hierarchy="7" level="1">
      <sharedItems count="4">
        <s v="Delivery Truck"/>
        <s v="Express Air"/>
        <s v="Regular Air"/>
        <s v="Standard Class"/>
      </sharedItems>
    </cacheField>
    <cacheField name="[Measures].[Count of Sales]" caption="Count of Sales" numFmtId="0" hierarchy="18" level="32767"/>
  </cacheFields>
  <cacheHierarchies count="19">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Order Date)]" caption="Year(Order Date)" attribute="1" defaultMemberUniqueName="[Table1].[Year(Order Date)].[All]" allUniqueName="[Table1].[Year(Order Date)].[All]" dimensionUniqueName="[Table1]" displayFolder="" count="0" memberValueDatatype="130" unbalanced="0"/>
    <cacheHierarchy uniqueName="[Table1].[Month(Order Date)]" caption="Month(Order Date)" attribute="1" defaultMemberUniqueName="[Table1].[Month(Order Date)].[All]" allUniqueName="[Table1].[Month(Order Dat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Quantity]" caption="Order Quantity" attribute="1" defaultMemberUniqueName="[Table1].[Order Quantity].[All]" allUniqueName="[Table1].[Order 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1"/>
      </fieldsUsage>
    </cacheHierarchy>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8"/>
        </ext>
      </extLst>
    </cacheHierarchy>
    <cacheHierarchy uniqueName="[Measures].[Count of Year(Order Date)]" caption="Count of Year(Order Date)" measure="1" displayFolder="" measureGroup="Table1" count="0" hidden="1">
      <extLst>
        <ext xmlns:x15="http://schemas.microsoft.com/office/spreadsheetml/2010/11/main" uri="{B97F6D7D-B522-45F9-BDA1-12C45D357490}">
          <x15:cacheHierarchy aggregatedColumn="2"/>
        </ext>
      </extLst>
    </cacheHierarchy>
    <cacheHierarchy uniqueName="[Measures].[Count of Sales]" caption="Count of Sales" measure="1" displayFolder="" measureGroup="Table1"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3.068377083335" backgroundQuery="1" createdVersion="3" refreshedVersion="8" minRefreshableVersion="3" recordCount="0" supportSubquery="1" supportAdvancedDrill="1" xr:uid="{903C4D70-7DDB-4CC3-A56D-0D61E32B5AB5}">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Order Date)]" caption="Year(Order Date)" attribute="1" defaultMemberUniqueName="[Table1].[Year(Order Date)].[All]" allUniqueName="[Table1].[Year(Order Date)].[All]" dimensionUniqueName="[Table1]" displayFolder="" count="0" memberValueDatatype="130" unbalanced="0"/>
    <cacheHierarchy uniqueName="[Table1].[Month(Order Date)]" caption="Month(Order Date)" attribute="1" defaultMemberUniqueName="[Table1].[Month(Order Date)].[All]" allUniqueName="[Table1].[Month(Order Dat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Quantity]" caption="Order Quantity" attribute="1" defaultMemberUniqueName="[Table1].[Order Quantity].[All]" allUniqueName="[Table1].[Order 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 Mode]" caption="Ship Mode" attribute="1" defaultMemberUniqueName="[Table1].[Ship Mode].[All]" allUniqueName="[Table1].[Ship Mode].[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8"/>
        </ext>
      </extLst>
    </cacheHierarchy>
    <cacheHierarchy uniqueName="[Measures].[Count of Year(Order Date)]" caption="Count of Year(Order Date)" measure="1" displayFolder="" measureGroup="Table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564643072"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3.068380671299" backgroundQuery="1" createdVersion="3" refreshedVersion="8" minRefreshableVersion="3" recordCount="0" supportSubquery="1" supportAdvancedDrill="1" xr:uid="{F1B8B759-2187-4020-8EAB-F0B882DB3CC6}">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Order Date)]" caption="Year(Order Date)" attribute="1" defaultMemberUniqueName="[Table1].[Year(Order Date)].[All]" allUniqueName="[Table1].[Year(Order Date)].[All]" dimensionUniqueName="[Table1]" displayFolder="" count="0" memberValueDatatype="130" unbalanced="0"/>
    <cacheHierarchy uniqueName="[Table1].[Month(Order Date)]" caption="Month(Order Date)" attribute="1" defaultMemberUniqueName="[Table1].[Month(Order Date)].[All]" allUniqueName="[Table1].[Month(Order Dat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Quantity]" caption="Order Quantity" attribute="1" defaultMemberUniqueName="[Table1].[Order Quantity].[All]" allUniqueName="[Table1].[Order 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 Mode]" caption="Ship Mode" attribute="1" defaultMemberUniqueName="[Table1].[Ship Mode].[All]" allUniqueName="[Table1].[Ship Mode].[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8"/>
        </ext>
      </extLst>
    </cacheHierarchy>
    <cacheHierarchy uniqueName="[Measures].[Count of Year(Order Date)]" caption="Count of Year(Order Date)" measure="1" displayFolder="" measureGroup="Table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pivotCacheId="81177130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805DE5-BFAE-4B37-AD0F-EDD2A58C6D7C}" name="Sales by Prod. Category" cacheId="1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1">
  <location ref="C10:G17" firstHeaderRow="1" firstDataRow="2" firstDataCol="1"/>
  <pivotFields count="3">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sortType="ascending" defaultSubtotal="0" defaultAttributeDrillState="1">
      <items count="5">
        <item x="0"/>
        <item x="1"/>
        <item x="2"/>
        <item x="3"/>
        <item x="4"/>
      </items>
    </pivotField>
  </pivotFields>
  <rowFields count="1">
    <field x="2"/>
  </rowFields>
  <rowItems count="6">
    <i>
      <x/>
    </i>
    <i>
      <x v="1"/>
    </i>
    <i>
      <x v="2"/>
    </i>
    <i>
      <x v="3"/>
    </i>
    <i>
      <x v="4"/>
    </i>
    <i t="grand">
      <x/>
    </i>
  </rowItems>
  <colFields count="1">
    <field x="1"/>
  </colFields>
  <colItems count="4">
    <i>
      <x/>
    </i>
    <i>
      <x v="1"/>
    </i>
    <i>
      <x v="2"/>
    </i>
    <i t="grand">
      <x/>
    </i>
  </colItems>
  <dataFields count="1">
    <dataField name="Sales by Prod. Category" fld="0" baseField="0" baseItem="0" numFmtId="44"/>
  </dataFields>
  <formats count="1">
    <format dxfId="0">
      <pivotArea outline="0" collapsedLevelsAreSubtotals="1" fieldPosition="0"/>
    </format>
  </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Sales by Prod. Categor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LC Projext wor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11C968-1BA2-4764-9E8C-45EF785E5B37}" name="Monthly Sale by Shipping" cacheId="1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8">
  <location ref="C19:H33" firstHeaderRow="1" firstDataRow="2"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xis="axisCol" allDrilled="1" subtotalTop="0" showAll="0" dataSourceSort="1" defaultSubtotal="0" defaultAttributeDrillState="1">
      <items count="4">
        <item x="0"/>
        <item x="1"/>
        <item x="2"/>
        <item x="3"/>
      </items>
    </pivotField>
  </pivotFields>
  <rowFields count="1">
    <field x="1"/>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Monthly Sales by Shipping" fld="0" baseField="0" baseItem="0" numFmtId="44"/>
  </dataFields>
  <formats count="1">
    <format dxfId="1">
      <pivotArea outline="0" collapsedLevelsAreSubtotals="1" fieldPosition="0"/>
    </format>
  </formats>
  <chartFormats count="14">
    <chartFormat chart="18" format="12"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8" format="16" series="1">
      <pivotArea type="data" outline="0" fieldPosition="0">
        <references count="2">
          <reference field="4294967294" count="1" selected="0">
            <x v="0"/>
          </reference>
          <reference field="2" count="1" selected="0">
            <x v="1"/>
          </reference>
        </references>
      </pivotArea>
    </chartFormat>
    <chartFormat chart="18" format="17" series="1">
      <pivotArea type="data" outline="0" fieldPosition="0">
        <references count="2">
          <reference field="4294967294" count="1" selected="0">
            <x v="0"/>
          </reference>
          <reference field="2" count="1" selected="0">
            <x v="2"/>
          </reference>
        </references>
      </pivotArea>
    </chartFormat>
    <chartFormat chart="18" format="18" series="1">
      <pivotArea type="data" outline="0" fieldPosition="0">
        <references count="2">
          <reference field="4294967294" count="1" selected="0">
            <x v="0"/>
          </reference>
          <reference field="2" count="1" selected="0">
            <x v="3"/>
          </reference>
        </references>
      </pivotArea>
    </chartFormat>
    <chartFormat chart="17" format="12" series="1">
      <pivotArea type="data" outline="0" fieldPosition="0">
        <references count="2">
          <reference field="4294967294" count="1" selected="0">
            <x v="0"/>
          </reference>
          <reference field="2" count="1" selected="0">
            <x v="1"/>
          </reference>
        </references>
      </pivotArea>
    </chartFormat>
    <chartFormat chart="17" format="13" series="1">
      <pivotArea type="data" outline="0" fieldPosition="0">
        <references count="2">
          <reference field="4294967294" count="1" selected="0">
            <x v="0"/>
          </reference>
          <reference field="2" count="1" selected="0">
            <x v="2"/>
          </reference>
        </references>
      </pivotArea>
    </chartFormat>
    <chartFormat chart="17" format="14" series="1">
      <pivotArea type="data" outline="0" fieldPosition="0">
        <references count="2">
          <reference field="4294967294" count="1" selected="0">
            <x v="0"/>
          </reference>
          <reference field="2" count="1" selected="0">
            <x v="3"/>
          </reference>
        </references>
      </pivotArea>
    </chartFormat>
    <chartFormat chart="15" format="7" series="1">
      <pivotArea type="data" outline="0" fieldPosition="0">
        <references count="2">
          <reference field="4294967294" count="1" selected="0">
            <x v="0"/>
          </reference>
          <reference field="2" count="1" selected="0">
            <x v="1"/>
          </reference>
        </references>
      </pivotArea>
    </chartFormat>
    <chartFormat chart="15" format="8" series="1">
      <pivotArea type="data" outline="0" fieldPosition="0">
        <references count="2">
          <reference field="4294967294" count="1" selected="0">
            <x v="0"/>
          </reference>
          <reference field="2" count="1" selected="0">
            <x v="2"/>
          </reference>
        </references>
      </pivotArea>
    </chartFormat>
    <chartFormat chart="15" format="9" series="1">
      <pivotArea type="data" outline="0" fieldPosition="0">
        <references count="2">
          <reference field="4294967294" count="1" selected="0">
            <x v="0"/>
          </reference>
          <reference field="2" count="1" selected="0">
            <x v="3"/>
          </reference>
        </references>
      </pivotArea>
    </chartFormat>
    <chartFormat chart="15" format="10" series="1">
      <pivotArea type="data" outline="0" fieldPosition="0">
        <references count="2">
          <reference field="4294967294" count="1" selected="0">
            <x v="0"/>
          </reference>
          <reference field="2" count="1" selected="0">
            <x v="0"/>
          </reference>
        </references>
      </pivotArea>
    </chartFormat>
    <chartFormat chart="18" format="19" series="1">
      <pivotArea type="data" outline="0" fieldPosition="0">
        <references count="2">
          <reference field="4294967294" count="1" selected="0">
            <x v="0"/>
          </reference>
          <reference field="2" count="1" selected="0">
            <x v="0"/>
          </reference>
        </references>
      </pivotArea>
    </chartFormat>
  </chartFormats>
  <pivotHierarchies count="1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Monthly Sales by Shipp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LC Projext wor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D333FC-B23F-4088-AC48-8EC91A5BC401}" name="Total Sales"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44"/>
  </dataFields>
  <formats count="1">
    <format dxfId="2">
      <pivotArea outline="0" collapsedLevelsAreSubtotals="1" fieldPosition="0"/>
    </format>
  </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LC Projext wor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F5FCD5-CB31-45A8-85A6-C3D34B6A4930}" name="YoY Sales" cacheId="1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3" rowHeaderCaption="YoY Sales">
  <location ref="J2:K8"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0" baseItem="0" numFmtId="44"/>
  </dataFields>
  <formats count="1">
    <format dxfId="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31" format="8" series="1">
      <pivotArea type="data" outline="0" fieldPosition="0">
        <references count="1">
          <reference field="4294967294" count="1" selected="0">
            <x v="0"/>
          </reference>
        </references>
      </pivotArea>
    </chartFormat>
    <chartFormat chart="31" format="9">
      <pivotArea type="data" outline="0" fieldPosition="0">
        <references count="2">
          <reference field="4294967294" count="1" selected="0">
            <x v="0"/>
          </reference>
          <reference field="1" count="1" selected="0">
            <x v="0"/>
          </reference>
        </references>
      </pivotArea>
    </chartFormat>
    <chartFormat chart="31" format="10">
      <pivotArea type="data" outline="0" fieldPosition="0">
        <references count="2">
          <reference field="4294967294" count="1" selected="0">
            <x v="0"/>
          </reference>
          <reference field="1" count="1" selected="0">
            <x v="1"/>
          </reference>
        </references>
      </pivotArea>
    </chartFormat>
    <chartFormat chart="31" format="11">
      <pivotArea type="data" outline="0" fieldPosition="0">
        <references count="2">
          <reference field="4294967294" count="1" selected="0">
            <x v="0"/>
          </reference>
          <reference field="1" count="1" selected="0">
            <x v="2"/>
          </reference>
        </references>
      </pivotArea>
    </chartFormat>
    <chartFormat chart="31" format="12">
      <pivotArea type="data" outline="0" fieldPosition="0">
        <references count="2">
          <reference field="4294967294" count="1" selected="0">
            <x v="0"/>
          </reference>
          <reference field="1" count="1" selected="0">
            <x v="4"/>
          </reference>
        </references>
      </pivotArea>
    </chartFormat>
    <chartFormat chart="31" format="13">
      <pivotArea type="data" outline="0" fieldPosition="0">
        <references count="2">
          <reference field="4294967294" count="1" selected="0">
            <x v="0"/>
          </reference>
          <reference field="1" count="1" selected="0">
            <x v="3"/>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7" name="[Table1].[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LC Projext wor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EC6760-8859-4244-822B-4FE3C0946AC0}" name="PivotTable1" cacheId="1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0">
  <location ref="C51:G65" firstHeaderRow="1" firstDataRow="2" firstDataCol="1"/>
  <pivotFields count="4">
    <pivotField dataField="1" subtotalTop="0" showAll="0" defaultSubtotal="0"/>
    <pivotField axis="axisCol" allDrilled="1" subtotalTop="0" showAll="0" dataSourceSort="1" defaultSubtotal="0" defaultAttributeDrillState="1">
      <items count="3">
        <item x="0"/>
        <item x="1"/>
        <item x="2"/>
      </items>
    </pivotField>
    <pivotField allDrilled="1" subtotalTop="0" showAll="0" sortType="ascending" defaultSubtotal="0" defaultAttributeDrillState="1">
      <items count="5">
        <item x="4"/>
        <item x="0"/>
        <item x="1"/>
        <item x="2"/>
        <item x="3"/>
      </items>
    </pivotField>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3"/>
  </rowFields>
  <rowItems count="13">
    <i>
      <x/>
    </i>
    <i>
      <x v="1"/>
    </i>
    <i>
      <x v="2"/>
    </i>
    <i>
      <x v="3"/>
    </i>
    <i>
      <x v="4"/>
    </i>
    <i>
      <x v="5"/>
    </i>
    <i>
      <x v="6"/>
    </i>
    <i>
      <x v="7"/>
    </i>
    <i>
      <x v="8"/>
    </i>
    <i>
      <x v="9"/>
    </i>
    <i>
      <x v="10"/>
    </i>
    <i>
      <x v="11"/>
    </i>
    <i t="grand">
      <x/>
    </i>
  </rowItems>
  <colFields count="1">
    <field x="1"/>
  </colFields>
  <colItems count="4">
    <i>
      <x/>
    </i>
    <i>
      <x v="1"/>
    </i>
    <i>
      <x v="2"/>
    </i>
    <i t="grand">
      <x/>
    </i>
  </colItems>
  <dataFields count="1">
    <dataField name="Sales by Prod. Category" fld="0" baseField="0" baseItem="0" numFmtId="44"/>
  </dataFields>
  <formats count="1">
    <format dxfId="4">
      <pivotArea outline="0" collapsedLevelsAreSubtotals="1" fieldPosition="0"/>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11" format="0" series="1">
      <pivotArea type="data" outline="0" fieldPosition="0">
        <references count="2">
          <reference field="4294967294" count="1" selected="0">
            <x v="0"/>
          </reference>
          <reference field="1" count="1" selected="0">
            <x v="0"/>
          </reference>
        </references>
      </pivotArea>
    </chartFormat>
    <chartFormat chart="11" format="1" series="1">
      <pivotArea type="data" outline="0" fieldPosition="0">
        <references count="2">
          <reference field="4294967294" count="1" selected="0">
            <x v="0"/>
          </reference>
          <reference field="1" count="1" selected="0">
            <x v="1"/>
          </reference>
        </references>
      </pivotArea>
    </chartFormat>
    <chartFormat chart="11" format="2" series="1">
      <pivotArea type="data" outline="0" fieldPosition="0">
        <references count="2">
          <reference field="4294967294" count="1" selected="0">
            <x v="0"/>
          </reference>
          <reference field="1" count="1" selected="0">
            <x v="2"/>
          </reference>
        </references>
      </pivotArea>
    </chartFormat>
    <chartFormat chart="14" format="6" series="1">
      <pivotArea type="data" outline="0" fieldPosition="0">
        <references count="2">
          <reference field="4294967294" count="1" selected="0">
            <x v="0"/>
          </reference>
          <reference field="1" count="1" selected="0">
            <x v="0"/>
          </reference>
        </references>
      </pivotArea>
    </chartFormat>
    <chartFormat chart="14" format="7" series="1">
      <pivotArea type="data" outline="0" fieldPosition="0">
        <references count="2">
          <reference field="4294967294" count="1" selected="0">
            <x v="0"/>
          </reference>
          <reference field="1" count="1" selected="0">
            <x v="1"/>
          </reference>
        </references>
      </pivotArea>
    </chartFormat>
    <chartFormat chart="14" format="8" series="1">
      <pivotArea type="data" outline="0" fieldPosition="0">
        <references count="2">
          <reference field="4294967294" count="1" selected="0">
            <x v="0"/>
          </reference>
          <reference field="1" count="1" selected="0">
            <x v="2"/>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Sales by Prod. Categor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LC Projext wor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26211F-79E0-4E33-AB72-218BA5951F92}" name="Sales by Ship mode" cacheId="1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6" rowHeaderCaption="Sales by Shipping">
  <location ref="C3:E8" firstHeaderRow="0" firstDataRow="1" firstDataCol="1"/>
  <pivotFields count="3">
    <pivotField dataField="1" subtotalTop="0" showAll="0" defaultSubtotal="0"/>
    <pivotField axis="axisRow" allDrilled="1" subtotalTop="0" showAll="0"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2"/>
  </colFields>
  <colItems count="2">
    <i>
      <x/>
    </i>
    <i i="1">
      <x v="1"/>
    </i>
  </colItems>
  <dataFields count="2">
    <dataField name="% Sales" fld="2" subtotal="count" showDataAs="percentOfTotal" baseField="0" baseItem="0" numFmtId="10"/>
    <dataField name="Sum of Sales" fld="0" baseField="0" baseItem="0" numFmtId="44"/>
  </dataFields>
  <formats count="3">
    <format dxfId="7">
      <pivotArea outline="0" collapsedLevelsAreSubtotals="1" fieldPosition="0"/>
    </format>
    <format dxfId="6">
      <pivotArea outline="0" collapsedLevelsAreSubtotals="1" fieldPosition="0">
        <references count="1">
          <reference field="4294967294" count="1" selected="0">
            <x v="0"/>
          </reference>
        </references>
      </pivotArea>
    </format>
    <format dxfId="5">
      <pivotArea outline="0" fieldPosition="0">
        <references count="1">
          <reference field="4294967294" count="1">
            <x v="0"/>
          </reference>
        </references>
      </pivotArea>
    </format>
  </formats>
  <chartFormats count="20">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1" count="1" selected="0">
            <x v="0"/>
          </reference>
        </references>
      </pivotArea>
    </chartFormat>
    <chartFormat chart="4" format="18">
      <pivotArea type="data" outline="0" fieldPosition="0">
        <references count="2">
          <reference field="4294967294" count="1" selected="0">
            <x v="0"/>
          </reference>
          <reference field="1" count="1" selected="0">
            <x v="1"/>
          </reference>
        </references>
      </pivotArea>
    </chartFormat>
    <chartFormat chart="4" format="19">
      <pivotArea type="data" outline="0" fieldPosition="0">
        <references count="2">
          <reference field="4294967294" count="1" selected="0">
            <x v="0"/>
          </reference>
          <reference field="1" count="1" selected="0">
            <x v="2"/>
          </reference>
        </references>
      </pivotArea>
    </chartFormat>
    <chartFormat chart="4" format="20">
      <pivotArea type="data" outline="0" fieldPosition="0">
        <references count="2">
          <reference field="4294967294" count="1" selected="0">
            <x v="0"/>
          </reference>
          <reference field="1" count="1" selected="0">
            <x v="3"/>
          </reference>
        </references>
      </pivotArea>
    </chartFormat>
    <chartFormat chart="4" format="21" series="1">
      <pivotArea type="data" outline="0" fieldPosition="0">
        <references count="1">
          <reference field="4294967294" count="1" selected="0">
            <x v="1"/>
          </reference>
        </references>
      </pivotArea>
    </chartFormat>
    <chartFormat chart="4" format="22">
      <pivotArea type="data" outline="0" fieldPosition="0">
        <references count="2">
          <reference field="4294967294" count="1" selected="0">
            <x v="1"/>
          </reference>
          <reference field="1" count="1" selected="0">
            <x v="0"/>
          </reference>
        </references>
      </pivotArea>
    </chartFormat>
    <chartFormat chart="4" format="23">
      <pivotArea type="data" outline="0" fieldPosition="0">
        <references count="2">
          <reference field="4294967294" count="1" selected="0">
            <x v="1"/>
          </reference>
          <reference field="1" count="1" selected="0">
            <x v="1"/>
          </reference>
        </references>
      </pivotArea>
    </chartFormat>
    <chartFormat chart="4" format="24">
      <pivotArea type="data" outline="0" fieldPosition="0">
        <references count="2">
          <reference field="4294967294" count="1" selected="0">
            <x v="1"/>
          </reference>
          <reference field="1" count="1" selected="0">
            <x v="2"/>
          </reference>
        </references>
      </pivotArea>
    </chartFormat>
    <chartFormat chart="4" format="25">
      <pivotArea type="data" outline="0" fieldPosition="0">
        <references count="2">
          <reference field="4294967294" count="1" selected="0">
            <x v="1"/>
          </reference>
          <reference field="1" count="1" selected="0">
            <x v="3"/>
          </reference>
        </references>
      </pivotArea>
    </chartFormat>
    <chartFormat chart="0" format="6">
      <pivotArea type="data" outline="0" fieldPosition="0">
        <references count="2">
          <reference field="4294967294" count="1" selected="0">
            <x v="1"/>
          </reference>
          <reference field="1" count="1" selected="0">
            <x v="0"/>
          </reference>
        </references>
      </pivotArea>
    </chartFormat>
    <chartFormat chart="0" format="7">
      <pivotArea type="data" outline="0" fieldPosition="0">
        <references count="2">
          <reference field="4294967294" count="1" selected="0">
            <x v="1"/>
          </reference>
          <reference field="1" count="1" selected="0">
            <x v="1"/>
          </reference>
        </references>
      </pivotArea>
    </chartFormat>
    <chartFormat chart="0" format="8">
      <pivotArea type="data" outline="0" fieldPosition="0">
        <references count="2">
          <reference field="4294967294" count="1" selected="0">
            <x v="1"/>
          </reference>
          <reference field="1" count="1" selected="0">
            <x v="2"/>
          </reference>
        </references>
      </pivotArea>
    </chartFormat>
    <chartFormat chart="0" format="9">
      <pivotArea type="data" outline="0" fieldPosition="0">
        <references count="2">
          <reference field="4294967294" count="1" selected="0">
            <x v="1"/>
          </reference>
          <reference field="1" count="1" selected="0">
            <x v="3"/>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 Sales"/>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LC Projext wor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77F9AF-911C-4DBF-9C7F-0C8CE7CA05C0}" name="Customer count" cacheId="1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P2:V1429" firstHeaderRow="1" firstDataRow="2" firstDataCol="1"/>
  <pivotFields count="3">
    <pivotField axis="axisRow" allDrilled="1" subtotalTop="0" showAll="0" dataSourceSort="1" defaultSubtotal="0" defaultAttributeDrillState="1">
      <items count="14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142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t="grand">
      <x/>
    </i>
  </rowItems>
  <colFields count="1">
    <field x="2"/>
  </colFields>
  <colItems count="6">
    <i>
      <x/>
    </i>
    <i>
      <x v="1"/>
    </i>
    <i>
      <x v="2"/>
    </i>
    <i>
      <x v="3"/>
    </i>
    <i>
      <x v="4"/>
    </i>
    <i t="grand">
      <x/>
    </i>
  </colItems>
  <dataFields count="1">
    <dataField name="Customer count by Year" fld="1" subtotal="count" baseField="0" baseItem="0"/>
  </dataFields>
  <formats count="1">
    <format dxfId="8">
      <pivotArea outline="0" collapsedLevelsAreSubtotals="1" fieldPosition="0"/>
    </format>
  </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Count of Order ID"/>
    <pivotHierarchy dragToData="1"/>
    <pivotHierarchy dragToData="1" caption="Customer count by Year"/>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LC Projext wor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1A23DE-7657-4FC5-936D-5892392393C2}" name="Sales by Month" cacheId="1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3" rowHeaderCaption="YoY Sales">
  <location ref="C35:I49" firstHeaderRow="1" firstDataRow="2" firstDataCol="1"/>
  <pivotFields count="3">
    <pivotField dataField="1" subtotalTop="0" showAll="0" defaultSubtotal="0"/>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Fields count="1">
    <field x="1"/>
  </colFields>
  <colItems count="6">
    <i>
      <x/>
    </i>
    <i>
      <x v="1"/>
    </i>
    <i>
      <x v="2"/>
    </i>
    <i>
      <x v="3"/>
    </i>
    <i>
      <x v="4"/>
    </i>
    <i t="grand">
      <x/>
    </i>
  </colItems>
  <dataFields count="1">
    <dataField name="Sales by Month" fld="0" baseField="0" baseItem="0" numFmtId="44"/>
  </dataFields>
  <formats count="1">
    <format dxfId="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LC Projext wor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BA7E6302-A9E0-400B-AB31-70CE3FCCDE9B}" sourceName="[Table1].[Customer Segment]">
  <pivotTables>
    <pivotTable tabId="6" name="Sales by Prod. Category"/>
    <pivotTable tabId="6" name="Monthly Sale by Shipping"/>
    <pivotTable tabId="6" name="Sales by Ship mode"/>
    <pivotTable tabId="6" name="Total Sales"/>
    <pivotTable tabId="6" name="Customer count"/>
    <pivotTable tabId="6" name="YoY Sales"/>
    <pivotTable tabId="6" name="Sales by Month"/>
    <pivotTable tabId="6" name="PivotTable1"/>
  </pivotTables>
  <data>
    <olap pivotCacheId="564643072">
      <levels count="2">
        <level uniqueName="[Table1].[Customer Segment].[(All)]" sourceCaption="(All)" count="0"/>
        <level uniqueName="[Table1].[Customer Segment].[Customer Segment]" sourceCaption="Customer Segment" count="4">
          <ranges>
            <range startItem="0">
              <i n="[Table1].[Customer Segment].&amp;[Consumer]" c="Consumer"/>
              <i n="[Table1].[Customer Segment].&amp;[Corporate]" c="Corporate"/>
              <i n="[Table1].[Customer Segment].&amp;[Home Office]" c="Home Office"/>
              <i n="[Table1].[Customer Segment].&amp;[Small Business]" c="Small Business"/>
            </range>
          </ranges>
        </level>
      </levels>
      <selections count="1">
        <selection n="[Table1].[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9035A79-5FA8-41CB-8253-EA29C84743B8}" sourceName="[Table1].[Product Category]">
  <pivotTables>
    <pivotTable tabId="6" name="Sales by Prod. Category"/>
    <pivotTable tabId="6" name="Monthly Sale by Shipping"/>
    <pivotTable tabId="6" name="Sales by Ship mode"/>
    <pivotTable tabId="6" name="YoY Sales"/>
    <pivotTable tabId="6" name="Sales by Month"/>
    <pivotTable tabId="6" name="PivotTable1"/>
  </pivotTables>
  <data>
    <olap pivotCacheId="564643072">
      <levels count="2">
        <level uniqueName="[Table1].[Product Category].[(All)]" sourceCaption="(All)" count="0"/>
        <level uniqueName="[Table1].[Product Category].[Product Category]" sourceCaption="Product Category" count="3">
          <ranges>
            <range startItem="0">
              <i n="[Table1].[Product Category].&amp;[Furniture]" c="Furniture"/>
              <i n="[Table1].[Product Category].&amp;[Office Supplies]" c="Office Supplies"/>
              <i n="[Table1].[Product Category].&amp;[Technology]" c="Technology"/>
            </range>
          </ranges>
        </level>
      </levels>
      <selections count="1">
        <selection n="[Table1].[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E7C33189-6007-4EE8-90E9-9EB9B51B1E16}" cache="Slicer_Customer_Segment" caption="Customer Segment" level="1" style="SlicerStyleDark1" rowHeight="241300"/>
  <slicer name="Product Category" xr10:uid="{7F7EFBBF-266B-4B4C-937F-C3215C39D01D}" cache="Slicer_Product_Category" caption="Product Category" level="1"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1" xr10:uid="{9C3D395B-03BE-4F53-8750-0B5E6FBA7F59}" cache="Slicer_Customer_Segment" caption="Customer Segment" level="1" style="SlicerStyleDark1" rowHeight="241300"/>
  <slicer name="Product Category 1" xr10:uid="{35857B3E-DF8B-450F-9763-08B873F87804}" cache="Slicer_Product_Category" caption="Product Category" level="1"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00A1F0-E0B2-4B00-AFCE-7E1F21EBB2A9}" name="Table1" displayName="Table1" ref="A1:K2008" totalsRowShown="0">
  <autoFilter ref="A1:K2008" xr:uid="{E900A1F0-E0B2-4B00-AFCE-7E1F21EBB2A9}"/>
  <tableColumns count="11">
    <tableColumn id="1" xr3:uid="{DD58E64A-96BC-4484-B108-CD43555B51CA}" name="Order ID"/>
    <tableColumn id="2" xr3:uid="{EF438501-A9D9-4584-9A42-3752F969AF6D}" name="Order Date" dataDxfId="14"/>
    <tableColumn id="11" xr3:uid="{7B13D854-B466-4896-A1CB-EA82DFDF03E7}" name="Year(Order Date)" dataDxfId="13">
      <calculatedColumnFormula>TEXT(Table1[[#This Row],[Order Date]], "yyyy")</calculatedColumnFormula>
    </tableColumn>
    <tableColumn id="10" xr3:uid="{772F50D6-8927-440B-B34E-FCC00B0221F6}" name="Month(Order Date)" dataDxfId="12">
      <calculatedColumnFormula>TEXT(Table1[[#This Row],[Order Date]], "mmmm")</calculatedColumnFormula>
    </tableColumn>
    <tableColumn id="9" xr3:uid="{946492CD-FF27-4531-ADA7-44D244FECE7B}" name="Sales" dataDxfId="11">
      <calculatedColumnFormula>Table1[[#This Row],[Order Quantity]]*Table1[[#This Row],[Unit Price]]</calculatedColumnFormula>
    </tableColumn>
    <tableColumn id="3" xr3:uid="{B25DA7A5-DEA6-4B1C-9D55-6B2597ABAB4D}" name="Order Quantity"/>
    <tableColumn id="4" xr3:uid="{640AABE3-26A2-4AD6-A0F5-D94B435CB6DC}" name="Unit Price" dataDxfId="10"/>
    <tableColumn id="5" xr3:uid="{202EFC45-851F-4918-93CA-71A179108D67}" name="Ship Mode"/>
    <tableColumn id="6" xr3:uid="{6B5F2595-D562-47B9-A4C5-6C5B40D0D50A}" name="Customer Name"/>
    <tableColumn id="7" xr3:uid="{049258D8-ECAC-4C0C-AAF5-C5292BC2A723}" name="Customer Segment"/>
    <tableColumn id="8" xr3:uid="{055CD35A-7197-4089-9B5B-9E9ED0B0C9E8}" name="Product Category"/>
  </tableColumns>
  <tableStyleInfo name="TableStyleMedium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8DC4E84-BBE4-4A58-9839-B8E3C01CE6B9}" sourceName="[Table1].[Order Date]">
  <pivotTables>
    <pivotTable tabId="6" name="Monthly Sale by Shipping"/>
    <pivotTable tabId="6" name="Sales by Month"/>
    <pivotTable tabId="6" name="Sales by Prod. Category"/>
    <pivotTable tabId="6" name="PivotTable1"/>
    <pivotTable tabId="6" name="Customer count"/>
    <pivotTable tabId="6" name="Sales by Ship mode"/>
  </pivotTables>
  <state minimalRefreshVersion="6" lastRefreshVersion="6" pivotCacheId="811771308" filterType="unknown">
    <bounds startDate="2019-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838229D-BF88-4154-9C77-966816714323}" cache="Timeline_Order_Date" caption="Order Date" level="2" selectionLevel="2" scrollPosition="2020-05-15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39596C32-A027-4E75-B711-EE8506B02B04}" cache="Timeline_Order_Date" caption="Order Date" level="0" selectionLevel="0" scrollPosition="2019-01-02T00:00:00" style="TimeSlicerStyleDark1"/>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BC7BD-F65C-4FDC-89A8-825600861710}">
  <dimension ref="C1:I12"/>
  <sheetViews>
    <sheetView workbookViewId="0">
      <selection activeCell="F16" sqref="F16"/>
    </sheetView>
  </sheetViews>
  <sheetFormatPr defaultRowHeight="14.25" x14ac:dyDescent="0.45"/>
  <cols>
    <col min="2" max="2" width="14.53125" customWidth="1"/>
    <col min="3" max="3" width="5.33203125" customWidth="1"/>
    <col min="4" max="4" width="12.73046875" customWidth="1"/>
    <col min="5" max="5" width="12.3984375" customWidth="1"/>
    <col min="6" max="6" width="15.1328125" customWidth="1"/>
    <col min="7" max="7" width="27.46484375" customWidth="1"/>
    <col min="8" max="8" width="10.19921875" style="29" customWidth="1"/>
    <col min="9" max="9" width="3.33203125" customWidth="1"/>
  </cols>
  <sheetData>
    <row r="1" spans="3:9" ht="24.4" customHeight="1" x14ac:dyDescent="0.45"/>
    <row r="2" spans="3:9" ht="25.5" customHeight="1" x14ac:dyDescent="0.45">
      <c r="C2" s="24"/>
      <c r="D2" s="25" t="s">
        <v>1493</v>
      </c>
      <c r="E2" s="25" t="s">
        <v>1494</v>
      </c>
      <c r="F2" s="25" t="s">
        <v>1495</v>
      </c>
      <c r="G2" s="25" t="s">
        <v>1496</v>
      </c>
      <c r="H2" s="30" t="s">
        <v>1497</v>
      </c>
      <c r="I2" s="26"/>
    </row>
    <row r="3" spans="3:9" x14ac:dyDescent="0.45">
      <c r="C3" s="27">
        <v>1</v>
      </c>
      <c r="D3" s="28" t="s">
        <v>1498</v>
      </c>
      <c r="E3" s="28" t="s">
        <v>1499</v>
      </c>
      <c r="F3" s="28" t="s">
        <v>1500</v>
      </c>
      <c r="G3" s="28" t="s">
        <v>1501</v>
      </c>
      <c r="H3" s="32">
        <v>7033735375</v>
      </c>
      <c r="I3" s="33"/>
    </row>
    <row r="4" spans="3:9" x14ac:dyDescent="0.45">
      <c r="C4" s="27">
        <v>2</v>
      </c>
      <c r="D4" s="28" t="s">
        <v>1502</v>
      </c>
      <c r="E4" s="28" t="s">
        <v>1503</v>
      </c>
      <c r="F4" s="28" t="s">
        <v>1504</v>
      </c>
      <c r="G4" s="28" t="s">
        <v>1505</v>
      </c>
      <c r="H4" s="32">
        <v>8133757250</v>
      </c>
      <c r="I4" s="33"/>
    </row>
    <row r="5" spans="3:9" x14ac:dyDescent="0.45">
      <c r="C5" s="27">
        <v>3</v>
      </c>
      <c r="D5" s="28" t="s">
        <v>1506</v>
      </c>
      <c r="E5" s="28" t="s">
        <v>1507</v>
      </c>
      <c r="F5" s="28" t="s">
        <v>1508</v>
      </c>
      <c r="G5" s="28" t="s">
        <v>1509</v>
      </c>
      <c r="H5" s="32">
        <v>9134368695</v>
      </c>
      <c r="I5" s="33"/>
    </row>
    <row r="6" spans="3:9" x14ac:dyDescent="0.45">
      <c r="C6" s="27">
        <v>4</v>
      </c>
      <c r="D6" s="28" t="s">
        <v>1510</v>
      </c>
      <c r="E6" s="28" t="s">
        <v>1511</v>
      </c>
      <c r="F6" s="28" t="s">
        <v>1512</v>
      </c>
      <c r="G6" s="28" t="s">
        <v>1513</v>
      </c>
      <c r="H6" s="32">
        <v>8137757936</v>
      </c>
      <c r="I6" s="33"/>
    </row>
    <row r="7" spans="3:9" x14ac:dyDescent="0.45">
      <c r="C7" s="27">
        <v>5</v>
      </c>
      <c r="D7" s="28" t="s">
        <v>1514</v>
      </c>
      <c r="E7" s="28" t="s">
        <v>1515</v>
      </c>
      <c r="F7" s="28" t="s">
        <v>1516</v>
      </c>
      <c r="G7" s="28" t="s">
        <v>1517</v>
      </c>
      <c r="H7" s="32">
        <v>8085997151</v>
      </c>
      <c r="I7" s="33"/>
    </row>
    <row r="8" spans="3:9" x14ac:dyDescent="0.45">
      <c r="C8" s="27">
        <v>6</v>
      </c>
      <c r="D8" s="28" t="s">
        <v>1518</v>
      </c>
      <c r="E8" s="28" t="s">
        <v>1519</v>
      </c>
      <c r="F8" s="28" t="s">
        <v>1520</v>
      </c>
      <c r="G8" s="28" t="s">
        <v>1521</v>
      </c>
      <c r="H8" s="32">
        <v>8087780678</v>
      </c>
      <c r="I8" s="33"/>
    </row>
    <row r="9" spans="3:9" x14ac:dyDescent="0.45">
      <c r="C9" s="27">
        <v>7</v>
      </c>
      <c r="D9" s="28" t="s">
        <v>1522</v>
      </c>
      <c r="E9" s="28" t="s">
        <v>1523</v>
      </c>
      <c r="F9" s="28" t="s">
        <v>1524</v>
      </c>
      <c r="G9" s="28" t="s">
        <v>1525</v>
      </c>
      <c r="H9" s="32">
        <v>9164557382</v>
      </c>
      <c r="I9" s="33"/>
    </row>
    <row r="10" spans="3:9" ht="17.350000000000001" customHeight="1" x14ac:dyDescent="0.45">
      <c r="C10" s="27">
        <v>8</v>
      </c>
      <c r="D10" s="28" t="s">
        <v>1526</v>
      </c>
      <c r="E10" s="28" t="s">
        <v>1527</v>
      </c>
      <c r="F10" s="28" t="s">
        <v>1528</v>
      </c>
      <c r="G10" s="28" t="s">
        <v>1529</v>
      </c>
      <c r="H10" s="32">
        <v>7034864669</v>
      </c>
      <c r="I10" s="33"/>
    </row>
    <row r="11" spans="3:9" x14ac:dyDescent="0.45">
      <c r="C11" s="27">
        <v>9</v>
      </c>
      <c r="D11" s="28" t="s">
        <v>1530</v>
      </c>
      <c r="E11" s="28" t="s">
        <v>1531</v>
      </c>
      <c r="F11" s="28" t="s">
        <v>1532</v>
      </c>
      <c r="G11" s="28" t="s">
        <v>1533</v>
      </c>
      <c r="H11" s="32">
        <v>8180121708</v>
      </c>
      <c r="I11" s="33"/>
    </row>
    <row r="12" spans="3:9" x14ac:dyDescent="0.45">
      <c r="C12" s="27">
        <v>10</v>
      </c>
      <c r="D12" s="28" t="s">
        <v>1534</v>
      </c>
      <c r="E12" s="28" t="s">
        <v>1535</v>
      </c>
      <c r="F12" s="28" t="s">
        <v>1536</v>
      </c>
      <c r="G12" s="28" t="s">
        <v>1537</v>
      </c>
      <c r="H12" s="32">
        <v>8035673008</v>
      </c>
      <c r="I12" s="33"/>
    </row>
  </sheetData>
  <mergeCells count="10">
    <mergeCell ref="H9:I9"/>
    <mergeCell ref="H10:I10"/>
    <mergeCell ref="H11:I11"/>
    <mergeCell ref="H12:I12"/>
    <mergeCell ref="H3:I3"/>
    <mergeCell ref="H4:I4"/>
    <mergeCell ref="H5:I5"/>
    <mergeCell ref="H6:I6"/>
    <mergeCell ref="H7:I7"/>
    <mergeCell ref="H8:I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08"/>
  <sheetViews>
    <sheetView workbookViewId="0">
      <selection activeCell="G16" sqref="G16"/>
    </sheetView>
  </sheetViews>
  <sheetFormatPr defaultRowHeight="14.25" x14ac:dyDescent="0.45"/>
  <cols>
    <col min="2" max="2" width="12.1328125" bestFit="1" customWidth="1"/>
    <col min="3" max="3" width="15.53125" bestFit="1" customWidth="1"/>
    <col min="4" max="4" width="10.86328125" bestFit="1" customWidth="1"/>
    <col min="5" max="5" width="13.53125" bestFit="1" customWidth="1"/>
    <col min="6" max="6" width="19.33203125" customWidth="1"/>
    <col min="7" max="7" width="18.1328125" customWidth="1"/>
    <col min="8" max="8" width="18.6640625" bestFit="1" customWidth="1"/>
    <col min="10" max="10" width="10.33203125" bestFit="1" customWidth="1"/>
  </cols>
  <sheetData>
    <row r="1" spans="1:8" x14ac:dyDescent="0.45">
      <c r="A1" t="s">
        <v>0</v>
      </c>
      <c r="B1" t="s">
        <v>1</v>
      </c>
      <c r="C1" t="s">
        <v>2</v>
      </c>
      <c r="D1" t="s">
        <v>4</v>
      </c>
      <c r="E1" t="s">
        <v>3</v>
      </c>
      <c r="F1" t="s">
        <v>5</v>
      </c>
      <c r="G1" t="s">
        <v>6</v>
      </c>
      <c r="H1" t="s">
        <v>7</v>
      </c>
    </row>
    <row r="2" spans="1:8" x14ac:dyDescent="0.45">
      <c r="A2">
        <v>32</v>
      </c>
      <c r="B2">
        <v>44757</v>
      </c>
      <c r="C2">
        <v>24</v>
      </c>
      <c r="D2">
        <v>70.89</v>
      </c>
      <c r="E2" t="s">
        <v>16</v>
      </c>
      <c r="F2" t="s">
        <v>14</v>
      </c>
      <c r="G2" t="s">
        <v>13</v>
      </c>
      <c r="H2" t="s">
        <v>15</v>
      </c>
    </row>
    <row r="3" spans="1:8" x14ac:dyDescent="0.45">
      <c r="A3">
        <v>32</v>
      </c>
      <c r="B3">
        <v>43661</v>
      </c>
      <c r="C3">
        <v>24</v>
      </c>
      <c r="D3">
        <v>70.89</v>
      </c>
      <c r="E3" t="s">
        <v>16</v>
      </c>
      <c r="F3" t="s">
        <v>14</v>
      </c>
      <c r="G3" t="s">
        <v>13</v>
      </c>
      <c r="H3" t="s">
        <v>15</v>
      </c>
    </row>
    <row r="4" spans="1:8" x14ac:dyDescent="0.45">
      <c r="A4">
        <v>132</v>
      </c>
      <c r="B4">
        <v>44357</v>
      </c>
      <c r="C4">
        <v>30</v>
      </c>
      <c r="D4">
        <v>130.97999999999999</v>
      </c>
      <c r="E4" t="s">
        <v>16</v>
      </c>
      <c r="F4" t="s">
        <v>31</v>
      </c>
      <c r="G4" t="s">
        <v>23</v>
      </c>
      <c r="H4" t="s">
        <v>15</v>
      </c>
    </row>
    <row r="5" spans="1:8" x14ac:dyDescent="0.45">
      <c r="A5">
        <v>258</v>
      </c>
      <c r="B5">
        <v>44558</v>
      </c>
      <c r="C5">
        <v>7</v>
      </c>
      <c r="D5">
        <v>20.98</v>
      </c>
      <c r="E5" t="s">
        <v>16</v>
      </c>
      <c r="F5" t="s">
        <v>45</v>
      </c>
      <c r="G5" t="s">
        <v>20</v>
      </c>
      <c r="H5" t="s">
        <v>11</v>
      </c>
    </row>
    <row r="6" spans="1:8" x14ac:dyDescent="0.45">
      <c r="A6">
        <v>293</v>
      </c>
      <c r="B6">
        <v>45200</v>
      </c>
      <c r="C6">
        <v>49</v>
      </c>
      <c r="D6">
        <v>208.16</v>
      </c>
      <c r="E6" t="s">
        <v>16</v>
      </c>
      <c r="F6" t="s">
        <v>49</v>
      </c>
      <c r="G6" t="s">
        <v>23</v>
      </c>
      <c r="H6" t="s">
        <v>11</v>
      </c>
    </row>
    <row r="7" spans="1:8" x14ac:dyDescent="0.45">
      <c r="A7">
        <v>358</v>
      </c>
      <c r="B7">
        <v>44458</v>
      </c>
      <c r="C7">
        <v>33</v>
      </c>
      <c r="D7">
        <v>48.58</v>
      </c>
      <c r="E7" t="s">
        <v>16</v>
      </c>
      <c r="F7" t="s">
        <v>57</v>
      </c>
      <c r="G7" t="s">
        <v>13</v>
      </c>
      <c r="H7" t="s">
        <v>15</v>
      </c>
    </row>
    <row r="8" spans="1:8" x14ac:dyDescent="0.45">
      <c r="A8">
        <v>359</v>
      </c>
      <c r="B8">
        <v>44183</v>
      </c>
      <c r="C8">
        <v>30</v>
      </c>
      <c r="D8">
        <v>124.49</v>
      </c>
      <c r="E8" t="s">
        <v>16</v>
      </c>
      <c r="F8" t="s">
        <v>58</v>
      </c>
      <c r="G8" t="s">
        <v>13</v>
      </c>
      <c r="H8" t="s">
        <v>15</v>
      </c>
    </row>
    <row r="9" spans="1:8" x14ac:dyDescent="0.45">
      <c r="A9">
        <v>384</v>
      </c>
      <c r="B9">
        <v>44987</v>
      </c>
      <c r="C9">
        <v>50</v>
      </c>
      <c r="D9">
        <v>146.05000000000001</v>
      </c>
      <c r="E9" t="s">
        <v>16</v>
      </c>
      <c r="F9" t="s">
        <v>59</v>
      </c>
      <c r="G9" t="s">
        <v>13</v>
      </c>
      <c r="H9" t="s">
        <v>15</v>
      </c>
    </row>
    <row r="10" spans="1:8" x14ac:dyDescent="0.45">
      <c r="A10">
        <v>417</v>
      </c>
      <c r="B10">
        <v>43866</v>
      </c>
      <c r="C10">
        <v>39</v>
      </c>
      <c r="D10">
        <v>500.98</v>
      </c>
      <c r="E10" t="s">
        <v>16</v>
      </c>
      <c r="F10" t="s">
        <v>63</v>
      </c>
      <c r="G10" t="s">
        <v>10</v>
      </c>
      <c r="H10" t="s">
        <v>17</v>
      </c>
    </row>
    <row r="11" spans="1:8" x14ac:dyDescent="0.45">
      <c r="A11">
        <v>513</v>
      </c>
      <c r="B11">
        <v>44681</v>
      </c>
      <c r="C11">
        <v>33</v>
      </c>
      <c r="D11">
        <v>150.88999999999999</v>
      </c>
      <c r="E11" t="s">
        <v>16</v>
      </c>
      <c r="F11" t="s">
        <v>72</v>
      </c>
      <c r="G11" t="s">
        <v>20</v>
      </c>
      <c r="H11" t="s">
        <v>15</v>
      </c>
    </row>
    <row r="12" spans="1:8" x14ac:dyDescent="0.45">
      <c r="A12">
        <v>614</v>
      </c>
      <c r="B12">
        <v>45260</v>
      </c>
      <c r="C12">
        <v>24</v>
      </c>
      <c r="D12">
        <v>138.75</v>
      </c>
      <c r="E12" t="s">
        <v>16</v>
      </c>
      <c r="F12" t="s">
        <v>79</v>
      </c>
      <c r="G12" t="s">
        <v>13</v>
      </c>
      <c r="H12" t="s">
        <v>15</v>
      </c>
    </row>
    <row r="13" spans="1:8" x14ac:dyDescent="0.45">
      <c r="A13">
        <v>640</v>
      </c>
      <c r="B13">
        <v>44218</v>
      </c>
      <c r="C13">
        <v>39</v>
      </c>
      <c r="D13">
        <v>120.98</v>
      </c>
      <c r="E13" t="s">
        <v>16</v>
      </c>
      <c r="F13" t="s">
        <v>80</v>
      </c>
      <c r="G13" t="s">
        <v>23</v>
      </c>
      <c r="H13" t="s">
        <v>15</v>
      </c>
    </row>
    <row r="14" spans="1:8" x14ac:dyDescent="0.45">
      <c r="A14">
        <v>644</v>
      </c>
      <c r="B14">
        <v>45046</v>
      </c>
      <c r="C14">
        <v>5</v>
      </c>
      <c r="D14">
        <v>320.98</v>
      </c>
      <c r="E14" t="s">
        <v>16</v>
      </c>
      <c r="F14" t="s">
        <v>82</v>
      </c>
      <c r="G14" t="s">
        <v>13</v>
      </c>
      <c r="H14" t="s">
        <v>15</v>
      </c>
    </row>
    <row r="15" spans="1:8" x14ac:dyDescent="0.45">
      <c r="A15">
        <v>710</v>
      </c>
      <c r="B15">
        <v>44197</v>
      </c>
      <c r="C15">
        <v>29</v>
      </c>
      <c r="D15">
        <v>145.44999999999999</v>
      </c>
      <c r="E15" t="s">
        <v>16</v>
      </c>
      <c r="F15" t="s">
        <v>87</v>
      </c>
      <c r="G15" t="s">
        <v>13</v>
      </c>
      <c r="H15" t="s">
        <v>17</v>
      </c>
    </row>
    <row r="16" spans="1:8" x14ac:dyDescent="0.45">
      <c r="A16">
        <v>769</v>
      </c>
      <c r="B16">
        <v>44348</v>
      </c>
      <c r="C16">
        <v>37</v>
      </c>
      <c r="D16">
        <v>115.99</v>
      </c>
      <c r="E16" t="s">
        <v>16</v>
      </c>
      <c r="F16" t="s">
        <v>90</v>
      </c>
      <c r="G16" t="s">
        <v>23</v>
      </c>
      <c r="H16" t="s">
        <v>17</v>
      </c>
    </row>
    <row r="17" spans="1:8" x14ac:dyDescent="0.45">
      <c r="A17">
        <v>834</v>
      </c>
      <c r="B17">
        <v>43973</v>
      </c>
      <c r="C17">
        <v>15</v>
      </c>
      <c r="D17">
        <v>115.99</v>
      </c>
      <c r="E17" t="s">
        <v>16</v>
      </c>
      <c r="F17" t="s">
        <v>102</v>
      </c>
      <c r="G17" t="s">
        <v>20</v>
      </c>
      <c r="H17" t="s">
        <v>17</v>
      </c>
    </row>
    <row r="18" spans="1:8" x14ac:dyDescent="0.45">
      <c r="A18">
        <v>898</v>
      </c>
      <c r="B18">
        <v>44349</v>
      </c>
      <c r="C18">
        <v>26</v>
      </c>
      <c r="D18">
        <v>296.18</v>
      </c>
      <c r="E18" t="s">
        <v>16</v>
      </c>
      <c r="F18" t="s">
        <v>107</v>
      </c>
      <c r="G18" t="s">
        <v>23</v>
      </c>
      <c r="H18" t="s">
        <v>15</v>
      </c>
    </row>
    <row r="19" spans="1:8" x14ac:dyDescent="0.45">
      <c r="A19">
        <v>962</v>
      </c>
      <c r="B19">
        <v>43956</v>
      </c>
      <c r="C19">
        <v>47</v>
      </c>
      <c r="D19">
        <v>68.81</v>
      </c>
      <c r="E19" t="s">
        <v>16</v>
      </c>
      <c r="F19" t="s">
        <v>115</v>
      </c>
      <c r="G19" t="s">
        <v>10</v>
      </c>
      <c r="H19" t="s">
        <v>11</v>
      </c>
    </row>
    <row r="20" spans="1:8" x14ac:dyDescent="0.45">
      <c r="A20">
        <v>965</v>
      </c>
      <c r="B20">
        <v>44695</v>
      </c>
      <c r="C20">
        <v>42</v>
      </c>
      <c r="D20">
        <v>280.98</v>
      </c>
      <c r="E20" t="s">
        <v>16</v>
      </c>
      <c r="F20" t="s">
        <v>117</v>
      </c>
      <c r="G20" t="s">
        <v>13</v>
      </c>
      <c r="H20" t="s">
        <v>15</v>
      </c>
    </row>
    <row r="21" spans="1:8" x14ac:dyDescent="0.45">
      <c r="A21">
        <v>967</v>
      </c>
      <c r="B21">
        <v>45097</v>
      </c>
      <c r="C21">
        <v>48</v>
      </c>
      <c r="D21">
        <v>227.55</v>
      </c>
      <c r="E21" t="s">
        <v>16</v>
      </c>
      <c r="F21" t="s">
        <v>118</v>
      </c>
      <c r="G21" t="s">
        <v>23</v>
      </c>
      <c r="H21" t="s">
        <v>15</v>
      </c>
    </row>
    <row r="22" spans="1:8" x14ac:dyDescent="0.45">
      <c r="A22">
        <v>1027</v>
      </c>
      <c r="B22">
        <v>45079</v>
      </c>
      <c r="C22">
        <v>19</v>
      </c>
      <c r="D22">
        <v>70.98</v>
      </c>
      <c r="E22" t="s">
        <v>16</v>
      </c>
      <c r="F22" t="s">
        <v>122</v>
      </c>
      <c r="G22" t="s">
        <v>20</v>
      </c>
      <c r="H22" t="s">
        <v>15</v>
      </c>
    </row>
    <row r="23" spans="1:8" x14ac:dyDescent="0.45">
      <c r="A23">
        <v>1154</v>
      </c>
      <c r="B23">
        <v>44971</v>
      </c>
      <c r="C23">
        <v>44</v>
      </c>
      <c r="D23">
        <v>100.98</v>
      </c>
      <c r="E23" t="s">
        <v>16</v>
      </c>
      <c r="F23" t="s">
        <v>128</v>
      </c>
      <c r="G23" t="s">
        <v>20</v>
      </c>
      <c r="H23" t="s">
        <v>15</v>
      </c>
    </row>
    <row r="24" spans="1:8" x14ac:dyDescent="0.45">
      <c r="A24">
        <v>1191</v>
      </c>
      <c r="B24">
        <v>44871</v>
      </c>
      <c r="C24">
        <v>35</v>
      </c>
      <c r="D24">
        <v>100.8</v>
      </c>
      <c r="E24" t="s">
        <v>16</v>
      </c>
      <c r="F24" t="s">
        <v>133</v>
      </c>
      <c r="G24" t="s">
        <v>20</v>
      </c>
      <c r="H24" t="s">
        <v>15</v>
      </c>
    </row>
    <row r="25" spans="1:8" x14ac:dyDescent="0.45">
      <c r="A25">
        <v>1285</v>
      </c>
      <c r="B25">
        <v>45077</v>
      </c>
      <c r="C25">
        <v>27</v>
      </c>
      <c r="D25">
        <v>130.97999999999999</v>
      </c>
      <c r="E25" t="s">
        <v>16</v>
      </c>
      <c r="F25" t="s">
        <v>140</v>
      </c>
      <c r="G25" t="s">
        <v>13</v>
      </c>
      <c r="H25" t="s">
        <v>15</v>
      </c>
    </row>
    <row r="26" spans="1:8" x14ac:dyDescent="0.45">
      <c r="A26">
        <v>1285</v>
      </c>
      <c r="B26">
        <v>45077</v>
      </c>
      <c r="C26">
        <v>8</v>
      </c>
      <c r="D26">
        <v>218.75</v>
      </c>
      <c r="E26" t="s">
        <v>16</v>
      </c>
      <c r="F26" t="s">
        <v>140</v>
      </c>
      <c r="G26" t="s">
        <v>13</v>
      </c>
      <c r="H26" t="s">
        <v>15</v>
      </c>
    </row>
    <row r="27" spans="1:8" x14ac:dyDescent="0.45">
      <c r="A27">
        <v>1345</v>
      </c>
      <c r="B27">
        <v>45226</v>
      </c>
      <c r="C27">
        <v>24</v>
      </c>
      <c r="D27">
        <v>100.98</v>
      </c>
      <c r="E27" t="s">
        <v>16</v>
      </c>
      <c r="F27" t="s">
        <v>146</v>
      </c>
      <c r="G27" t="s">
        <v>13</v>
      </c>
      <c r="H27" t="s">
        <v>15</v>
      </c>
    </row>
    <row r="28" spans="1:8" x14ac:dyDescent="0.45">
      <c r="A28">
        <v>1346</v>
      </c>
      <c r="B28">
        <v>45094</v>
      </c>
      <c r="C28">
        <v>48</v>
      </c>
      <c r="D28">
        <v>100.98</v>
      </c>
      <c r="E28" t="s">
        <v>16</v>
      </c>
      <c r="F28" t="s">
        <v>147</v>
      </c>
      <c r="G28" t="s">
        <v>13</v>
      </c>
      <c r="H28" t="s">
        <v>15</v>
      </c>
    </row>
    <row r="29" spans="1:8" x14ac:dyDescent="0.45">
      <c r="A29">
        <v>1382</v>
      </c>
      <c r="B29">
        <v>44424</v>
      </c>
      <c r="C29">
        <v>31</v>
      </c>
      <c r="D29">
        <v>220.98</v>
      </c>
      <c r="E29" t="s">
        <v>16</v>
      </c>
      <c r="F29" t="s">
        <v>148</v>
      </c>
      <c r="G29" t="s">
        <v>20</v>
      </c>
      <c r="H29" t="s">
        <v>15</v>
      </c>
    </row>
    <row r="30" spans="1:8" x14ac:dyDescent="0.45">
      <c r="A30">
        <v>1411</v>
      </c>
      <c r="B30">
        <v>44185</v>
      </c>
      <c r="C30">
        <v>39</v>
      </c>
      <c r="D30">
        <v>160.97999999999999</v>
      </c>
      <c r="E30" t="s">
        <v>16</v>
      </c>
      <c r="F30" t="s">
        <v>150</v>
      </c>
      <c r="G30" t="s">
        <v>10</v>
      </c>
      <c r="H30" t="s">
        <v>15</v>
      </c>
    </row>
    <row r="31" spans="1:8" x14ac:dyDescent="0.45">
      <c r="A31">
        <v>1414</v>
      </c>
      <c r="B31">
        <v>44788</v>
      </c>
      <c r="C31">
        <v>44</v>
      </c>
      <c r="D31">
        <v>105.49</v>
      </c>
      <c r="E31" t="s">
        <v>16</v>
      </c>
      <c r="F31" t="s">
        <v>151</v>
      </c>
      <c r="G31" t="s">
        <v>10</v>
      </c>
      <c r="H31" t="s">
        <v>15</v>
      </c>
    </row>
    <row r="32" spans="1:8" x14ac:dyDescent="0.45">
      <c r="A32">
        <v>1444</v>
      </c>
      <c r="B32">
        <v>44170</v>
      </c>
      <c r="C32">
        <v>13</v>
      </c>
      <c r="D32">
        <v>1360.14</v>
      </c>
      <c r="E32" t="s">
        <v>16</v>
      </c>
      <c r="F32" t="s">
        <v>153</v>
      </c>
      <c r="G32" t="s">
        <v>20</v>
      </c>
      <c r="H32" t="s">
        <v>17</v>
      </c>
    </row>
    <row r="33" spans="1:8" x14ac:dyDescent="0.45">
      <c r="A33">
        <v>1573</v>
      </c>
      <c r="B33">
        <v>45287</v>
      </c>
      <c r="C33">
        <v>13</v>
      </c>
      <c r="D33">
        <v>60.89</v>
      </c>
      <c r="E33" t="s">
        <v>16</v>
      </c>
      <c r="F33" t="s">
        <v>163</v>
      </c>
      <c r="G33" t="s">
        <v>10</v>
      </c>
      <c r="H33" t="s">
        <v>15</v>
      </c>
    </row>
    <row r="34" spans="1:8" x14ac:dyDescent="0.45">
      <c r="A34">
        <v>1761</v>
      </c>
      <c r="B34">
        <v>44553</v>
      </c>
      <c r="C34">
        <v>25</v>
      </c>
      <c r="D34">
        <v>449.99</v>
      </c>
      <c r="E34" t="s">
        <v>16</v>
      </c>
      <c r="F34" t="s">
        <v>160</v>
      </c>
      <c r="G34" t="s">
        <v>13</v>
      </c>
      <c r="H34" t="s">
        <v>17</v>
      </c>
    </row>
    <row r="35" spans="1:8" x14ac:dyDescent="0.45">
      <c r="A35">
        <v>1799</v>
      </c>
      <c r="B35">
        <v>43896</v>
      </c>
      <c r="C35">
        <v>10</v>
      </c>
      <c r="D35">
        <v>113.98</v>
      </c>
      <c r="E35" t="s">
        <v>16</v>
      </c>
      <c r="F35" t="s">
        <v>178</v>
      </c>
      <c r="G35" t="s">
        <v>10</v>
      </c>
      <c r="H35" t="s">
        <v>15</v>
      </c>
    </row>
    <row r="36" spans="1:8" x14ac:dyDescent="0.45">
      <c r="A36">
        <v>1831</v>
      </c>
      <c r="B36">
        <v>44531</v>
      </c>
      <c r="C36">
        <v>33</v>
      </c>
      <c r="D36">
        <v>370.98</v>
      </c>
      <c r="E36" t="s">
        <v>16</v>
      </c>
      <c r="F36" t="s">
        <v>75</v>
      </c>
      <c r="G36" t="s">
        <v>20</v>
      </c>
      <c r="H36" t="s">
        <v>11</v>
      </c>
    </row>
    <row r="37" spans="1:8" x14ac:dyDescent="0.45">
      <c r="A37">
        <v>1863</v>
      </c>
      <c r="B37">
        <v>44461</v>
      </c>
      <c r="C37">
        <v>26</v>
      </c>
      <c r="D37">
        <v>95.95</v>
      </c>
      <c r="E37" t="s">
        <v>16</v>
      </c>
      <c r="F37" t="s">
        <v>184</v>
      </c>
      <c r="G37" t="s">
        <v>10</v>
      </c>
      <c r="H37" t="s">
        <v>15</v>
      </c>
    </row>
    <row r="38" spans="1:8" x14ac:dyDescent="0.45">
      <c r="A38">
        <v>1888</v>
      </c>
      <c r="B38">
        <v>44499</v>
      </c>
      <c r="C38">
        <v>38</v>
      </c>
      <c r="D38">
        <v>31.76</v>
      </c>
      <c r="E38" t="s">
        <v>16</v>
      </c>
      <c r="F38" t="s">
        <v>185</v>
      </c>
      <c r="G38" t="s">
        <v>13</v>
      </c>
      <c r="H38" t="s">
        <v>15</v>
      </c>
    </row>
    <row r="39" spans="1:8" x14ac:dyDescent="0.45">
      <c r="A39">
        <v>1921</v>
      </c>
      <c r="B39">
        <v>43847</v>
      </c>
      <c r="C39">
        <v>24</v>
      </c>
      <c r="D39">
        <v>328.14</v>
      </c>
      <c r="E39" t="s">
        <v>16</v>
      </c>
      <c r="F39" t="s">
        <v>188</v>
      </c>
      <c r="G39" t="s">
        <v>10</v>
      </c>
      <c r="H39" t="s">
        <v>11</v>
      </c>
    </row>
    <row r="40" spans="1:8" x14ac:dyDescent="0.45">
      <c r="A40">
        <v>1952</v>
      </c>
      <c r="B40">
        <v>43905</v>
      </c>
      <c r="C40">
        <v>24</v>
      </c>
      <c r="D40">
        <v>296.18</v>
      </c>
      <c r="E40" t="s">
        <v>16</v>
      </c>
      <c r="F40" t="s">
        <v>190</v>
      </c>
      <c r="G40" t="s">
        <v>13</v>
      </c>
      <c r="H40" t="s">
        <v>15</v>
      </c>
    </row>
    <row r="41" spans="1:8" x14ac:dyDescent="0.45">
      <c r="A41">
        <v>1985</v>
      </c>
      <c r="B41">
        <v>44075</v>
      </c>
      <c r="C41">
        <v>33</v>
      </c>
      <c r="D41">
        <v>535.64</v>
      </c>
      <c r="E41" t="s">
        <v>16</v>
      </c>
      <c r="F41" t="s">
        <v>192</v>
      </c>
      <c r="G41" t="s">
        <v>20</v>
      </c>
      <c r="H41" t="s">
        <v>17</v>
      </c>
    </row>
    <row r="42" spans="1:8" x14ac:dyDescent="0.45">
      <c r="A42">
        <v>1991</v>
      </c>
      <c r="B42">
        <v>45175</v>
      </c>
      <c r="C42">
        <v>37</v>
      </c>
      <c r="D42">
        <v>399.98</v>
      </c>
      <c r="E42" t="s">
        <v>16</v>
      </c>
      <c r="F42" t="s">
        <v>194</v>
      </c>
      <c r="G42" t="s">
        <v>13</v>
      </c>
      <c r="H42" t="s">
        <v>17</v>
      </c>
    </row>
    <row r="43" spans="1:8" x14ac:dyDescent="0.45">
      <c r="A43">
        <v>2048</v>
      </c>
      <c r="B43">
        <v>44514</v>
      </c>
      <c r="C43">
        <v>12</v>
      </c>
      <c r="D43">
        <v>294.62</v>
      </c>
      <c r="E43" t="s">
        <v>16</v>
      </c>
      <c r="F43" t="s">
        <v>177</v>
      </c>
      <c r="G43" t="s">
        <v>13</v>
      </c>
      <c r="H43" t="s">
        <v>11</v>
      </c>
    </row>
    <row r="44" spans="1:8" x14ac:dyDescent="0.45">
      <c r="A44">
        <v>2053</v>
      </c>
      <c r="B44">
        <v>44598</v>
      </c>
      <c r="C44">
        <v>39</v>
      </c>
      <c r="D44">
        <v>500.98</v>
      </c>
      <c r="E44" t="s">
        <v>16</v>
      </c>
      <c r="F44" t="s">
        <v>199</v>
      </c>
      <c r="G44" t="s">
        <v>23</v>
      </c>
      <c r="H44" t="s">
        <v>15</v>
      </c>
    </row>
    <row r="45" spans="1:8" x14ac:dyDescent="0.45">
      <c r="A45">
        <v>2150</v>
      </c>
      <c r="B45">
        <v>43984</v>
      </c>
      <c r="C45">
        <v>21</v>
      </c>
      <c r="D45">
        <v>179.29</v>
      </c>
      <c r="E45" t="s">
        <v>16</v>
      </c>
      <c r="F45" t="s">
        <v>204</v>
      </c>
      <c r="G45" t="s">
        <v>13</v>
      </c>
      <c r="H45" t="s">
        <v>15</v>
      </c>
    </row>
    <row r="46" spans="1:8" x14ac:dyDescent="0.45">
      <c r="A46">
        <v>2209</v>
      </c>
      <c r="B46">
        <v>45116</v>
      </c>
      <c r="C46">
        <v>27</v>
      </c>
      <c r="D46">
        <v>320.98</v>
      </c>
      <c r="E46" t="s">
        <v>16</v>
      </c>
      <c r="F46" t="s">
        <v>206</v>
      </c>
      <c r="G46" t="s">
        <v>23</v>
      </c>
      <c r="H46" t="s">
        <v>15</v>
      </c>
    </row>
    <row r="47" spans="1:8" x14ac:dyDescent="0.45">
      <c r="A47">
        <v>2247</v>
      </c>
      <c r="B47">
        <v>45139</v>
      </c>
      <c r="C47">
        <v>6</v>
      </c>
      <c r="D47">
        <v>3502.14</v>
      </c>
      <c r="E47" t="s">
        <v>16</v>
      </c>
      <c r="F47" t="s">
        <v>209</v>
      </c>
      <c r="G47" t="s">
        <v>10</v>
      </c>
      <c r="H47" t="s">
        <v>17</v>
      </c>
    </row>
    <row r="48" spans="1:8" x14ac:dyDescent="0.45">
      <c r="A48">
        <v>2272</v>
      </c>
      <c r="B48">
        <v>44298</v>
      </c>
      <c r="C48">
        <v>39</v>
      </c>
      <c r="D48">
        <v>212.6</v>
      </c>
      <c r="E48" t="s">
        <v>16</v>
      </c>
      <c r="F48" t="s">
        <v>210</v>
      </c>
      <c r="G48" t="s">
        <v>23</v>
      </c>
      <c r="H48" t="s">
        <v>15</v>
      </c>
    </row>
    <row r="49" spans="1:8" x14ac:dyDescent="0.45">
      <c r="A49">
        <v>2279</v>
      </c>
      <c r="B49">
        <v>44249</v>
      </c>
      <c r="C49">
        <v>49</v>
      </c>
      <c r="D49">
        <v>90.98</v>
      </c>
      <c r="E49" t="s">
        <v>16</v>
      </c>
      <c r="F49" t="s">
        <v>212</v>
      </c>
      <c r="G49" t="s">
        <v>13</v>
      </c>
      <c r="H49" t="s">
        <v>15</v>
      </c>
    </row>
    <row r="50" spans="1:8" x14ac:dyDescent="0.45">
      <c r="A50">
        <v>2305</v>
      </c>
      <c r="B50">
        <v>44221</v>
      </c>
      <c r="C50">
        <v>33</v>
      </c>
      <c r="D50">
        <v>100.98</v>
      </c>
      <c r="E50" t="s">
        <v>16</v>
      </c>
      <c r="F50" t="s">
        <v>213</v>
      </c>
      <c r="G50" t="s">
        <v>20</v>
      </c>
      <c r="H50" t="s">
        <v>15</v>
      </c>
    </row>
    <row r="51" spans="1:8" x14ac:dyDescent="0.45">
      <c r="A51">
        <v>2433</v>
      </c>
      <c r="B51">
        <v>44064</v>
      </c>
      <c r="C51">
        <v>14</v>
      </c>
      <c r="D51">
        <v>2036.48</v>
      </c>
      <c r="E51" t="s">
        <v>16</v>
      </c>
      <c r="F51" t="s">
        <v>58</v>
      </c>
      <c r="G51" t="s">
        <v>13</v>
      </c>
      <c r="H51" t="s">
        <v>17</v>
      </c>
    </row>
    <row r="52" spans="1:8" x14ac:dyDescent="0.45">
      <c r="A52">
        <v>2467</v>
      </c>
      <c r="B52">
        <v>44757</v>
      </c>
      <c r="C52">
        <v>30</v>
      </c>
      <c r="D52">
        <v>145.44999999999999</v>
      </c>
      <c r="E52" t="s">
        <v>16</v>
      </c>
      <c r="F52" t="s">
        <v>88</v>
      </c>
      <c r="G52" t="s">
        <v>13</v>
      </c>
      <c r="H52" t="s">
        <v>17</v>
      </c>
    </row>
    <row r="53" spans="1:8" x14ac:dyDescent="0.45">
      <c r="A53">
        <v>2593</v>
      </c>
      <c r="B53">
        <v>44442</v>
      </c>
      <c r="C53">
        <v>15</v>
      </c>
      <c r="D53">
        <v>243.98</v>
      </c>
      <c r="E53" t="s">
        <v>16</v>
      </c>
      <c r="F53" t="s">
        <v>231</v>
      </c>
      <c r="G53" t="s">
        <v>13</v>
      </c>
      <c r="H53" t="s">
        <v>15</v>
      </c>
    </row>
    <row r="54" spans="1:8" x14ac:dyDescent="0.45">
      <c r="A54">
        <v>2595</v>
      </c>
      <c r="B54">
        <v>44908</v>
      </c>
      <c r="C54">
        <v>13</v>
      </c>
      <c r="D54">
        <v>880.98</v>
      </c>
      <c r="E54" t="s">
        <v>16</v>
      </c>
      <c r="F54" t="s">
        <v>232</v>
      </c>
      <c r="G54" t="s">
        <v>13</v>
      </c>
      <c r="H54" t="s">
        <v>15</v>
      </c>
    </row>
    <row r="55" spans="1:8" x14ac:dyDescent="0.45">
      <c r="A55">
        <v>2628</v>
      </c>
      <c r="B55">
        <v>44490</v>
      </c>
      <c r="C55">
        <v>29</v>
      </c>
      <c r="D55">
        <v>218.75</v>
      </c>
      <c r="E55" t="s">
        <v>16</v>
      </c>
      <c r="F55" t="s">
        <v>234</v>
      </c>
      <c r="G55" t="s">
        <v>23</v>
      </c>
      <c r="H55" t="s">
        <v>15</v>
      </c>
    </row>
    <row r="56" spans="1:8" x14ac:dyDescent="0.45">
      <c r="A56">
        <v>2656</v>
      </c>
      <c r="B56">
        <v>44319</v>
      </c>
      <c r="C56">
        <v>3</v>
      </c>
      <c r="D56">
        <v>159.31</v>
      </c>
      <c r="E56" t="s">
        <v>16</v>
      </c>
      <c r="F56" t="s">
        <v>237</v>
      </c>
      <c r="G56" t="s">
        <v>23</v>
      </c>
      <c r="H56" t="s">
        <v>15</v>
      </c>
    </row>
    <row r="57" spans="1:8" x14ac:dyDescent="0.45">
      <c r="A57">
        <v>2657</v>
      </c>
      <c r="B57">
        <v>44850</v>
      </c>
      <c r="C57">
        <v>30</v>
      </c>
      <c r="D57">
        <v>279.81</v>
      </c>
      <c r="E57" t="s">
        <v>16</v>
      </c>
      <c r="F57" t="s">
        <v>238</v>
      </c>
      <c r="G57" t="s">
        <v>20</v>
      </c>
      <c r="H57" t="s">
        <v>11</v>
      </c>
    </row>
    <row r="58" spans="1:8" x14ac:dyDescent="0.45">
      <c r="A58">
        <v>2691</v>
      </c>
      <c r="B58">
        <v>45045</v>
      </c>
      <c r="C58">
        <v>14</v>
      </c>
      <c r="D58">
        <v>260.98</v>
      </c>
      <c r="E58" t="s">
        <v>16</v>
      </c>
      <c r="F58" t="s">
        <v>159</v>
      </c>
      <c r="G58" t="s">
        <v>13</v>
      </c>
      <c r="H58" t="s">
        <v>15</v>
      </c>
    </row>
    <row r="59" spans="1:8" x14ac:dyDescent="0.45">
      <c r="A59">
        <v>2757</v>
      </c>
      <c r="B59">
        <v>44761</v>
      </c>
      <c r="C59">
        <v>39</v>
      </c>
      <c r="D59">
        <v>95.95</v>
      </c>
      <c r="E59" t="s">
        <v>16</v>
      </c>
      <c r="F59" t="s">
        <v>245</v>
      </c>
      <c r="G59" t="s">
        <v>13</v>
      </c>
      <c r="H59" t="s">
        <v>15</v>
      </c>
    </row>
    <row r="60" spans="1:8" x14ac:dyDescent="0.45">
      <c r="A60">
        <v>2790</v>
      </c>
      <c r="B60">
        <v>44061</v>
      </c>
      <c r="C60">
        <v>41</v>
      </c>
      <c r="D60">
        <v>549.99</v>
      </c>
      <c r="E60" t="s">
        <v>16</v>
      </c>
      <c r="F60" t="s">
        <v>213</v>
      </c>
      <c r="G60" t="s">
        <v>20</v>
      </c>
      <c r="H60" t="s">
        <v>17</v>
      </c>
    </row>
    <row r="61" spans="1:8" x14ac:dyDescent="0.45">
      <c r="A61">
        <v>2791</v>
      </c>
      <c r="B61">
        <v>44113</v>
      </c>
      <c r="C61">
        <v>49</v>
      </c>
      <c r="D61">
        <v>120.98</v>
      </c>
      <c r="E61" t="s">
        <v>16</v>
      </c>
      <c r="F61" t="s">
        <v>247</v>
      </c>
      <c r="G61" t="s">
        <v>13</v>
      </c>
      <c r="H61" t="s">
        <v>15</v>
      </c>
    </row>
    <row r="62" spans="1:8" x14ac:dyDescent="0.45">
      <c r="A62">
        <v>2823</v>
      </c>
      <c r="B62">
        <v>44812</v>
      </c>
      <c r="C62">
        <v>21</v>
      </c>
      <c r="D62">
        <v>225.02</v>
      </c>
      <c r="E62" t="s">
        <v>16</v>
      </c>
      <c r="F62" t="s">
        <v>250</v>
      </c>
      <c r="G62" t="s">
        <v>20</v>
      </c>
      <c r="H62" t="s">
        <v>11</v>
      </c>
    </row>
    <row r="63" spans="1:8" x14ac:dyDescent="0.45">
      <c r="A63">
        <v>2882</v>
      </c>
      <c r="B63">
        <v>44794</v>
      </c>
      <c r="C63">
        <v>23</v>
      </c>
      <c r="D63">
        <v>160.97999999999999</v>
      </c>
      <c r="E63" t="s">
        <v>16</v>
      </c>
      <c r="F63" t="s">
        <v>252</v>
      </c>
      <c r="G63" t="s">
        <v>23</v>
      </c>
      <c r="H63" t="s">
        <v>15</v>
      </c>
    </row>
    <row r="64" spans="1:8" x14ac:dyDescent="0.45">
      <c r="A64">
        <v>2912</v>
      </c>
      <c r="B64">
        <v>44996</v>
      </c>
      <c r="C64">
        <v>7</v>
      </c>
      <c r="D64">
        <v>2550.14</v>
      </c>
      <c r="E64" t="s">
        <v>16</v>
      </c>
      <c r="F64" t="s">
        <v>21</v>
      </c>
      <c r="G64" t="s">
        <v>13</v>
      </c>
      <c r="H64" t="s">
        <v>17</v>
      </c>
    </row>
    <row r="65" spans="1:8" x14ac:dyDescent="0.45">
      <c r="A65">
        <v>2976</v>
      </c>
      <c r="B65">
        <v>44539</v>
      </c>
      <c r="C65">
        <v>30</v>
      </c>
      <c r="D65">
        <v>500.98</v>
      </c>
      <c r="E65" t="s">
        <v>16</v>
      </c>
      <c r="F65" t="s">
        <v>255</v>
      </c>
      <c r="G65" t="s">
        <v>23</v>
      </c>
      <c r="H65" t="s">
        <v>15</v>
      </c>
    </row>
    <row r="66" spans="1:8" x14ac:dyDescent="0.45">
      <c r="A66">
        <v>3078</v>
      </c>
      <c r="B66">
        <v>44238</v>
      </c>
      <c r="C66">
        <v>1</v>
      </c>
      <c r="D66">
        <v>291.73</v>
      </c>
      <c r="E66" t="s">
        <v>16</v>
      </c>
      <c r="F66" t="s">
        <v>47</v>
      </c>
      <c r="G66" t="s">
        <v>13</v>
      </c>
      <c r="H66" t="s">
        <v>15</v>
      </c>
    </row>
    <row r="67" spans="1:8" x14ac:dyDescent="0.45">
      <c r="A67">
        <v>3110</v>
      </c>
      <c r="B67">
        <v>44181</v>
      </c>
      <c r="C67">
        <v>13</v>
      </c>
      <c r="D67">
        <v>119.99</v>
      </c>
      <c r="E67" t="s">
        <v>16</v>
      </c>
      <c r="F67" t="s">
        <v>263</v>
      </c>
      <c r="G67" t="s">
        <v>13</v>
      </c>
      <c r="H67" t="s">
        <v>17</v>
      </c>
    </row>
    <row r="68" spans="1:8" x14ac:dyDescent="0.45">
      <c r="A68">
        <v>3271</v>
      </c>
      <c r="B68">
        <v>44926</v>
      </c>
      <c r="C68">
        <v>45</v>
      </c>
      <c r="D68">
        <v>264.98</v>
      </c>
      <c r="E68" t="s">
        <v>16</v>
      </c>
      <c r="F68" t="s">
        <v>176</v>
      </c>
      <c r="G68" t="s">
        <v>20</v>
      </c>
      <c r="H68" t="s">
        <v>17</v>
      </c>
    </row>
    <row r="69" spans="1:8" x14ac:dyDescent="0.45">
      <c r="A69">
        <v>3328</v>
      </c>
      <c r="B69">
        <v>45248</v>
      </c>
      <c r="C69">
        <v>12</v>
      </c>
      <c r="D69">
        <v>146.05000000000001</v>
      </c>
      <c r="E69" t="s">
        <v>16</v>
      </c>
      <c r="F69" t="s">
        <v>222</v>
      </c>
      <c r="G69" t="s">
        <v>13</v>
      </c>
      <c r="H69" t="s">
        <v>15</v>
      </c>
    </row>
    <row r="70" spans="1:8" x14ac:dyDescent="0.45">
      <c r="A70">
        <v>3456</v>
      </c>
      <c r="B70">
        <v>44347</v>
      </c>
      <c r="C70">
        <v>20</v>
      </c>
      <c r="D70">
        <v>280.98</v>
      </c>
      <c r="E70" t="s">
        <v>16</v>
      </c>
      <c r="F70" t="s">
        <v>286</v>
      </c>
      <c r="G70" t="s">
        <v>10</v>
      </c>
      <c r="H70" t="s">
        <v>15</v>
      </c>
    </row>
    <row r="71" spans="1:8" x14ac:dyDescent="0.45">
      <c r="A71">
        <v>3488</v>
      </c>
      <c r="B71">
        <v>44568</v>
      </c>
      <c r="C71">
        <v>39</v>
      </c>
      <c r="D71">
        <v>122.99</v>
      </c>
      <c r="E71" t="s">
        <v>16</v>
      </c>
      <c r="F71" t="s">
        <v>292</v>
      </c>
      <c r="G71" t="s">
        <v>20</v>
      </c>
      <c r="H71" t="s">
        <v>15</v>
      </c>
    </row>
    <row r="72" spans="1:8" x14ac:dyDescent="0.45">
      <c r="A72">
        <v>3492</v>
      </c>
      <c r="B72">
        <v>44158</v>
      </c>
      <c r="C72">
        <v>49</v>
      </c>
      <c r="D72">
        <v>130.97999999999999</v>
      </c>
      <c r="E72" t="s">
        <v>16</v>
      </c>
      <c r="F72" t="s">
        <v>293</v>
      </c>
      <c r="G72" t="s">
        <v>13</v>
      </c>
      <c r="H72" t="s">
        <v>15</v>
      </c>
    </row>
    <row r="73" spans="1:8" x14ac:dyDescent="0.45">
      <c r="A73">
        <v>3588</v>
      </c>
      <c r="B73">
        <v>44638</v>
      </c>
      <c r="C73">
        <v>18</v>
      </c>
      <c r="D73">
        <v>90.97</v>
      </c>
      <c r="E73" t="s">
        <v>16</v>
      </c>
      <c r="F73" t="s">
        <v>294</v>
      </c>
      <c r="G73" t="s">
        <v>20</v>
      </c>
      <c r="H73" t="s">
        <v>17</v>
      </c>
    </row>
    <row r="74" spans="1:8" x14ac:dyDescent="0.45">
      <c r="A74">
        <v>3591</v>
      </c>
      <c r="B74">
        <v>44537</v>
      </c>
      <c r="C74">
        <v>3</v>
      </c>
      <c r="D74">
        <v>100.98</v>
      </c>
      <c r="E74" t="s">
        <v>16</v>
      </c>
      <c r="F74" t="s">
        <v>303</v>
      </c>
      <c r="G74" t="s">
        <v>10</v>
      </c>
      <c r="H74" t="s">
        <v>11</v>
      </c>
    </row>
    <row r="75" spans="1:8" x14ac:dyDescent="0.45">
      <c r="A75">
        <v>3591</v>
      </c>
      <c r="B75">
        <v>44537</v>
      </c>
      <c r="C75">
        <v>12</v>
      </c>
      <c r="D75">
        <v>89.99</v>
      </c>
      <c r="E75" t="s">
        <v>16</v>
      </c>
      <c r="F75" t="s">
        <v>303</v>
      </c>
      <c r="G75" t="s">
        <v>10</v>
      </c>
      <c r="H75" t="s">
        <v>15</v>
      </c>
    </row>
    <row r="76" spans="1:8" x14ac:dyDescent="0.45">
      <c r="A76">
        <v>3650</v>
      </c>
      <c r="B76">
        <v>45073</v>
      </c>
      <c r="C76">
        <v>24</v>
      </c>
      <c r="D76">
        <v>216.6</v>
      </c>
      <c r="E76" t="s">
        <v>16</v>
      </c>
      <c r="F76" t="s">
        <v>305</v>
      </c>
      <c r="G76" t="s">
        <v>20</v>
      </c>
      <c r="H76" t="s">
        <v>15</v>
      </c>
    </row>
    <row r="77" spans="1:8" x14ac:dyDescent="0.45">
      <c r="A77">
        <v>3654</v>
      </c>
      <c r="B77">
        <v>45079</v>
      </c>
      <c r="C77">
        <v>47</v>
      </c>
      <c r="D77">
        <v>279.81</v>
      </c>
      <c r="E77" t="s">
        <v>16</v>
      </c>
      <c r="F77" t="s">
        <v>133</v>
      </c>
      <c r="G77" t="s">
        <v>13</v>
      </c>
      <c r="H77" t="s">
        <v>11</v>
      </c>
    </row>
    <row r="78" spans="1:8" x14ac:dyDescent="0.45">
      <c r="A78">
        <v>3905</v>
      </c>
      <c r="B78">
        <v>44550</v>
      </c>
      <c r="C78">
        <v>42</v>
      </c>
      <c r="D78">
        <v>60.89</v>
      </c>
      <c r="E78" t="s">
        <v>16</v>
      </c>
      <c r="F78" t="s">
        <v>316</v>
      </c>
      <c r="G78" t="s">
        <v>23</v>
      </c>
      <c r="H78" t="s">
        <v>15</v>
      </c>
    </row>
    <row r="79" spans="1:8" x14ac:dyDescent="0.45">
      <c r="A79">
        <v>3970</v>
      </c>
      <c r="B79">
        <v>45011</v>
      </c>
      <c r="C79">
        <v>13</v>
      </c>
      <c r="D79">
        <v>20.98</v>
      </c>
      <c r="E79" t="s">
        <v>16</v>
      </c>
      <c r="F79" t="s">
        <v>319</v>
      </c>
      <c r="G79" t="s">
        <v>20</v>
      </c>
      <c r="H79" t="s">
        <v>11</v>
      </c>
    </row>
    <row r="80" spans="1:8" x14ac:dyDescent="0.45">
      <c r="A80">
        <v>4033</v>
      </c>
      <c r="B80">
        <v>44348</v>
      </c>
      <c r="C80">
        <v>38</v>
      </c>
      <c r="D80">
        <v>500.98</v>
      </c>
      <c r="E80" t="s">
        <v>16</v>
      </c>
      <c r="F80" t="s">
        <v>251</v>
      </c>
      <c r="G80" t="s">
        <v>23</v>
      </c>
      <c r="H80" t="s">
        <v>15</v>
      </c>
    </row>
    <row r="81" spans="1:8" x14ac:dyDescent="0.45">
      <c r="A81">
        <v>4034</v>
      </c>
      <c r="B81">
        <v>44513</v>
      </c>
      <c r="C81">
        <v>37</v>
      </c>
      <c r="D81">
        <v>145.97999999999999</v>
      </c>
      <c r="E81" t="s">
        <v>16</v>
      </c>
      <c r="F81" t="s">
        <v>322</v>
      </c>
      <c r="G81" t="s">
        <v>10</v>
      </c>
      <c r="H81" t="s">
        <v>15</v>
      </c>
    </row>
    <row r="82" spans="1:8" x14ac:dyDescent="0.45">
      <c r="A82">
        <v>4134</v>
      </c>
      <c r="B82">
        <v>44572</v>
      </c>
      <c r="C82">
        <v>48</v>
      </c>
      <c r="D82">
        <v>130.97999999999999</v>
      </c>
      <c r="E82" t="s">
        <v>16</v>
      </c>
      <c r="F82" t="s">
        <v>326</v>
      </c>
      <c r="G82" t="s">
        <v>10</v>
      </c>
      <c r="H82" t="s">
        <v>15</v>
      </c>
    </row>
    <row r="83" spans="1:8" x14ac:dyDescent="0.45">
      <c r="A83">
        <v>4261</v>
      </c>
      <c r="B83">
        <v>45201</v>
      </c>
      <c r="C83">
        <v>22</v>
      </c>
      <c r="D83">
        <v>68.81</v>
      </c>
      <c r="E83" t="s">
        <v>16</v>
      </c>
      <c r="F83" t="s">
        <v>136</v>
      </c>
      <c r="G83" t="s">
        <v>13</v>
      </c>
      <c r="H83" t="s">
        <v>11</v>
      </c>
    </row>
    <row r="84" spans="1:8" x14ac:dyDescent="0.45">
      <c r="A84">
        <v>4387</v>
      </c>
      <c r="B84">
        <v>44856</v>
      </c>
      <c r="C84">
        <v>4</v>
      </c>
      <c r="D84">
        <v>150.97999999999999</v>
      </c>
      <c r="E84" t="s">
        <v>16</v>
      </c>
      <c r="F84" t="s">
        <v>279</v>
      </c>
      <c r="G84" t="s">
        <v>13</v>
      </c>
      <c r="H84" t="s">
        <v>15</v>
      </c>
    </row>
    <row r="85" spans="1:8" x14ac:dyDescent="0.45">
      <c r="A85">
        <v>4389</v>
      </c>
      <c r="B85">
        <v>43955</v>
      </c>
      <c r="C85">
        <v>49</v>
      </c>
      <c r="D85">
        <v>160.97999999999999</v>
      </c>
      <c r="E85" t="s">
        <v>16</v>
      </c>
      <c r="F85" t="s">
        <v>333</v>
      </c>
      <c r="G85" t="s">
        <v>13</v>
      </c>
      <c r="H85" t="s">
        <v>15</v>
      </c>
    </row>
    <row r="86" spans="1:8" x14ac:dyDescent="0.45">
      <c r="A86">
        <v>4512</v>
      </c>
      <c r="B86">
        <v>44858</v>
      </c>
      <c r="C86">
        <v>43</v>
      </c>
      <c r="D86">
        <v>146.34</v>
      </c>
      <c r="E86" t="s">
        <v>16</v>
      </c>
      <c r="F86" t="s">
        <v>279</v>
      </c>
      <c r="G86" t="s">
        <v>20</v>
      </c>
      <c r="H86" t="s">
        <v>15</v>
      </c>
    </row>
    <row r="87" spans="1:8" x14ac:dyDescent="0.45">
      <c r="A87">
        <v>4550</v>
      </c>
      <c r="B87">
        <v>44193</v>
      </c>
      <c r="C87">
        <v>32</v>
      </c>
      <c r="D87">
        <v>119.99</v>
      </c>
      <c r="E87" t="s">
        <v>16</v>
      </c>
      <c r="F87" t="s">
        <v>282</v>
      </c>
      <c r="G87" t="s">
        <v>20</v>
      </c>
      <c r="H87" t="s">
        <v>17</v>
      </c>
    </row>
    <row r="88" spans="1:8" x14ac:dyDescent="0.45">
      <c r="A88">
        <v>4580</v>
      </c>
      <c r="B88">
        <v>44514</v>
      </c>
      <c r="C88">
        <v>28</v>
      </c>
      <c r="D88">
        <v>280.98</v>
      </c>
      <c r="E88" t="s">
        <v>16</v>
      </c>
      <c r="F88" t="s">
        <v>340</v>
      </c>
      <c r="G88" t="s">
        <v>23</v>
      </c>
      <c r="H88" t="s">
        <v>15</v>
      </c>
    </row>
    <row r="89" spans="1:8" x14ac:dyDescent="0.45">
      <c r="A89">
        <v>4583</v>
      </c>
      <c r="B89">
        <v>44098</v>
      </c>
      <c r="C89">
        <v>44</v>
      </c>
      <c r="D89">
        <v>70.98</v>
      </c>
      <c r="E89" t="s">
        <v>16</v>
      </c>
      <c r="F89" t="s">
        <v>258</v>
      </c>
      <c r="G89" t="s">
        <v>13</v>
      </c>
      <c r="H89" t="s">
        <v>15</v>
      </c>
    </row>
    <row r="90" spans="1:8" x14ac:dyDescent="0.45">
      <c r="A90">
        <v>4611</v>
      </c>
      <c r="B90">
        <v>44205</v>
      </c>
      <c r="C90">
        <v>32</v>
      </c>
      <c r="D90">
        <v>500.98</v>
      </c>
      <c r="E90" t="s">
        <v>16</v>
      </c>
      <c r="F90" t="s">
        <v>304</v>
      </c>
      <c r="G90" t="s">
        <v>23</v>
      </c>
      <c r="H90" t="s">
        <v>17</v>
      </c>
    </row>
    <row r="91" spans="1:8" x14ac:dyDescent="0.45">
      <c r="A91">
        <v>4674</v>
      </c>
      <c r="B91">
        <v>43939</v>
      </c>
      <c r="C91">
        <v>23</v>
      </c>
      <c r="D91">
        <v>130.97999999999999</v>
      </c>
      <c r="E91" t="s">
        <v>16</v>
      </c>
      <c r="F91" t="s">
        <v>343</v>
      </c>
      <c r="G91" t="s">
        <v>13</v>
      </c>
      <c r="H91" t="s">
        <v>15</v>
      </c>
    </row>
    <row r="92" spans="1:8" x14ac:dyDescent="0.45">
      <c r="A92">
        <v>4771</v>
      </c>
      <c r="B92">
        <v>45273</v>
      </c>
      <c r="C92">
        <v>4</v>
      </c>
      <c r="D92">
        <v>31.76</v>
      </c>
      <c r="E92" t="s">
        <v>16</v>
      </c>
      <c r="F92" t="s">
        <v>260</v>
      </c>
      <c r="G92" t="s">
        <v>23</v>
      </c>
      <c r="H92" t="s">
        <v>15</v>
      </c>
    </row>
    <row r="93" spans="1:8" x14ac:dyDescent="0.45">
      <c r="A93">
        <v>4773</v>
      </c>
      <c r="B93">
        <v>44917</v>
      </c>
      <c r="C93">
        <v>48</v>
      </c>
      <c r="D93">
        <v>179.29</v>
      </c>
      <c r="E93" t="s">
        <v>16</v>
      </c>
      <c r="F93" t="s">
        <v>45</v>
      </c>
      <c r="G93" t="s">
        <v>20</v>
      </c>
      <c r="H93" t="s">
        <v>15</v>
      </c>
    </row>
    <row r="94" spans="1:8" x14ac:dyDescent="0.45">
      <c r="A94">
        <v>4870</v>
      </c>
      <c r="B94">
        <v>44048</v>
      </c>
      <c r="C94">
        <v>44</v>
      </c>
      <c r="D94">
        <v>400.98</v>
      </c>
      <c r="E94" t="s">
        <v>16</v>
      </c>
      <c r="F94" t="s">
        <v>111</v>
      </c>
      <c r="G94" t="s">
        <v>13</v>
      </c>
      <c r="H94" t="s">
        <v>15</v>
      </c>
    </row>
    <row r="95" spans="1:8" x14ac:dyDescent="0.45">
      <c r="A95">
        <v>4871</v>
      </c>
      <c r="B95">
        <v>44723</v>
      </c>
      <c r="C95">
        <v>8</v>
      </c>
      <c r="D95">
        <v>89.99</v>
      </c>
      <c r="E95" t="s">
        <v>16</v>
      </c>
      <c r="F95" t="s">
        <v>349</v>
      </c>
      <c r="G95" t="s">
        <v>23</v>
      </c>
      <c r="H95" t="s">
        <v>15</v>
      </c>
    </row>
    <row r="96" spans="1:8" x14ac:dyDescent="0.45">
      <c r="A96">
        <v>4960</v>
      </c>
      <c r="B96">
        <v>44617</v>
      </c>
      <c r="C96">
        <v>30</v>
      </c>
      <c r="D96">
        <v>300.98</v>
      </c>
      <c r="E96" t="s">
        <v>16</v>
      </c>
      <c r="F96" t="s">
        <v>353</v>
      </c>
      <c r="G96" t="s">
        <v>13</v>
      </c>
      <c r="H96" t="s">
        <v>15</v>
      </c>
    </row>
    <row r="97" spans="1:8" x14ac:dyDescent="0.45">
      <c r="A97">
        <v>5092</v>
      </c>
      <c r="B97">
        <v>44863</v>
      </c>
      <c r="C97">
        <v>3</v>
      </c>
      <c r="D97">
        <v>220.98</v>
      </c>
      <c r="E97" t="s">
        <v>16</v>
      </c>
      <c r="F97" t="s">
        <v>357</v>
      </c>
      <c r="G97" t="s">
        <v>23</v>
      </c>
      <c r="H97" t="s">
        <v>15</v>
      </c>
    </row>
    <row r="98" spans="1:8" x14ac:dyDescent="0.45">
      <c r="A98">
        <v>5222</v>
      </c>
      <c r="B98">
        <v>43977</v>
      </c>
      <c r="C98">
        <v>40</v>
      </c>
      <c r="D98">
        <v>349.45</v>
      </c>
      <c r="E98" t="s">
        <v>16</v>
      </c>
      <c r="F98" t="s">
        <v>362</v>
      </c>
      <c r="G98" t="s">
        <v>23</v>
      </c>
      <c r="H98" t="s">
        <v>15</v>
      </c>
    </row>
    <row r="99" spans="1:8" x14ac:dyDescent="0.45">
      <c r="A99">
        <v>5281</v>
      </c>
      <c r="B99">
        <v>44866</v>
      </c>
      <c r="C99">
        <v>36</v>
      </c>
      <c r="D99">
        <v>120.98</v>
      </c>
      <c r="E99" t="s">
        <v>16</v>
      </c>
      <c r="F99" t="s">
        <v>364</v>
      </c>
      <c r="G99" t="s">
        <v>23</v>
      </c>
      <c r="H99" t="s">
        <v>15</v>
      </c>
    </row>
    <row r="100" spans="1:8" x14ac:dyDescent="0.45">
      <c r="A100">
        <v>5317</v>
      </c>
      <c r="B100">
        <v>44082</v>
      </c>
      <c r="C100">
        <v>10</v>
      </c>
      <c r="D100">
        <v>140.97999999999999</v>
      </c>
      <c r="E100" t="s">
        <v>16</v>
      </c>
      <c r="F100" t="s">
        <v>240</v>
      </c>
      <c r="G100" t="s">
        <v>10</v>
      </c>
      <c r="H100" t="s">
        <v>15</v>
      </c>
    </row>
    <row r="101" spans="1:8" x14ac:dyDescent="0.45">
      <c r="A101">
        <v>5346</v>
      </c>
      <c r="B101">
        <v>44555</v>
      </c>
      <c r="C101">
        <v>45</v>
      </c>
      <c r="D101">
        <v>218.75</v>
      </c>
      <c r="E101" t="s">
        <v>16</v>
      </c>
      <c r="F101" t="s">
        <v>365</v>
      </c>
      <c r="G101" t="s">
        <v>20</v>
      </c>
      <c r="H101" t="s">
        <v>15</v>
      </c>
    </row>
    <row r="102" spans="1:8" x14ac:dyDescent="0.45">
      <c r="A102">
        <v>5346</v>
      </c>
      <c r="B102">
        <v>44555</v>
      </c>
      <c r="C102">
        <v>17</v>
      </c>
      <c r="D102">
        <v>140.97999999999999</v>
      </c>
      <c r="E102" t="s">
        <v>16</v>
      </c>
      <c r="F102" t="s">
        <v>365</v>
      </c>
      <c r="G102" t="s">
        <v>20</v>
      </c>
      <c r="H102" t="s">
        <v>15</v>
      </c>
    </row>
    <row r="103" spans="1:8" x14ac:dyDescent="0.45">
      <c r="A103">
        <v>5538</v>
      </c>
      <c r="B103">
        <v>44554</v>
      </c>
      <c r="C103">
        <v>13</v>
      </c>
      <c r="D103">
        <v>146.05000000000001</v>
      </c>
      <c r="E103" t="s">
        <v>16</v>
      </c>
      <c r="F103" t="s">
        <v>291</v>
      </c>
      <c r="G103" t="s">
        <v>23</v>
      </c>
      <c r="H103" t="s">
        <v>15</v>
      </c>
    </row>
    <row r="104" spans="1:8" x14ac:dyDescent="0.45">
      <c r="A104">
        <v>5735</v>
      </c>
      <c r="B104">
        <v>44175</v>
      </c>
      <c r="C104">
        <v>10</v>
      </c>
      <c r="D104">
        <v>280.98</v>
      </c>
      <c r="E104" t="s">
        <v>16</v>
      </c>
      <c r="F104" t="s">
        <v>68</v>
      </c>
      <c r="G104" t="s">
        <v>20</v>
      </c>
      <c r="H104" t="s">
        <v>15</v>
      </c>
    </row>
    <row r="105" spans="1:8" x14ac:dyDescent="0.45">
      <c r="A105">
        <v>5760</v>
      </c>
      <c r="B105">
        <v>43975</v>
      </c>
      <c r="C105">
        <v>34</v>
      </c>
      <c r="D105">
        <v>150.97999999999999</v>
      </c>
      <c r="E105" t="s">
        <v>16</v>
      </c>
      <c r="F105" t="s">
        <v>389</v>
      </c>
      <c r="G105" t="s">
        <v>20</v>
      </c>
      <c r="H105" t="s">
        <v>15</v>
      </c>
    </row>
    <row r="106" spans="1:8" x14ac:dyDescent="0.45">
      <c r="A106">
        <v>5799</v>
      </c>
      <c r="B106">
        <v>44775</v>
      </c>
      <c r="C106">
        <v>34</v>
      </c>
      <c r="D106">
        <v>294.62</v>
      </c>
      <c r="E106" t="s">
        <v>16</v>
      </c>
      <c r="F106" t="s">
        <v>205</v>
      </c>
      <c r="G106" t="s">
        <v>10</v>
      </c>
      <c r="H106" t="s">
        <v>11</v>
      </c>
    </row>
    <row r="107" spans="1:8" x14ac:dyDescent="0.45">
      <c r="A107">
        <v>5828</v>
      </c>
      <c r="B107">
        <v>43895</v>
      </c>
      <c r="C107">
        <v>21</v>
      </c>
      <c r="D107">
        <v>296.18</v>
      </c>
      <c r="E107" t="s">
        <v>16</v>
      </c>
      <c r="F107" t="s">
        <v>319</v>
      </c>
      <c r="G107" t="s">
        <v>20</v>
      </c>
      <c r="H107" t="s">
        <v>15</v>
      </c>
    </row>
    <row r="108" spans="1:8" x14ac:dyDescent="0.45">
      <c r="A108">
        <v>5856</v>
      </c>
      <c r="B108">
        <v>44140</v>
      </c>
      <c r="C108">
        <v>42</v>
      </c>
      <c r="D108">
        <v>230.98</v>
      </c>
      <c r="E108" t="s">
        <v>16</v>
      </c>
      <c r="F108" t="s">
        <v>240</v>
      </c>
      <c r="G108" t="s">
        <v>10</v>
      </c>
      <c r="H108" t="s">
        <v>15</v>
      </c>
    </row>
    <row r="109" spans="1:8" x14ac:dyDescent="0.45">
      <c r="A109">
        <v>5954</v>
      </c>
      <c r="B109">
        <v>45262</v>
      </c>
      <c r="C109">
        <v>32</v>
      </c>
      <c r="D109">
        <v>596.98</v>
      </c>
      <c r="E109" t="s">
        <v>16</v>
      </c>
      <c r="F109" t="s">
        <v>298</v>
      </c>
      <c r="G109" t="s">
        <v>13</v>
      </c>
      <c r="H109" t="s">
        <v>17</v>
      </c>
    </row>
    <row r="110" spans="1:8" x14ac:dyDescent="0.45">
      <c r="A110">
        <v>5957</v>
      </c>
      <c r="B110">
        <v>44556</v>
      </c>
      <c r="C110">
        <v>3</v>
      </c>
      <c r="D110">
        <v>150.97999999999999</v>
      </c>
      <c r="E110" t="s">
        <v>16</v>
      </c>
      <c r="F110" t="s">
        <v>130</v>
      </c>
      <c r="G110" t="s">
        <v>10</v>
      </c>
      <c r="H110" t="s">
        <v>15</v>
      </c>
    </row>
    <row r="111" spans="1:8" x14ac:dyDescent="0.45">
      <c r="A111">
        <v>5958</v>
      </c>
      <c r="B111">
        <v>44819</v>
      </c>
      <c r="C111">
        <v>21</v>
      </c>
      <c r="D111">
        <v>159.31</v>
      </c>
      <c r="E111" t="s">
        <v>16</v>
      </c>
      <c r="F111" t="s">
        <v>351</v>
      </c>
      <c r="G111" t="s">
        <v>10</v>
      </c>
      <c r="H111" t="s">
        <v>15</v>
      </c>
    </row>
    <row r="112" spans="1:8" x14ac:dyDescent="0.45">
      <c r="A112">
        <v>5986</v>
      </c>
      <c r="B112">
        <v>45037</v>
      </c>
      <c r="C112">
        <v>20</v>
      </c>
      <c r="D112">
        <v>50.98</v>
      </c>
      <c r="E112" t="s">
        <v>16</v>
      </c>
      <c r="F112" t="s">
        <v>399</v>
      </c>
      <c r="G112" t="s">
        <v>10</v>
      </c>
      <c r="H112" t="s">
        <v>15</v>
      </c>
    </row>
    <row r="113" spans="1:8" x14ac:dyDescent="0.45">
      <c r="A113">
        <v>6050</v>
      </c>
      <c r="B113">
        <v>44283</v>
      </c>
      <c r="C113">
        <v>3</v>
      </c>
      <c r="D113">
        <v>80.97</v>
      </c>
      <c r="E113" t="s">
        <v>16</v>
      </c>
      <c r="F113" t="s">
        <v>405</v>
      </c>
      <c r="G113" t="s">
        <v>10</v>
      </c>
      <c r="H113" t="s">
        <v>17</v>
      </c>
    </row>
    <row r="114" spans="1:8" x14ac:dyDescent="0.45">
      <c r="A114">
        <v>6112</v>
      </c>
      <c r="B114">
        <v>44066</v>
      </c>
      <c r="C114">
        <v>10</v>
      </c>
      <c r="D114">
        <v>146.05000000000001</v>
      </c>
      <c r="E114" t="s">
        <v>16</v>
      </c>
      <c r="F114" t="s">
        <v>404</v>
      </c>
      <c r="G114" t="s">
        <v>13</v>
      </c>
      <c r="H114" t="s">
        <v>15</v>
      </c>
    </row>
    <row r="115" spans="1:8" x14ac:dyDescent="0.45">
      <c r="A115">
        <v>6144</v>
      </c>
      <c r="B115">
        <v>44003</v>
      </c>
      <c r="C115">
        <v>4</v>
      </c>
      <c r="D115">
        <v>348.21</v>
      </c>
      <c r="E115" t="s">
        <v>16</v>
      </c>
      <c r="F115" t="s">
        <v>348</v>
      </c>
      <c r="G115" t="s">
        <v>13</v>
      </c>
      <c r="H115" t="s">
        <v>15</v>
      </c>
    </row>
    <row r="116" spans="1:8" x14ac:dyDescent="0.45">
      <c r="A116">
        <v>6272</v>
      </c>
      <c r="B116">
        <v>44254</v>
      </c>
      <c r="C116">
        <v>48</v>
      </c>
      <c r="D116">
        <v>124.49</v>
      </c>
      <c r="E116" t="s">
        <v>16</v>
      </c>
      <c r="F116" t="s">
        <v>377</v>
      </c>
      <c r="G116" t="s">
        <v>13</v>
      </c>
      <c r="H116" t="s">
        <v>15</v>
      </c>
    </row>
    <row r="117" spans="1:8" x14ac:dyDescent="0.45">
      <c r="A117">
        <v>6337</v>
      </c>
      <c r="B117">
        <v>44804</v>
      </c>
      <c r="C117">
        <v>1</v>
      </c>
      <c r="D117">
        <v>376.13</v>
      </c>
      <c r="E117" t="s">
        <v>16</v>
      </c>
      <c r="F117" t="s">
        <v>143</v>
      </c>
      <c r="G117" t="s">
        <v>13</v>
      </c>
      <c r="H117" t="s">
        <v>15</v>
      </c>
    </row>
    <row r="118" spans="1:8" x14ac:dyDescent="0.45">
      <c r="A118">
        <v>6368</v>
      </c>
      <c r="B118">
        <v>43883</v>
      </c>
      <c r="C118">
        <v>40</v>
      </c>
      <c r="D118">
        <v>442.14</v>
      </c>
      <c r="E118" t="s">
        <v>16</v>
      </c>
      <c r="F118" t="s">
        <v>110</v>
      </c>
      <c r="G118" t="s">
        <v>13</v>
      </c>
      <c r="H118" t="s">
        <v>17</v>
      </c>
    </row>
    <row r="119" spans="1:8" x14ac:dyDescent="0.45">
      <c r="A119">
        <v>6369</v>
      </c>
      <c r="B119">
        <v>44184</v>
      </c>
      <c r="C119">
        <v>30</v>
      </c>
      <c r="D119">
        <v>550.98</v>
      </c>
      <c r="E119" t="s">
        <v>16</v>
      </c>
      <c r="F119" t="s">
        <v>302</v>
      </c>
      <c r="G119" t="s">
        <v>13</v>
      </c>
      <c r="H119" t="s">
        <v>15</v>
      </c>
    </row>
    <row r="120" spans="1:8" x14ac:dyDescent="0.45">
      <c r="A120">
        <v>6560</v>
      </c>
      <c r="B120">
        <v>44565</v>
      </c>
      <c r="C120">
        <v>37</v>
      </c>
      <c r="D120">
        <v>280.98</v>
      </c>
      <c r="E120" t="s">
        <v>16</v>
      </c>
      <c r="F120" t="s">
        <v>423</v>
      </c>
      <c r="G120" t="s">
        <v>13</v>
      </c>
      <c r="H120" t="s">
        <v>15</v>
      </c>
    </row>
    <row r="121" spans="1:8" x14ac:dyDescent="0.45">
      <c r="A121">
        <v>6562</v>
      </c>
      <c r="B121">
        <v>44185</v>
      </c>
      <c r="C121">
        <v>12</v>
      </c>
      <c r="D121">
        <v>1360.14</v>
      </c>
      <c r="E121" t="s">
        <v>16</v>
      </c>
      <c r="F121" t="s">
        <v>370</v>
      </c>
      <c r="G121" t="s">
        <v>23</v>
      </c>
      <c r="H121" t="s">
        <v>17</v>
      </c>
    </row>
    <row r="122" spans="1:8" x14ac:dyDescent="0.45">
      <c r="A122">
        <v>6596</v>
      </c>
      <c r="B122">
        <v>44763</v>
      </c>
      <c r="C122">
        <v>36</v>
      </c>
      <c r="D122">
        <v>500.98</v>
      </c>
      <c r="E122" t="s">
        <v>16</v>
      </c>
      <c r="F122" t="s">
        <v>425</v>
      </c>
      <c r="G122" t="s">
        <v>13</v>
      </c>
      <c r="H122" t="s">
        <v>17</v>
      </c>
    </row>
    <row r="123" spans="1:8" x14ac:dyDescent="0.45">
      <c r="A123">
        <v>6625</v>
      </c>
      <c r="B123">
        <v>44423</v>
      </c>
      <c r="C123">
        <v>23</v>
      </c>
      <c r="D123">
        <v>880.98</v>
      </c>
      <c r="E123" t="s">
        <v>16</v>
      </c>
      <c r="F123" t="s">
        <v>293</v>
      </c>
      <c r="G123" t="s">
        <v>13</v>
      </c>
      <c r="H123" t="s">
        <v>15</v>
      </c>
    </row>
    <row r="124" spans="1:8" x14ac:dyDescent="0.45">
      <c r="A124">
        <v>6661</v>
      </c>
      <c r="B124">
        <v>44302</v>
      </c>
      <c r="C124">
        <v>47</v>
      </c>
      <c r="D124">
        <v>449.99</v>
      </c>
      <c r="E124" t="s">
        <v>16</v>
      </c>
      <c r="F124" t="s">
        <v>342</v>
      </c>
      <c r="G124" t="s">
        <v>10</v>
      </c>
      <c r="H124" t="s">
        <v>17</v>
      </c>
    </row>
    <row r="125" spans="1:8" x14ac:dyDescent="0.45">
      <c r="A125">
        <v>6720</v>
      </c>
      <c r="B125">
        <v>44448</v>
      </c>
      <c r="C125">
        <v>36</v>
      </c>
      <c r="D125">
        <v>120.98</v>
      </c>
      <c r="E125" t="s">
        <v>16</v>
      </c>
      <c r="F125" t="s">
        <v>294</v>
      </c>
      <c r="G125" t="s">
        <v>20</v>
      </c>
      <c r="H125" t="s">
        <v>15</v>
      </c>
    </row>
    <row r="126" spans="1:8" x14ac:dyDescent="0.45">
      <c r="A126">
        <v>6757</v>
      </c>
      <c r="B126">
        <v>44958</v>
      </c>
      <c r="C126">
        <v>11</v>
      </c>
      <c r="D126">
        <v>286.85000000000002</v>
      </c>
      <c r="E126" t="s">
        <v>16</v>
      </c>
      <c r="F126" t="s">
        <v>430</v>
      </c>
      <c r="G126" t="s">
        <v>10</v>
      </c>
      <c r="H126" t="s">
        <v>15</v>
      </c>
    </row>
    <row r="127" spans="1:8" x14ac:dyDescent="0.45">
      <c r="A127">
        <v>6850</v>
      </c>
      <c r="B127">
        <v>44238</v>
      </c>
      <c r="C127">
        <v>26</v>
      </c>
      <c r="D127">
        <v>138.75</v>
      </c>
      <c r="E127" t="s">
        <v>16</v>
      </c>
      <c r="F127" t="s">
        <v>433</v>
      </c>
      <c r="G127" t="s">
        <v>13</v>
      </c>
      <c r="H127" t="s">
        <v>15</v>
      </c>
    </row>
    <row r="128" spans="1:8" x14ac:dyDescent="0.45">
      <c r="A128">
        <v>6885</v>
      </c>
      <c r="B128">
        <v>45096</v>
      </c>
      <c r="C128">
        <v>4</v>
      </c>
      <c r="D128">
        <v>113.98</v>
      </c>
      <c r="E128" t="s">
        <v>16</v>
      </c>
      <c r="F128" t="s">
        <v>436</v>
      </c>
      <c r="G128" t="s">
        <v>13</v>
      </c>
      <c r="H128" t="s">
        <v>15</v>
      </c>
    </row>
    <row r="129" spans="1:8" x14ac:dyDescent="0.45">
      <c r="A129">
        <v>6982</v>
      </c>
      <c r="B129">
        <v>44881</v>
      </c>
      <c r="C129">
        <v>5</v>
      </c>
      <c r="D129">
        <v>100.98</v>
      </c>
      <c r="E129" t="s">
        <v>16</v>
      </c>
      <c r="F129" t="s">
        <v>317</v>
      </c>
      <c r="G129" t="s">
        <v>13</v>
      </c>
      <c r="H129" t="s">
        <v>15</v>
      </c>
    </row>
    <row r="130" spans="1:8" x14ac:dyDescent="0.45">
      <c r="A130">
        <v>7042</v>
      </c>
      <c r="B130">
        <v>44934</v>
      </c>
      <c r="C130">
        <v>4</v>
      </c>
      <c r="D130">
        <v>376.13</v>
      </c>
      <c r="E130" t="s">
        <v>16</v>
      </c>
      <c r="F130" t="s">
        <v>443</v>
      </c>
      <c r="G130" t="s">
        <v>20</v>
      </c>
      <c r="H130" t="s">
        <v>15</v>
      </c>
    </row>
    <row r="131" spans="1:8" x14ac:dyDescent="0.45">
      <c r="A131">
        <v>7078</v>
      </c>
      <c r="B131">
        <v>44297</v>
      </c>
      <c r="C131">
        <v>16</v>
      </c>
      <c r="D131">
        <v>122.99</v>
      </c>
      <c r="E131" t="s">
        <v>16</v>
      </c>
      <c r="F131" t="s">
        <v>57</v>
      </c>
      <c r="G131" t="s">
        <v>13</v>
      </c>
      <c r="H131" t="s">
        <v>15</v>
      </c>
    </row>
    <row r="132" spans="1:8" x14ac:dyDescent="0.45">
      <c r="A132">
        <v>7079</v>
      </c>
      <c r="B132">
        <v>44235</v>
      </c>
      <c r="C132">
        <v>44</v>
      </c>
      <c r="D132">
        <v>280.98</v>
      </c>
      <c r="E132" t="s">
        <v>16</v>
      </c>
      <c r="F132" t="s">
        <v>230</v>
      </c>
      <c r="G132" t="s">
        <v>10</v>
      </c>
      <c r="H132" t="s">
        <v>15</v>
      </c>
    </row>
    <row r="133" spans="1:8" x14ac:dyDescent="0.45">
      <c r="A133">
        <v>7175</v>
      </c>
      <c r="B133">
        <v>44234</v>
      </c>
      <c r="C133">
        <v>10</v>
      </c>
      <c r="D133">
        <v>70.98</v>
      </c>
      <c r="E133" t="s">
        <v>16</v>
      </c>
      <c r="F133" t="s">
        <v>263</v>
      </c>
      <c r="G133" t="s">
        <v>13</v>
      </c>
      <c r="H133" t="s">
        <v>15</v>
      </c>
    </row>
    <row r="134" spans="1:8" x14ac:dyDescent="0.45">
      <c r="A134">
        <v>69</v>
      </c>
      <c r="B134">
        <v>43985</v>
      </c>
      <c r="C134">
        <v>28</v>
      </c>
      <c r="D134">
        <v>1.68</v>
      </c>
      <c r="E134" t="s">
        <v>25</v>
      </c>
      <c r="F134" t="s">
        <v>24</v>
      </c>
      <c r="G134" t="s">
        <v>13</v>
      </c>
      <c r="H134" t="s">
        <v>11</v>
      </c>
    </row>
    <row r="135" spans="1:8" x14ac:dyDescent="0.45">
      <c r="A135">
        <v>130</v>
      </c>
      <c r="B135">
        <v>45053</v>
      </c>
      <c r="C135">
        <v>3</v>
      </c>
      <c r="D135">
        <v>150.97999999999999</v>
      </c>
      <c r="E135" t="s">
        <v>25</v>
      </c>
      <c r="F135" t="s">
        <v>30</v>
      </c>
      <c r="G135" t="s">
        <v>13</v>
      </c>
      <c r="H135" t="s">
        <v>17</v>
      </c>
    </row>
    <row r="136" spans="1:8" x14ac:dyDescent="0.45">
      <c r="A136">
        <v>166</v>
      </c>
      <c r="B136">
        <v>44815</v>
      </c>
      <c r="C136">
        <v>10</v>
      </c>
      <c r="D136">
        <v>65.989999999999995</v>
      </c>
      <c r="E136" t="s">
        <v>25</v>
      </c>
      <c r="F136" t="s">
        <v>34</v>
      </c>
      <c r="G136" t="s">
        <v>23</v>
      </c>
      <c r="H136" t="s">
        <v>17</v>
      </c>
    </row>
    <row r="137" spans="1:8" x14ac:dyDescent="0.45">
      <c r="A137">
        <v>416</v>
      </c>
      <c r="B137">
        <v>44465</v>
      </c>
      <c r="C137">
        <v>20</v>
      </c>
      <c r="D137">
        <v>65.989999999999995</v>
      </c>
      <c r="E137" t="s">
        <v>25</v>
      </c>
      <c r="F137" t="s">
        <v>62</v>
      </c>
      <c r="G137" t="s">
        <v>23</v>
      </c>
      <c r="H137" t="s">
        <v>17</v>
      </c>
    </row>
    <row r="138" spans="1:8" x14ac:dyDescent="0.45">
      <c r="A138">
        <v>450</v>
      </c>
      <c r="B138">
        <v>44624</v>
      </c>
      <c r="C138">
        <v>29</v>
      </c>
      <c r="D138">
        <v>34.58</v>
      </c>
      <c r="E138" t="s">
        <v>25</v>
      </c>
      <c r="F138" t="s">
        <v>66</v>
      </c>
      <c r="G138" t="s">
        <v>23</v>
      </c>
      <c r="H138" t="s">
        <v>11</v>
      </c>
    </row>
    <row r="139" spans="1:8" x14ac:dyDescent="0.45">
      <c r="A139">
        <v>512</v>
      </c>
      <c r="B139">
        <v>44700</v>
      </c>
      <c r="C139">
        <v>48</v>
      </c>
      <c r="D139">
        <v>15.42</v>
      </c>
      <c r="E139" t="s">
        <v>25</v>
      </c>
      <c r="F139" t="s">
        <v>71</v>
      </c>
      <c r="G139" t="s">
        <v>20</v>
      </c>
      <c r="H139" t="s">
        <v>11</v>
      </c>
    </row>
    <row r="140" spans="1:8" x14ac:dyDescent="0.45">
      <c r="A140">
        <v>549</v>
      </c>
      <c r="B140">
        <v>45119</v>
      </c>
      <c r="C140">
        <v>30</v>
      </c>
      <c r="D140">
        <v>38.94</v>
      </c>
      <c r="E140" t="s">
        <v>25</v>
      </c>
      <c r="F140" t="s">
        <v>75</v>
      </c>
      <c r="G140" t="s">
        <v>23</v>
      </c>
      <c r="H140" t="s">
        <v>11</v>
      </c>
    </row>
    <row r="141" spans="1:8" x14ac:dyDescent="0.45">
      <c r="A141">
        <v>610</v>
      </c>
      <c r="B141">
        <v>44774</v>
      </c>
      <c r="C141">
        <v>38</v>
      </c>
      <c r="D141">
        <v>6.68</v>
      </c>
      <c r="E141" t="s">
        <v>25</v>
      </c>
      <c r="F141" t="s">
        <v>76</v>
      </c>
      <c r="G141" t="s">
        <v>20</v>
      </c>
      <c r="H141" t="s">
        <v>11</v>
      </c>
    </row>
    <row r="142" spans="1:8" x14ac:dyDescent="0.45">
      <c r="A142">
        <v>643</v>
      </c>
      <c r="B142">
        <v>44644</v>
      </c>
      <c r="C142">
        <v>21</v>
      </c>
      <c r="D142">
        <v>138.13999999999999</v>
      </c>
      <c r="E142" t="s">
        <v>25</v>
      </c>
      <c r="F142" t="s">
        <v>81</v>
      </c>
      <c r="G142" t="s">
        <v>13</v>
      </c>
      <c r="H142" t="s">
        <v>11</v>
      </c>
    </row>
    <row r="143" spans="1:8" x14ac:dyDescent="0.45">
      <c r="A143">
        <v>928</v>
      </c>
      <c r="B143">
        <v>44621</v>
      </c>
      <c r="C143">
        <v>21</v>
      </c>
      <c r="D143">
        <v>59.98</v>
      </c>
      <c r="E143" t="s">
        <v>25</v>
      </c>
      <c r="F143" t="s">
        <v>110</v>
      </c>
      <c r="G143" t="s">
        <v>23</v>
      </c>
      <c r="H143" t="s">
        <v>11</v>
      </c>
    </row>
    <row r="144" spans="1:8" x14ac:dyDescent="0.45">
      <c r="A144">
        <v>928</v>
      </c>
      <c r="B144">
        <v>44621</v>
      </c>
      <c r="C144">
        <v>26</v>
      </c>
      <c r="D144">
        <v>14.58</v>
      </c>
      <c r="E144" t="s">
        <v>25</v>
      </c>
      <c r="F144" t="s">
        <v>110</v>
      </c>
      <c r="G144" t="s">
        <v>23</v>
      </c>
      <c r="H144" t="s">
        <v>15</v>
      </c>
    </row>
    <row r="145" spans="1:8" x14ac:dyDescent="0.45">
      <c r="A145">
        <v>930</v>
      </c>
      <c r="B145">
        <v>44181</v>
      </c>
      <c r="C145">
        <v>22</v>
      </c>
      <c r="D145">
        <v>41.32</v>
      </c>
      <c r="E145" t="s">
        <v>25</v>
      </c>
      <c r="F145" t="s">
        <v>112</v>
      </c>
      <c r="G145" t="s">
        <v>10</v>
      </c>
      <c r="H145" t="s">
        <v>15</v>
      </c>
    </row>
    <row r="146" spans="1:8" x14ac:dyDescent="0.45">
      <c r="A146">
        <v>1154</v>
      </c>
      <c r="B146">
        <v>44971</v>
      </c>
      <c r="C146">
        <v>7</v>
      </c>
      <c r="D146">
        <v>70.97</v>
      </c>
      <c r="E146" t="s">
        <v>25</v>
      </c>
      <c r="F146" t="s">
        <v>129</v>
      </c>
      <c r="G146" t="s">
        <v>20</v>
      </c>
      <c r="H146" t="s">
        <v>11</v>
      </c>
    </row>
    <row r="147" spans="1:8" x14ac:dyDescent="0.45">
      <c r="A147">
        <v>1412</v>
      </c>
      <c r="B147">
        <v>44267</v>
      </c>
      <c r="C147">
        <v>13</v>
      </c>
      <c r="D147">
        <v>3.69</v>
      </c>
      <c r="E147" t="s">
        <v>25</v>
      </c>
      <c r="F147" t="s">
        <v>73</v>
      </c>
      <c r="G147" t="s">
        <v>23</v>
      </c>
      <c r="H147" t="s">
        <v>11</v>
      </c>
    </row>
    <row r="148" spans="1:8" x14ac:dyDescent="0.45">
      <c r="A148">
        <v>1444</v>
      </c>
      <c r="B148">
        <v>44170</v>
      </c>
      <c r="C148">
        <v>32</v>
      </c>
      <c r="D148">
        <v>699.99</v>
      </c>
      <c r="E148" t="s">
        <v>25</v>
      </c>
      <c r="F148" t="s">
        <v>153</v>
      </c>
      <c r="G148" t="s">
        <v>20</v>
      </c>
      <c r="H148" t="s">
        <v>17</v>
      </c>
    </row>
    <row r="149" spans="1:8" x14ac:dyDescent="0.45">
      <c r="A149">
        <v>1637</v>
      </c>
      <c r="B149">
        <v>44599</v>
      </c>
      <c r="C149">
        <v>36</v>
      </c>
      <c r="D149">
        <v>35.479999999999997</v>
      </c>
      <c r="E149" t="s">
        <v>25</v>
      </c>
      <c r="F149" t="s">
        <v>167</v>
      </c>
      <c r="G149" t="s">
        <v>13</v>
      </c>
      <c r="H149" t="s">
        <v>11</v>
      </c>
    </row>
    <row r="150" spans="1:8" x14ac:dyDescent="0.45">
      <c r="A150">
        <v>1666</v>
      </c>
      <c r="B150">
        <v>44851</v>
      </c>
      <c r="C150">
        <v>19</v>
      </c>
      <c r="D150">
        <v>315.98</v>
      </c>
      <c r="E150" t="s">
        <v>25</v>
      </c>
      <c r="F150" t="s">
        <v>170</v>
      </c>
      <c r="G150" t="s">
        <v>13</v>
      </c>
      <c r="H150" t="s">
        <v>11</v>
      </c>
    </row>
    <row r="151" spans="1:8" x14ac:dyDescent="0.45">
      <c r="A151">
        <v>1762</v>
      </c>
      <c r="B151">
        <v>44062</v>
      </c>
      <c r="C151">
        <v>43</v>
      </c>
      <c r="D151">
        <v>35.99</v>
      </c>
      <c r="E151" t="s">
        <v>25</v>
      </c>
      <c r="F151" t="s">
        <v>174</v>
      </c>
      <c r="G151" t="s">
        <v>20</v>
      </c>
      <c r="H151" t="s">
        <v>17</v>
      </c>
    </row>
    <row r="152" spans="1:8" x14ac:dyDescent="0.45">
      <c r="A152">
        <v>2048</v>
      </c>
      <c r="B152">
        <v>44514</v>
      </c>
      <c r="C152">
        <v>9</v>
      </c>
      <c r="D152">
        <v>60.97</v>
      </c>
      <c r="E152" t="s">
        <v>25</v>
      </c>
      <c r="F152" t="s">
        <v>177</v>
      </c>
      <c r="G152" t="s">
        <v>13</v>
      </c>
      <c r="H152" t="s">
        <v>11</v>
      </c>
    </row>
    <row r="153" spans="1:8" x14ac:dyDescent="0.45">
      <c r="A153">
        <v>2086</v>
      </c>
      <c r="B153">
        <v>44122</v>
      </c>
      <c r="C153">
        <v>24</v>
      </c>
      <c r="D153">
        <v>55.98</v>
      </c>
      <c r="E153" t="s">
        <v>25</v>
      </c>
      <c r="F153" t="s">
        <v>189</v>
      </c>
      <c r="G153" t="s">
        <v>13</v>
      </c>
      <c r="H153" t="s">
        <v>11</v>
      </c>
    </row>
    <row r="154" spans="1:8" x14ac:dyDescent="0.45">
      <c r="A154">
        <v>2147</v>
      </c>
      <c r="B154">
        <v>45174</v>
      </c>
      <c r="C154">
        <v>15</v>
      </c>
      <c r="D154">
        <v>40.98</v>
      </c>
      <c r="E154" t="s">
        <v>25</v>
      </c>
      <c r="F154" t="s">
        <v>122</v>
      </c>
      <c r="G154" t="s">
        <v>20</v>
      </c>
      <c r="H154" t="s">
        <v>11</v>
      </c>
    </row>
    <row r="155" spans="1:8" x14ac:dyDescent="0.45">
      <c r="A155">
        <v>2181</v>
      </c>
      <c r="B155">
        <v>44816</v>
      </c>
      <c r="C155">
        <v>3</v>
      </c>
      <c r="D155">
        <v>3.49</v>
      </c>
      <c r="E155" t="s">
        <v>25</v>
      </c>
      <c r="F155" t="s">
        <v>119</v>
      </c>
      <c r="G155" t="s">
        <v>20</v>
      </c>
      <c r="H155" t="s">
        <v>11</v>
      </c>
    </row>
    <row r="156" spans="1:8" x14ac:dyDescent="0.45">
      <c r="A156">
        <v>2244</v>
      </c>
      <c r="B156">
        <v>44204</v>
      </c>
      <c r="C156">
        <v>19</v>
      </c>
      <c r="D156">
        <v>3.8</v>
      </c>
      <c r="E156" t="s">
        <v>25</v>
      </c>
      <c r="F156" t="s">
        <v>208</v>
      </c>
      <c r="G156" t="s">
        <v>23</v>
      </c>
      <c r="H156" t="s">
        <v>11</v>
      </c>
    </row>
    <row r="157" spans="1:8" x14ac:dyDescent="0.45">
      <c r="A157">
        <v>2374</v>
      </c>
      <c r="B157">
        <v>44497</v>
      </c>
      <c r="C157">
        <v>21</v>
      </c>
      <c r="D157">
        <v>2.84</v>
      </c>
      <c r="E157" t="s">
        <v>25</v>
      </c>
      <c r="F157" t="s">
        <v>221</v>
      </c>
      <c r="G157" t="s">
        <v>23</v>
      </c>
      <c r="H157" t="s">
        <v>11</v>
      </c>
    </row>
    <row r="158" spans="1:8" x14ac:dyDescent="0.45">
      <c r="A158">
        <v>2436</v>
      </c>
      <c r="B158">
        <v>44814</v>
      </c>
      <c r="C158">
        <v>14</v>
      </c>
      <c r="D158">
        <v>22.84</v>
      </c>
      <c r="E158" t="s">
        <v>25</v>
      </c>
      <c r="F158" t="s">
        <v>222</v>
      </c>
      <c r="G158" t="s">
        <v>13</v>
      </c>
      <c r="H158" t="s">
        <v>11</v>
      </c>
    </row>
    <row r="159" spans="1:8" x14ac:dyDescent="0.45">
      <c r="A159">
        <v>2562</v>
      </c>
      <c r="B159">
        <v>45138</v>
      </c>
      <c r="C159">
        <v>17</v>
      </c>
      <c r="D159">
        <v>48.91</v>
      </c>
      <c r="E159" t="s">
        <v>25</v>
      </c>
      <c r="F159" t="s">
        <v>229</v>
      </c>
      <c r="G159" t="s">
        <v>23</v>
      </c>
      <c r="H159" t="s">
        <v>11</v>
      </c>
    </row>
    <row r="160" spans="1:8" x14ac:dyDescent="0.45">
      <c r="A160">
        <v>2593</v>
      </c>
      <c r="B160">
        <v>44442</v>
      </c>
      <c r="C160">
        <v>5</v>
      </c>
      <c r="D160">
        <v>420.98</v>
      </c>
      <c r="E160" t="s">
        <v>25</v>
      </c>
      <c r="F160" t="s">
        <v>231</v>
      </c>
      <c r="G160" t="s">
        <v>13</v>
      </c>
      <c r="H160" t="s">
        <v>11</v>
      </c>
    </row>
    <row r="161" spans="1:8" x14ac:dyDescent="0.45">
      <c r="A161">
        <v>2595</v>
      </c>
      <c r="B161">
        <v>44908</v>
      </c>
      <c r="C161">
        <v>29</v>
      </c>
      <c r="D161">
        <v>6.48</v>
      </c>
      <c r="E161" t="s">
        <v>25</v>
      </c>
      <c r="F161" t="s">
        <v>232</v>
      </c>
      <c r="G161" t="s">
        <v>13</v>
      </c>
      <c r="H161" t="s">
        <v>11</v>
      </c>
    </row>
    <row r="162" spans="1:8" x14ac:dyDescent="0.45">
      <c r="A162">
        <v>2658</v>
      </c>
      <c r="B162">
        <v>44826</v>
      </c>
      <c r="C162">
        <v>32</v>
      </c>
      <c r="D162">
        <v>15.42</v>
      </c>
      <c r="E162" t="s">
        <v>25</v>
      </c>
      <c r="F162" t="s">
        <v>239</v>
      </c>
      <c r="G162" t="s">
        <v>10</v>
      </c>
      <c r="H162" t="s">
        <v>11</v>
      </c>
    </row>
    <row r="163" spans="1:8" x14ac:dyDescent="0.45">
      <c r="A163">
        <v>2720</v>
      </c>
      <c r="B163">
        <v>44354</v>
      </c>
      <c r="C163">
        <v>36</v>
      </c>
      <c r="D163">
        <v>65.989999999999995</v>
      </c>
      <c r="E163" t="s">
        <v>25</v>
      </c>
      <c r="F163" t="s">
        <v>240</v>
      </c>
      <c r="G163" t="s">
        <v>10</v>
      </c>
      <c r="H163" t="s">
        <v>17</v>
      </c>
    </row>
    <row r="164" spans="1:8" x14ac:dyDescent="0.45">
      <c r="A164">
        <v>2725</v>
      </c>
      <c r="B164">
        <v>43971</v>
      </c>
      <c r="C164">
        <v>39</v>
      </c>
      <c r="D164">
        <v>65.989999999999995</v>
      </c>
      <c r="E164" t="s">
        <v>25</v>
      </c>
      <c r="F164" t="s">
        <v>164</v>
      </c>
      <c r="G164" t="s">
        <v>10</v>
      </c>
      <c r="H164" t="s">
        <v>17</v>
      </c>
    </row>
    <row r="165" spans="1:8" x14ac:dyDescent="0.45">
      <c r="A165">
        <v>2754</v>
      </c>
      <c r="B165">
        <v>43923</v>
      </c>
      <c r="C165">
        <v>11</v>
      </c>
      <c r="D165">
        <v>47.9</v>
      </c>
      <c r="E165" t="s">
        <v>25</v>
      </c>
      <c r="F165" t="s">
        <v>242</v>
      </c>
      <c r="G165" t="s">
        <v>20</v>
      </c>
      <c r="H165" t="s">
        <v>11</v>
      </c>
    </row>
    <row r="166" spans="1:8" x14ac:dyDescent="0.45">
      <c r="A166">
        <v>2757</v>
      </c>
      <c r="B166">
        <v>44761</v>
      </c>
      <c r="C166">
        <v>42</v>
      </c>
      <c r="D166">
        <v>12.98</v>
      </c>
      <c r="E166" t="s">
        <v>25</v>
      </c>
      <c r="F166" t="s">
        <v>246</v>
      </c>
      <c r="G166" t="s">
        <v>13</v>
      </c>
      <c r="H166" t="s">
        <v>11</v>
      </c>
    </row>
    <row r="167" spans="1:8" x14ac:dyDescent="0.45">
      <c r="A167">
        <v>2790</v>
      </c>
      <c r="B167">
        <v>44061</v>
      </c>
      <c r="C167">
        <v>15</v>
      </c>
      <c r="D167">
        <v>22.01</v>
      </c>
      <c r="E167" t="s">
        <v>25</v>
      </c>
      <c r="F167" t="s">
        <v>213</v>
      </c>
      <c r="G167" t="s">
        <v>20</v>
      </c>
      <c r="H167" t="s">
        <v>11</v>
      </c>
    </row>
    <row r="168" spans="1:8" x14ac:dyDescent="0.45">
      <c r="A168">
        <v>2848</v>
      </c>
      <c r="B168">
        <v>44994</v>
      </c>
      <c r="C168">
        <v>35</v>
      </c>
      <c r="D168">
        <v>43.31</v>
      </c>
      <c r="E168" t="s">
        <v>25</v>
      </c>
      <c r="F168" t="s">
        <v>139</v>
      </c>
      <c r="G168" t="s">
        <v>20</v>
      </c>
      <c r="H168" t="s">
        <v>15</v>
      </c>
    </row>
    <row r="169" spans="1:8" x14ac:dyDescent="0.45">
      <c r="A169">
        <v>2853</v>
      </c>
      <c r="B169">
        <v>43955</v>
      </c>
      <c r="C169">
        <v>25</v>
      </c>
      <c r="D169">
        <v>178.47</v>
      </c>
      <c r="E169" t="s">
        <v>25</v>
      </c>
      <c r="F169" t="s">
        <v>251</v>
      </c>
      <c r="G169" t="s">
        <v>23</v>
      </c>
      <c r="H169" t="s">
        <v>11</v>
      </c>
    </row>
    <row r="170" spans="1:8" x14ac:dyDescent="0.45">
      <c r="A170">
        <v>2912</v>
      </c>
      <c r="B170">
        <v>44996</v>
      </c>
      <c r="C170">
        <v>9</v>
      </c>
      <c r="D170">
        <v>55.98</v>
      </c>
      <c r="E170" t="s">
        <v>25</v>
      </c>
      <c r="F170" t="s">
        <v>21</v>
      </c>
      <c r="G170" t="s">
        <v>13</v>
      </c>
      <c r="H170" t="s">
        <v>11</v>
      </c>
    </row>
    <row r="171" spans="1:8" x14ac:dyDescent="0.45">
      <c r="A171">
        <v>3040</v>
      </c>
      <c r="B171">
        <v>44297</v>
      </c>
      <c r="C171">
        <v>13</v>
      </c>
      <c r="D171">
        <v>6.48</v>
      </c>
      <c r="E171" t="s">
        <v>25</v>
      </c>
      <c r="F171" t="s">
        <v>259</v>
      </c>
      <c r="G171" t="s">
        <v>23</v>
      </c>
      <c r="H171" t="s">
        <v>11</v>
      </c>
    </row>
    <row r="172" spans="1:8" x14ac:dyDescent="0.45">
      <c r="A172">
        <v>3073</v>
      </c>
      <c r="B172">
        <v>43837</v>
      </c>
      <c r="C172">
        <v>3</v>
      </c>
      <c r="D172">
        <v>699.99</v>
      </c>
      <c r="E172" t="s">
        <v>25</v>
      </c>
      <c r="F172" t="s">
        <v>261</v>
      </c>
      <c r="G172" t="s">
        <v>20</v>
      </c>
      <c r="H172" t="s">
        <v>17</v>
      </c>
    </row>
    <row r="173" spans="1:8" x14ac:dyDescent="0.45">
      <c r="A173">
        <v>3104</v>
      </c>
      <c r="B173">
        <v>44454</v>
      </c>
      <c r="C173">
        <v>24</v>
      </c>
      <c r="D173">
        <v>15.94</v>
      </c>
      <c r="E173" t="s">
        <v>25</v>
      </c>
      <c r="F173" t="s">
        <v>262</v>
      </c>
      <c r="G173" t="s">
        <v>23</v>
      </c>
      <c r="H173" t="s">
        <v>11</v>
      </c>
    </row>
    <row r="174" spans="1:8" x14ac:dyDescent="0.45">
      <c r="A174">
        <v>3138</v>
      </c>
      <c r="B174">
        <v>43869</v>
      </c>
      <c r="C174">
        <v>4</v>
      </c>
      <c r="D174">
        <v>179.99</v>
      </c>
      <c r="E174" t="s">
        <v>25</v>
      </c>
      <c r="F174" t="s">
        <v>265</v>
      </c>
      <c r="G174" t="s">
        <v>23</v>
      </c>
      <c r="H174" t="s">
        <v>17</v>
      </c>
    </row>
    <row r="175" spans="1:8" x14ac:dyDescent="0.45">
      <c r="A175">
        <v>3205</v>
      </c>
      <c r="B175">
        <v>45026</v>
      </c>
      <c r="C175">
        <v>42</v>
      </c>
      <c r="D175">
        <v>71.37</v>
      </c>
      <c r="E175" t="s">
        <v>25</v>
      </c>
      <c r="F175" t="s">
        <v>271</v>
      </c>
      <c r="G175" t="s">
        <v>23</v>
      </c>
      <c r="H175" t="s">
        <v>15</v>
      </c>
    </row>
    <row r="176" spans="1:8" x14ac:dyDescent="0.45">
      <c r="A176">
        <v>3235</v>
      </c>
      <c r="B176">
        <v>44879</v>
      </c>
      <c r="C176">
        <v>31</v>
      </c>
      <c r="D176">
        <v>4.71</v>
      </c>
      <c r="E176" t="s">
        <v>25</v>
      </c>
      <c r="F176" t="s">
        <v>273</v>
      </c>
      <c r="G176" t="s">
        <v>13</v>
      </c>
      <c r="H176" t="s">
        <v>11</v>
      </c>
    </row>
    <row r="177" spans="1:8" x14ac:dyDescent="0.45">
      <c r="A177">
        <v>3271</v>
      </c>
      <c r="B177">
        <v>44926</v>
      </c>
      <c r="C177">
        <v>18</v>
      </c>
      <c r="D177">
        <v>8.34</v>
      </c>
      <c r="E177" t="s">
        <v>25</v>
      </c>
      <c r="F177" t="s">
        <v>176</v>
      </c>
      <c r="G177" t="s">
        <v>20</v>
      </c>
      <c r="H177" t="s">
        <v>11</v>
      </c>
    </row>
    <row r="178" spans="1:8" x14ac:dyDescent="0.45">
      <c r="A178">
        <v>3393</v>
      </c>
      <c r="B178">
        <v>44745</v>
      </c>
      <c r="C178">
        <v>7</v>
      </c>
      <c r="D178">
        <v>15.98</v>
      </c>
      <c r="E178" t="s">
        <v>25</v>
      </c>
      <c r="F178" t="s">
        <v>283</v>
      </c>
      <c r="G178" t="s">
        <v>23</v>
      </c>
      <c r="H178" t="s">
        <v>17</v>
      </c>
    </row>
    <row r="179" spans="1:8" x14ac:dyDescent="0.45">
      <c r="A179">
        <v>3395</v>
      </c>
      <c r="B179">
        <v>44133</v>
      </c>
      <c r="C179">
        <v>31</v>
      </c>
      <c r="D179">
        <v>5.38</v>
      </c>
      <c r="E179" t="s">
        <v>25</v>
      </c>
      <c r="F179" t="s">
        <v>284</v>
      </c>
      <c r="G179" t="s">
        <v>23</v>
      </c>
      <c r="H179" t="s">
        <v>11</v>
      </c>
    </row>
    <row r="180" spans="1:8" x14ac:dyDescent="0.45">
      <c r="A180">
        <v>3459</v>
      </c>
      <c r="B180">
        <v>44039</v>
      </c>
      <c r="C180">
        <v>24</v>
      </c>
      <c r="D180">
        <v>110.99</v>
      </c>
      <c r="E180" t="s">
        <v>25</v>
      </c>
      <c r="F180" t="s">
        <v>288</v>
      </c>
      <c r="G180" t="s">
        <v>20</v>
      </c>
      <c r="H180" t="s">
        <v>17</v>
      </c>
    </row>
    <row r="181" spans="1:8" x14ac:dyDescent="0.45">
      <c r="A181">
        <v>3559</v>
      </c>
      <c r="B181">
        <v>45222</v>
      </c>
      <c r="C181">
        <v>34</v>
      </c>
      <c r="D181">
        <v>3.81</v>
      </c>
      <c r="E181" t="s">
        <v>25</v>
      </c>
      <c r="F181" t="s">
        <v>299</v>
      </c>
      <c r="G181" t="s">
        <v>13</v>
      </c>
      <c r="H181" t="s">
        <v>11</v>
      </c>
    </row>
    <row r="182" spans="1:8" x14ac:dyDescent="0.45">
      <c r="A182">
        <v>3650</v>
      </c>
      <c r="B182">
        <v>45073</v>
      </c>
      <c r="C182">
        <v>36</v>
      </c>
      <c r="D182">
        <v>3.58</v>
      </c>
      <c r="E182" t="s">
        <v>25</v>
      </c>
      <c r="F182" t="s">
        <v>305</v>
      </c>
      <c r="G182" t="s">
        <v>20</v>
      </c>
      <c r="H182" t="s">
        <v>11</v>
      </c>
    </row>
    <row r="183" spans="1:8" x14ac:dyDescent="0.45">
      <c r="A183">
        <v>3680</v>
      </c>
      <c r="B183">
        <v>45269</v>
      </c>
      <c r="C183">
        <v>24</v>
      </c>
      <c r="D183">
        <v>3.8</v>
      </c>
      <c r="E183" t="s">
        <v>25</v>
      </c>
      <c r="F183" t="s">
        <v>307</v>
      </c>
      <c r="G183" t="s">
        <v>13</v>
      </c>
      <c r="H183" t="s">
        <v>11</v>
      </c>
    </row>
    <row r="184" spans="1:8" x14ac:dyDescent="0.45">
      <c r="A184">
        <v>3745</v>
      </c>
      <c r="B184">
        <v>44467</v>
      </c>
      <c r="C184">
        <v>38</v>
      </c>
      <c r="D184">
        <v>29.18</v>
      </c>
      <c r="E184" t="s">
        <v>25</v>
      </c>
      <c r="F184" t="s">
        <v>309</v>
      </c>
      <c r="G184" t="s">
        <v>20</v>
      </c>
      <c r="H184" t="s">
        <v>15</v>
      </c>
    </row>
    <row r="185" spans="1:8" x14ac:dyDescent="0.45">
      <c r="A185">
        <v>3777</v>
      </c>
      <c r="B185">
        <v>43928</v>
      </c>
      <c r="C185">
        <v>14</v>
      </c>
      <c r="D185">
        <v>17.670000000000002</v>
      </c>
      <c r="E185" t="s">
        <v>25</v>
      </c>
      <c r="F185" t="s">
        <v>233</v>
      </c>
      <c r="G185" t="s">
        <v>10</v>
      </c>
      <c r="H185" t="s">
        <v>15</v>
      </c>
    </row>
    <row r="186" spans="1:8" x14ac:dyDescent="0.45">
      <c r="A186">
        <v>3810</v>
      </c>
      <c r="B186">
        <v>45185</v>
      </c>
      <c r="C186">
        <v>25</v>
      </c>
      <c r="D186">
        <v>2.61</v>
      </c>
      <c r="E186" t="s">
        <v>25</v>
      </c>
      <c r="F186" t="s">
        <v>138</v>
      </c>
      <c r="G186" t="s">
        <v>13</v>
      </c>
      <c r="H186" t="s">
        <v>11</v>
      </c>
    </row>
    <row r="187" spans="1:8" x14ac:dyDescent="0.45">
      <c r="A187">
        <v>3814</v>
      </c>
      <c r="B187">
        <v>44613</v>
      </c>
      <c r="C187">
        <v>43</v>
      </c>
      <c r="D187">
        <v>28.28</v>
      </c>
      <c r="E187" t="s">
        <v>25</v>
      </c>
      <c r="F187" t="s">
        <v>313</v>
      </c>
      <c r="G187" t="s">
        <v>23</v>
      </c>
      <c r="H187" t="s">
        <v>11</v>
      </c>
    </row>
    <row r="188" spans="1:8" x14ac:dyDescent="0.45">
      <c r="A188">
        <v>3841</v>
      </c>
      <c r="B188">
        <v>44108</v>
      </c>
      <c r="C188">
        <v>43</v>
      </c>
      <c r="D188">
        <v>205.99</v>
      </c>
      <c r="E188" t="s">
        <v>25</v>
      </c>
      <c r="F188" t="s">
        <v>314</v>
      </c>
      <c r="G188" t="s">
        <v>10</v>
      </c>
      <c r="H188" t="s">
        <v>17</v>
      </c>
    </row>
    <row r="189" spans="1:8" x14ac:dyDescent="0.45">
      <c r="A189">
        <v>3877</v>
      </c>
      <c r="B189">
        <v>44336</v>
      </c>
      <c r="C189">
        <v>14</v>
      </c>
      <c r="D189">
        <v>48.04</v>
      </c>
      <c r="E189" t="s">
        <v>25</v>
      </c>
      <c r="F189" t="s">
        <v>193</v>
      </c>
      <c r="G189" t="s">
        <v>13</v>
      </c>
      <c r="H189" t="s">
        <v>11</v>
      </c>
    </row>
    <row r="190" spans="1:8" x14ac:dyDescent="0.45">
      <c r="A190">
        <v>3907</v>
      </c>
      <c r="B190">
        <v>45156</v>
      </c>
      <c r="C190">
        <v>36</v>
      </c>
      <c r="D190">
        <v>29.99</v>
      </c>
      <c r="E190" t="s">
        <v>25</v>
      </c>
      <c r="F190" t="s">
        <v>240</v>
      </c>
      <c r="G190" t="s">
        <v>10</v>
      </c>
      <c r="H190" t="s">
        <v>17</v>
      </c>
    </row>
    <row r="191" spans="1:8" x14ac:dyDescent="0.45">
      <c r="A191">
        <v>4069</v>
      </c>
      <c r="B191">
        <v>45058</v>
      </c>
      <c r="C191">
        <v>47</v>
      </c>
      <c r="D191">
        <v>2.78</v>
      </c>
      <c r="E191" t="s">
        <v>25</v>
      </c>
      <c r="F191" t="s">
        <v>125</v>
      </c>
      <c r="G191" t="s">
        <v>23</v>
      </c>
      <c r="H191" t="s">
        <v>11</v>
      </c>
    </row>
    <row r="192" spans="1:8" x14ac:dyDescent="0.45">
      <c r="A192">
        <v>4070</v>
      </c>
      <c r="B192">
        <v>44723</v>
      </c>
      <c r="C192">
        <v>22</v>
      </c>
      <c r="D192">
        <v>28.48</v>
      </c>
      <c r="E192" t="s">
        <v>25</v>
      </c>
      <c r="F192" t="s">
        <v>76</v>
      </c>
      <c r="G192" t="s">
        <v>20</v>
      </c>
      <c r="H192" t="s">
        <v>17</v>
      </c>
    </row>
    <row r="193" spans="1:8" x14ac:dyDescent="0.45">
      <c r="A193">
        <v>4199</v>
      </c>
      <c r="B193">
        <v>44969</v>
      </c>
      <c r="C193">
        <v>43</v>
      </c>
      <c r="D193">
        <v>14.2</v>
      </c>
      <c r="E193" t="s">
        <v>25</v>
      </c>
      <c r="F193" t="s">
        <v>328</v>
      </c>
      <c r="G193" t="s">
        <v>13</v>
      </c>
      <c r="H193" t="s">
        <v>15</v>
      </c>
    </row>
    <row r="194" spans="1:8" x14ac:dyDescent="0.45">
      <c r="A194">
        <v>4230</v>
      </c>
      <c r="B194">
        <v>44988</v>
      </c>
      <c r="C194">
        <v>46</v>
      </c>
      <c r="D194">
        <v>65.989999999999995</v>
      </c>
      <c r="E194" t="s">
        <v>25</v>
      </c>
      <c r="F194" t="s">
        <v>329</v>
      </c>
      <c r="G194" t="s">
        <v>13</v>
      </c>
      <c r="H194" t="s">
        <v>17</v>
      </c>
    </row>
    <row r="195" spans="1:8" x14ac:dyDescent="0.45">
      <c r="A195">
        <v>4321</v>
      </c>
      <c r="B195">
        <v>44029</v>
      </c>
      <c r="C195">
        <v>47</v>
      </c>
      <c r="D195">
        <v>30.53</v>
      </c>
      <c r="E195" t="s">
        <v>25</v>
      </c>
      <c r="F195" t="s">
        <v>29</v>
      </c>
      <c r="G195" t="s">
        <v>13</v>
      </c>
      <c r="H195" t="s">
        <v>11</v>
      </c>
    </row>
    <row r="196" spans="1:8" x14ac:dyDescent="0.45">
      <c r="A196">
        <v>4389</v>
      </c>
      <c r="B196">
        <v>43955</v>
      </c>
      <c r="C196">
        <v>42</v>
      </c>
      <c r="D196">
        <v>65.989999999999995</v>
      </c>
      <c r="E196" t="s">
        <v>25</v>
      </c>
      <c r="F196" t="s">
        <v>333</v>
      </c>
      <c r="G196" t="s">
        <v>13</v>
      </c>
      <c r="H196" t="s">
        <v>17</v>
      </c>
    </row>
    <row r="197" spans="1:8" x14ac:dyDescent="0.45">
      <c r="A197">
        <v>4642</v>
      </c>
      <c r="B197">
        <v>44618</v>
      </c>
      <c r="C197">
        <v>21</v>
      </c>
      <c r="D197">
        <v>14.03</v>
      </c>
      <c r="E197" t="s">
        <v>25</v>
      </c>
      <c r="F197" t="s">
        <v>154</v>
      </c>
      <c r="G197" t="s">
        <v>13</v>
      </c>
      <c r="H197" t="s">
        <v>11</v>
      </c>
    </row>
    <row r="198" spans="1:8" x14ac:dyDescent="0.45">
      <c r="A198">
        <v>4676</v>
      </c>
      <c r="B198">
        <v>44804</v>
      </c>
      <c r="C198">
        <v>3</v>
      </c>
      <c r="D198">
        <v>12.28</v>
      </c>
      <c r="E198" t="s">
        <v>25</v>
      </c>
      <c r="F198" t="s">
        <v>173</v>
      </c>
      <c r="G198" t="s">
        <v>20</v>
      </c>
      <c r="H198" t="s">
        <v>11</v>
      </c>
    </row>
    <row r="199" spans="1:8" x14ac:dyDescent="0.45">
      <c r="A199">
        <v>4896</v>
      </c>
      <c r="B199">
        <v>45159</v>
      </c>
      <c r="C199">
        <v>10</v>
      </c>
      <c r="D199">
        <v>125.99</v>
      </c>
      <c r="E199" t="s">
        <v>25</v>
      </c>
      <c r="F199" t="s">
        <v>350</v>
      </c>
      <c r="G199" t="s">
        <v>10</v>
      </c>
      <c r="H199" t="s">
        <v>17</v>
      </c>
    </row>
    <row r="200" spans="1:8" x14ac:dyDescent="0.45">
      <c r="A200">
        <v>4960</v>
      </c>
      <c r="B200">
        <v>44617</v>
      </c>
      <c r="C200">
        <v>4</v>
      </c>
      <c r="D200">
        <v>6.48</v>
      </c>
      <c r="E200" t="s">
        <v>25</v>
      </c>
      <c r="F200" t="s">
        <v>353</v>
      </c>
      <c r="G200" t="s">
        <v>13</v>
      </c>
      <c r="H200" t="s">
        <v>11</v>
      </c>
    </row>
    <row r="201" spans="1:8" x14ac:dyDescent="0.45">
      <c r="A201">
        <v>5059</v>
      </c>
      <c r="B201">
        <v>44509</v>
      </c>
      <c r="C201">
        <v>5</v>
      </c>
      <c r="D201">
        <v>5.44</v>
      </c>
      <c r="E201" t="s">
        <v>25</v>
      </c>
      <c r="F201" t="s">
        <v>355</v>
      </c>
      <c r="G201" t="s">
        <v>10</v>
      </c>
      <c r="H201" t="s">
        <v>11</v>
      </c>
    </row>
    <row r="202" spans="1:8" x14ac:dyDescent="0.45">
      <c r="A202">
        <v>5153</v>
      </c>
      <c r="B202">
        <v>44798</v>
      </c>
      <c r="C202">
        <v>37</v>
      </c>
      <c r="D202">
        <v>128.24</v>
      </c>
      <c r="E202" t="s">
        <v>25</v>
      </c>
      <c r="F202" t="s">
        <v>93</v>
      </c>
      <c r="G202" t="s">
        <v>20</v>
      </c>
      <c r="H202" t="s">
        <v>15</v>
      </c>
    </row>
    <row r="203" spans="1:8" x14ac:dyDescent="0.45">
      <c r="A203">
        <v>5217</v>
      </c>
      <c r="B203">
        <v>44846</v>
      </c>
      <c r="C203">
        <v>8</v>
      </c>
      <c r="D203">
        <v>40.98</v>
      </c>
      <c r="E203" t="s">
        <v>25</v>
      </c>
      <c r="F203" t="s">
        <v>246</v>
      </c>
      <c r="G203" t="s">
        <v>20</v>
      </c>
      <c r="H203" t="s">
        <v>11</v>
      </c>
    </row>
    <row r="204" spans="1:8" x14ac:dyDescent="0.45">
      <c r="A204">
        <v>5251</v>
      </c>
      <c r="B204">
        <v>44662</v>
      </c>
      <c r="C204">
        <v>38</v>
      </c>
      <c r="D204">
        <v>115.99</v>
      </c>
      <c r="E204" t="s">
        <v>25</v>
      </c>
      <c r="F204" t="s">
        <v>21</v>
      </c>
      <c r="G204" t="s">
        <v>13</v>
      </c>
      <c r="H204" t="s">
        <v>17</v>
      </c>
    </row>
    <row r="205" spans="1:8" x14ac:dyDescent="0.45">
      <c r="A205">
        <v>5317</v>
      </c>
      <c r="B205">
        <v>44082</v>
      </c>
      <c r="C205">
        <v>38</v>
      </c>
      <c r="D205">
        <v>5.34</v>
      </c>
      <c r="E205" t="s">
        <v>25</v>
      </c>
      <c r="F205" t="s">
        <v>240</v>
      </c>
      <c r="G205" t="s">
        <v>10</v>
      </c>
      <c r="H205" t="s">
        <v>11</v>
      </c>
    </row>
    <row r="206" spans="1:8" x14ac:dyDescent="0.45">
      <c r="A206">
        <v>5318</v>
      </c>
      <c r="B206">
        <v>44289</v>
      </c>
      <c r="C206">
        <v>29</v>
      </c>
      <c r="D206">
        <v>200.99</v>
      </c>
      <c r="E206" t="s">
        <v>25</v>
      </c>
      <c r="F206" t="s">
        <v>66</v>
      </c>
      <c r="G206" t="s">
        <v>23</v>
      </c>
      <c r="H206" t="s">
        <v>17</v>
      </c>
    </row>
    <row r="207" spans="1:8" x14ac:dyDescent="0.45">
      <c r="A207">
        <v>5378</v>
      </c>
      <c r="B207">
        <v>45223</v>
      </c>
      <c r="C207">
        <v>6</v>
      </c>
      <c r="D207">
        <v>6.24</v>
      </c>
      <c r="E207" t="s">
        <v>25</v>
      </c>
      <c r="F207" t="s">
        <v>368</v>
      </c>
      <c r="G207" t="s">
        <v>13</v>
      </c>
      <c r="H207" t="s">
        <v>15</v>
      </c>
    </row>
    <row r="208" spans="1:8" x14ac:dyDescent="0.45">
      <c r="A208">
        <v>5414</v>
      </c>
      <c r="B208">
        <v>44279</v>
      </c>
      <c r="C208">
        <v>14</v>
      </c>
      <c r="D208">
        <v>20.98</v>
      </c>
      <c r="E208" t="s">
        <v>25</v>
      </c>
      <c r="F208" t="s">
        <v>54</v>
      </c>
      <c r="G208" t="s">
        <v>13</v>
      </c>
      <c r="H208" t="s">
        <v>11</v>
      </c>
    </row>
    <row r="209" spans="1:8" x14ac:dyDescent="0.45">
      <c r="A209">
        <v>5445</v>
      </c>
      <c r="B209">
        <v>44402</v>
      </c>
      <c r="C209">
        <v>4</v>
      </c>
      <c r="D209">
        <v>3.69</v>
      </c>
      <c r="E209" t="s">
        <v>25</v>
      </c>
      <c r="F209" t="s">
        <v>32</v>
      </c>
      <c r="G209" t="s">
        <v>20</v>
      </c>
      <c r="H209" t="s">
        <v>11</v>
      </c>
    </row>
    <row r="210" spans="1:8" x14ac:dyDescent="0.45">
      <c r="A210">
        <v>5504</v>
      </c>
      <c r="B210">
        <v>44201</v>
      </c>
      <c r="C210">
        <v>6</v>
      </c>
      <c r="D210">
        <v>5.78</v>
      </c>
      <c r="E210" t="s">
        <v>25</v>
      </c>
      <c r="F210" t="s">
        <v>373</v>
      </c>
      <c r="G210" t="s">
        <v>10</v>
      </c>
      <c r="H210" t="s">
        <v>11</v>
      </c>
    </row>
    <row r="211" spans="1:8" x14ac:dyDescent="0.45">
      <c r="A211">
        <v>5511</v>
      </c>
      <c r="B211">
        <v>44163</v>
      </c>
      <c r="C211">
        <v>46</v>
      </c>
      <c r="D211">
        <v>2.58</v>
      </c>
      <c r="E211" t="s">
        <v>25</v>
      </c>
      <c r="F211" t="s">
        <v>171</v>
      </c>
      <c r="G211" t="s">
        <v>13</v>
      </c>
      <c r="H211" t="s">
        <v>11</v>
      </c>
    </row>
    <row r="212" spans="1:8" x14ac:dyDescent="0.45">
      <c r="A212">
        <v>5699</v>
      </c>
      <c r="B212">
        <v>45136</v>
      </c>
      <c r="C212">
        <v>41</v>
      </c>
      <c r="D212">
        <v>14.98</v>
      </c>
      <c r="E212" t="s">
        <v>25</v>
      </c>
      <c r="F212" t="s">
        <v>388</v>
      </c>
      <c r="G212" t="s">
        <v>10</v>
      </c>
      <c r="H212" t="s">
        <v>11</v>
      </c>
    </row>
    <row r="213" spans="1:8" x14ac:dyDescent="0.45">
      <c r="A213">
        <v>5767</v>
      </c>
      <c r="B213">
        <v>45044</v>
      </c>
      <c r="C213">
        <v>36</v>
      </c>
      <c r="D213">
        <v>4.13</v>
      </c>
      <c r="E213" t="s">
        <v>25</v>
      </c>
      <c r="F213" t="s">
        <v>391</v>
      </c>
      <c r="G213" t="s">
        <v>10</v>
      </c>
      <c r="H213" t="s">
        <v>11</v>
      </c>
    </row>
    <row r="214" spans="1:8" x14ac:dyDescent="0.45">
      <c r="A214">
        <v>5890</v>
      </c>
      <c r="B214">
        <v>45233</v>
      </c>
      <c r="C214">
        <v>42</v>
      </c>
      <c r="D214">
        <v>20.99</v>
      </c>
      <c r="E214" t="s">
        <v>25</v>
      </c>
      <c r="F214" t="s">
        <v>394</v>
      </c>
      <c r="G214" t="s">
        <v>23</v>
      </c>
      <c r="H214" t="s">
        <v>17</v>
      </c>
    </row>
    <row r="215" spans="1:8" x14ac:dyDescent="0.45">
      <c r="A215">
        <v>5921</v>
      </c>
      <c r="B215">
        <v>43927</v>
      </c>
      <c r="C215">
        <v>27</v>
      </c>
      <c r="D215">
        <v>13.43</v>
      </c>
      <c r="E215" t="s">
        <v>25</v>
      </c>
      <c r="F215" t="s">
        <v>397</v>
      </c>
      <c r="G215" t="s">
        <v>13</v>
      </c>
      <c r="H215" t="s">
        <v>11</v>
      </c>
    </row>
    <row r="216" spans="1:8" x14ac:dyDescent="0.45">
      <c r="A216">
        <v>5988</v>
      </c>
      <c r="B216">
        <v>44521</v>
      </c>
      <c r="C216">
        <v>40</v>
      </c>
      <c r="D216">
        <v>499.99</v>
      </c>
      <c r="E216" t="s">
        <v>25</v>
      </c>
      <c r="F216" t="s">
        <v>50</v>
      </c>
      <c r="G216" t="s">
        <v>20</v>
      </c>
      <c r="H216" t="s">
        <v>17</v>
      </c>
    </row>
    <row r="217" spans="1:8" x14ac:dyDescent="0.45">
      <c r="A217">
        <v>6054</v>
      </c>
      <c r="B217">
        <v>44812</v>
      </c>
      <c r="C217">
        <v>6</v>
      </c>
      <c r="D217">
        <v>2.08</v>
      </c>
      <c r="E217" t="s">
        <v>25</v>
      </c>
      <c r="F217" t="s">
        <v>167</v>
      </c>
      <c r="G217" t="s">
        <v>13</v>
      </c>
      <c r="H217" t="s">
        <v>15</v>
      </c>
    </row>
    <row r="218" spans="1:8" x14ac:dyDescent="0.45">
      <c r="A218">
        <v>6054</v>
      </c>
      <c r="B218">
        <v>44812</v>
      </c>
      <c r="C218">
        <v>43</v>
      </c>
      <c r="D218">
        <v>15.42</v>
      </c>
      <c r="E218" t="s">
        <v>25</v>
      </c>
      <c r="F218" t="s">
        <v>167</v>
      </c>
      <c r="G218" t="s">
        <v>13</v>
      </c>
      <c r="H218" t="s">
        <v>11</v>
      </c>
    </row>
    <row r="219" spans="1:8" x14ac:dyDescent="0.45">
      <c r="A219">
        <v>6148</v>
      </c>
      <c r="B219">
        <v>44919</v>
      </c>
      <c r="C219">
        <v>18</v>
      </c>
      <c r="D219">
        <v>20.28</v>
      </c>
      <c r="E219" t="s">
        <v>25</v>
      </c>
      <c r="F219" t="s">
        <v>409</v>
      </c>
      <c r="G219" t="s">
        <v>10</v>
      </c>
      <c r="H219" t="s">
        <v>15</v>
      </c>
    </row>
    <row r="220" spans="1:8" x14ac:dyDescent="0.45">
      <c r="A220">
        <v>6182</v>
      </c>
      <c r="B220">
        <v>45128</v>
      </c>
      <c r="C220">
        <v>18</v>
      </c>
      <c r="D220">
        <v>6.48</v>
      </c>
      <c r="E220" t="s">
        <v>25</v>
      </c>
      <c r="F220" t="s">
        <v>211</v>
      </c>
      <c r="G220" t="s">
        <v>13</v>
      </c>
      <c r="H220" t="s">
        <v>11</v>
      </c>
    </row>
    <row r="221" spans="1:8" x14ac:dyDescent="0.45">
      <c r="A221">
        <v>6241</v>
      </c>
      <c r="B221">
        <v>44194</v>
      </c>
      <c r="C221">
        <v>24</v>
      </c>
      <c r="D221">
        <v>5.84</v>
      </c>
      <c r="E221" t="s">
        <v>25</v>
      </c>
      <c r="F221" t="s">
        <v>411</v>
      </c>
      <c r="G221" t="s">
        <v>10</v>
      </c>
      <c r="H221" t="s">
        <v>11</v>
      </c>
    </row>
    <row r="222" spans="1:8" x14ac:dyDescent="0.45">
      <c r="A222">
        <v>6272</v>
      </c>
      <c r="B222">
        <v>44254</v>
      </c>
      <c r="C222">
        <v>8</v>
      </c>
      <c r="D222">
        <v>55.99</v>
      </c>
      <c r="E222" t="s">
        <v>25</v>
      </c>
      <c r="F222" t="s">
        <v>377</v>
      </c>
      <c r="G222" t="s">
        <v>13</v>
      </c>
      <c r="H222" t="s">
        <v>17</v>
      </c>
    </row>
    <row r="223" spans="1:8" x14ac:dyDescent="0.45">
      <c r="A223">
        <v>6274</v>
      </c>
      <c r="B223">
        <v>44756</v>
      </c>
      <c r="C223">
        <v>22</v>
      </c>
      <c r="D223">
        <v>1.74</v>
      </c>
      <c r="E223" t="s">
        <v>25</v>
      </c>
      <c r="F223" t="s">
        <v>102</v>
      </c>
      <c r="G223" t="s">
        <v>20</v>
      </c>
      <c r="H223" t="s">
        <v>15</v>
      </c>
    </row>
    <row r="224" spans="1:8" x14ac:dyDescent="0.45">
      <c r="A224">
        <v>6336</v>
      </c>
      <c r="B224">
        <v>44801</v>
      </c>
      <c r="C224">
        <v>43</v>
      </c>
      <c r="D224">
        <v>7.1</v>
      </c>
      <c r="E224" t="s">
        <v>25</v>
      </c>
      <c r="F224" t="s">
        <v>414</v>
      </c>
      <c r="G224" t="s">
        <v>20</v>
      </c>
      <c r="H224" t="s">
        <v>11</v>
      </c>
    </row>
    <row r="225" spans="1:8" x14ac:dyDescent="0.45">
      <c r="A225">
        <v>6374</v>
      </c>
      <c r="B225">
        <v>44780</v>
      </c>
      <c r="C225">
        <v>29</v>
      </c>
      <c r="D225">
        <v>31.11</v>
      </c>
      <c r="E225" t="s">
        <v>25</v>
      </c>
      <c r="F225" t="s">
        <v>415</v>
      </c>
      <c r="G225" t="s">
        <v>13</v>
      </c>
      <c r="H225" t="s">
        <v>17</v>
      </c>
    </row>
    <row r="226" spans="1:8" x14ac:dyDescent="0.45">
      <c r="A226">
        <v>6465</v>
      </c>
      <c r="B226">
        <v>44785</v>
      </c>
      <c r="C226">
        <v>36</v>
      </c>
      <c r="D226">
        <v>6.88</v>
      </c>
      <c r="E226" t="s">
        <v>25</v>
      </c>
      <c r="F226" t="s">
        <v>419</v>
      </c>
      <c r="G226" t="s">
        <v>10</v>
      </c>
      <c r="H226" t="s">
        <v>11</v>
      </c>
    </row>
    <row r="227" spans="1:8" x14ac:dyDescent="0.45">
      <c r="A227">
        <v>6498</v>
      </c>
      <c r="B227">
        <v>43907</v>
      </c>
      <c r="C227">
        <v>38</v>
      </c>
      <c r="D227">
        <v>8.1199999999999992</v>
      </c>
      <c r="E227" t="s">
        <v>25</v>
      </c>
      <c r="F227" t="s">
        <v>420</v>
      </c>
      <c r="G227" t="s">
        <v>20</v>
      </c>
      <c r="H227" t="s">
        <v>17</v>
      </c>
    </row>
    <row r="228" spans="1:8" x14ac:dyDescent="0.45">
      <c r="A228">
        <v>6502</v>
      </c>
      <c r="B228">
        <v>44793</v>
      </c>
      <c r="C228">
        <v>16</v>
      </c>
      <c r="D228">
        <v>7.64</v>
      </c>
      <c r="E228" t="s">
        <v>25</v>
      </c>
      <c r="F228" t="s">
        <v>121</v>
      </c>
      <c r="G228" t="s">
        <v>20</v>
      </c>
      <c r="H228" t="s">
        <v>11</v>
      </c>
    </row>
    <row r="229" spans="1:8" x14ac:dyDescent="0.45">
      <c r="A229">
        <v>6535</v>
      </c>
      <c r="B229">
        <v>45089</v>
      </c>
      <c r="C229">
        <v>11</v>
      </c>
      <c r="D229">
        <v>28.15</v>
      </c>
      <c r="E229" t="s">
        <v>25</v>
      </c>
      <c r="F229" t="s">
        <v>344</v>
      </c>
      <c r="G229" t="s">
        <v>13</v>
      </c>
      <c r="H229" t="s">
        <v>11</v>
      </c>
    </row>
    <row r="230" spans="1:8" x14ac:dyDescent="0.45">
      <c r="A230">
        <v>6592</v>
      </c>
      <c r="B230">
        <v>44166</v>
      </c>
      <c r="C230">
        <v>33</v>
      </c>
      <c r="D230">
        <v>48.91</v>
      </c>
      <c r="E230" t="s">
        <v>25</v>
      </c>
      <c r="F230" t="s">
        <v>80</v>
      </c>
      <c r="G230" t="s">
        <v>23</v>
      </c>
      <c r="H230" t="s">
        <v>11</v>
      </c>
    </row>
    <row r="231" spans="1:8" x14ac:dyDescent="0.45">
      <c r="A231">
        <v>6695</v>
      </c>
      <c r="B231">
        <v>45104</v>
      </c>
      <c r="C231">
        <v>49</v>
      </c>
      <c r="D231">
        <v>5.81</v>
      </c>
      <c r="E231" t="s">
        <v>25</v>
      </c>
      <c r="F231" t="s">
        <v>427</v>
      </c>
      <c r="G231" t="s">
        <v>13</v>
      </c>
      <c r="H231" t="s">
        <v>11</v>
      </c>
    </row>
    <row r="232" spans="1:8" x14ac:dyDescent="0.45">
      <c r="A232">
        <v>6788</v>
      </c>
      <c r="B232">
        <v>44777</v>
      </c>
      <c r="C232">
        <v>41</v>
      </c>
      <c r="D232">
        <v>2.94</v>
      </c>
      <c r="E232" t="s">
        <v>25</v>
      </c>
      <c r="F232" t="s">
        <v>226</v>
      </c>
      <c r="G232" t="s">
        <v>10</v>
      </c>
      <c r="H232" t="s">
        <v>11</v>
      </c>
    </row>
    <row r="233" spans="1:8" x14ac:dyDescent="0.45">
      <c r="A233">
        <v>6791</v>
      </c>
      <c r="B233">
        <v>44593</v>
      </c>
      <c r="C233">
        <v>14</v>
      </c>
      <c r="D233">
        <v>51.98</v>
      </c>
      <c r="E233" t="s">
        <v>25</v>
      </c>
      <c r="F233" t="s">
        <v>431</v>
      </c>
      <c r="G233" t="s">
        <v>10</v>
      </c>
      <c r="H233" t="s">
        <v>17</v>
      </c>
    </row>
    <row r="234" spans="1:8" x14ac:dyDescent="0.45">
      <c r="A234">
        <v>6854</v>
      </c>
      <c r="B234">
        <v>43836</v>
      </c>
      <c r="C234">
        <v>1</v>
      </c>
      <c r="D234">
        <v>7.68</v>
      </c>
      <c r="E234" t="s">
        <v>25</v>
      </c>
      <c r="F234" t="s">
        <v>434</v>
      </c>
      <c r="G234" t="s">
        <v>23</v>
      </c>
      <c r="H234" t="s">
        <v>11</v>
      </c>
    </row>
    <row r="235" spans="1:8" x14ac:dyDescent="0.45">
      <c r="A235">
        <v>6854</v>
      </c>
      <c r="B235">
        <v>43836</v>
      </c>
      <c r="C235">
        <v>19</v>
      </c>
      <c r="D235">
        <v>6.64</v>
      </c>
      <c r="E235" t="s">
        <v>25</v>
      </c>
      <c r="F235" t="s">
        <v>434</v>
      </c>
      <c r="G235" t="s">
        <v>23</v>
      </c>
      <c r="H235" t="s">
        <v>15</v>
      </c>
    </row>
    <row r="236" spans="1:8" x14ac:dyDescent="0.45">
      <c r="A236">
        <v>6916</v>
      </c>
      <c r="B236">
        <v>44351</v>
      </c>
      <c r="C236">
        <v>40</v>
      </c>
      <c r="D236">
        <v>10.9</v>
      </c>
      <c r="E236" t="s">
        <v>25</v>
      </c>
      <c r="F236" t="s">
        <v>437</v>
      </c>
      <c r="G236" t="s">
        <v>23</v>
      </c>
      <c r="H236" t="s">
        <v>11</v>
      </c>
    </row>
    <row r="237" spans="1:8" x14ac:dyDescent="0.45">
      <c r="A237">
        <v>6982</v>
      </c>
      <c r="B237">
        <v>44881</v>
      </c>
      <c r="C237">
        <v>32</v>
      </c>
      <c r="D237">
        <v>39.479999999999997</v>
      </c>
      <c r="E237" t="s">
        <v>25</v>
      </c>
      <c r="F237" t="s">
        <v>317</v>
      </c>
      <c r="G237" t="s">
        <v>13</v>
      </c>
      <c r="H237" t="s">
        <v>17</v>
      </c>
    </row>
    <row r="238" spans="1:8" x14ac:dyDescent="0.45">
      <c r="A238">
        <v>7015</v>
      </c>
      <c r="B238">
        <v>44481</v>
      </c>
      <c r="C238">
        <v>42</v>
      </c>
      <c r="D238">
        <v>195.99</v>
      </c>
      <c r="E238" t="s">
        <v>25</v>
      </c>
      <c r="F238" t="s">
        <v>41</v>
      </c>
      <c r="G238" t="s">
        <v>20</v>
      </c>
      <c r="H238" t="s">
        <v>17</v>
      </c>
    </row>
    <row r="239" spans="1:8" x14ac:dyDescent="0.45">
      <c r="A239">
        <v>7078</v>
      </c>
      <c r="B239">
        <v>44297</v>
      </c>
      <c r="C239">
        <v>11</v>
      </c>
      <c r="D239">
        <v>3.36</v>
      </c>
      <c r="E239" t="s">
        <v>25</v>
      </c>
      <c r="F239" t="s">
        <v>57</v>
      </c>
      <c r="G239" t="s">
        <v>13</v>
      </c>
      <c r="H239" t="s">
        <v>11</v>
      </c>
    </row>
    <row r="240" spans="1:8" x14ac:dyDescent="0.45">
      <c r="A240">
        <v>7078</v>
      </c>
      <c r="B240">
        <v>44297</v>
      </c>
      <c r="C240">
        <v>29</v>
      </c>
      <c r="D240">
        <v>14.98</v>
      </c>
      <c r="E240" t="s">
        <v>25</v>
      </c>
      <c r="F240" t="s">
        <v>57</v>
      </c>
      <c r="G240" t="s">
        <v>13</v>
      </c>
      <c r="H240" t="s">
        <v>15</v>
      </c>
    </row>
    <row r="241" spans="1:8" x14ac:dyDescent="0.45">
      <c r="A241">
        <v>3</v>
      </c>
      <c r="B241">
        <v>44482</v>
      </c>
      <c r="C241">
        <v>6</v>
      </c>
      <c r="D241">
        <v>38.94</v>
      </c>
      <c r="E241" t="s">
        <v>8</v>
      </c>
      <c r="F241" t="s">
        <v>9</v>
      </c>
      <c r="G241" t="s">
        <v>10</v>
      </c>
      <c r="H241" t="s">
        <v>11</v>
      </c>
    </row>
    <row r="242" spans="1:8" x14ac:dyDescent="0.45">
      <c r="A242">
        <v>6</v>
      </c>
      <c r="B242">
        <v>44977</v>
      </c>
      <c r="C242">
        <v>2</v>
      </c>
      <c r="D242">
        <v>2.08</v>
      </c>
      <c r="E242" t="s">
        <v>8</v>
      </c>
      <c r="F242" t="s">
        <v>12</v>
      </c>
      <c r="G242" t="s">
        <v>13</v>
      </c>
      <c r="H242" t="s">
        <v>11</v>
      </c>
    </row>
    <row r="243" spans="1:8" x14ac:dyDescent="0.45">
      <c r="A243">
        <v>32</v>
      </c>
      <c r="B243">
        <v>44757</v>
      </c>
      <c r="C243">
        <v>26</v>
      </c>
      <c r="D243">
        <v>107.53</v>
      </c>
      <c r="E243" t="s">
        <v>8</v>
      </c>
      <c r="F243" t="s">
        <v>14</v>
      </c>
      <c r="G243" t="s">
        <v>13</v>
      </c>
      <c r="H243" t="s">
        <v>15</v>
      </c>
    </row>
    <row r="244" spans="1:8" x14ac:dyDescent="0.45">
      <c r="A244">
        <v>32</v>
      </c>
      <c r="B244">
        <v>44757</v>
      </c>
      <c r="C244">
        <v>23</v>
      </c>
      <c r="D244">
        <v>7.99</v>
      </c>
      <c r="E244" t="s">
        <v>8</v>
      </c>
      <c r="F244" t="s">
        <v>14</v>
      </c>
      <c r="G244" t="s">
        <v>13</v>
      </c>
      <c r="H244" t="s">
        <v>17</v>
      </c>
    </row>
    <row r="245" spans="1:8" x14ac:dyDescent="0.45">
      <c r="A245">
        <v>32</v>
      </c>
      <c r="B245">
        <v>44757</v>
      </c>
      <c r="C245">
        <v>15</v>
      </c>
      <c r="D245">
        <v>8.4600000000000009</v>
      </c>
      <c r="E245" t="s">
        <v>8</v>
      </c>
      <c r="F245" t="s">
        <v>14</v>
      </c>
      <c r="G245" t="s">
        <v>13</v>
      </c>
      <c r="H245" t="s">
        <v>17</v>
      </c>
    </row>
    <row r="246" spans="1:8" x14ac:dyDescent="0.45">
      <c r="A246">
        <v>35</v>
      </c>
      <c r="B246">
        <v>44856</v>
      </c>
      <c r="C246">
        <v>30</v>
      </c>
      <c r="D246">
        <v>9.11</v>
      </c>
      <c r="E246" t="s">
        <v>8</v>
      </c>
      <c r="F246" t="s">
        <v>18</v>
      </c>
      <c r="G246" t="s">
        <v>13</v>
      </c>
      <c r="H246" t="s">
        <v>11</v>
      </c>
    </row>
    <row r="247" spans="1:8" x14ac:dyDescent="0.45">
      <c r="A247">
        <v>35</v>
      </c>
      <c r="B247">
        <v>44856</v>
      </c>
      <c r="C247">
        <v>14</v>
      </c>
      <c r="D247">
        <v>155.99</v>
      </c>
      <c r="E247" t="s">
        <v>8</v>
      </c>
      <c r="F247" t="s">
        <v>18</v>
      </c>
      <c r="G247" t="s">
        <v>13</v>
      </c>
      <c r="H247" t="s">
        <v>17</v>
      </c>
    </row>
    <row r="248" spans="1:8" x14ac:dyDescent="0.45">
      <c r="A248">
        <v>36</v>
      </c>
      <c r="B248">
        <v>44867</v>
      </c>
      <c r="C248">
        <v>46</v>
      </c>
      <c r="D248">
        <v>65.989999999999995</v>
      </c>
      <c r="E248" t="s">
        <v>8</v>
      </c>
      <c r="F248" t="s">
        <v>19</v>
      </c>
      <c r="G248" t="s">
        <v>20</v>
      </c>
      <c r="H248" t="s">
        <v>17</v>
      </c>
    </row>
    <row r="249" spans="1:8" x14ac:dyDescent="0.45">
      <c r="A249">
        <v>65</v>
      </c>
      <c r="B249">
        <v>44637</v>
      </c>
      <c r="C249">
        <v>32</v>
      </c>
      <c r="D249">
        <v>115.79</v>
      </c>
      <c r="E249" t="s">
        <v>8</v>
      </c>
      <c r="F249" t="s">
        <v>21</v>
      </c>
      <c r="G249" t="s">
        <v>13</v>
      </c>
      <c r="H249" t="s">
        <v>17</v>
      </c>
    </row>
    <row r="250" spans="1:8" x14ac:dyDescent="0.45">
      <c r="A250">
        <v>32</v>
      </c>
      <c r="B250">
        <v>43661</v>
      </c>
      <c r="C250">
        <v>26</v>
      </c>
      <c r="D250">
        <v>107.53</v>
      </c>
      <c r="E250" t="s">
        <v>8</v>
      </c>
      <c r="F250" t="s">
        <v>14</v>
      </c>
      <c r="G250" t="s">
        <v>13</v>
      </c>
      <c r="H250" t="s">
        <v>15</v>
      </c>
    </row>
    <row r="251" spans="1:8" x14ac:dyDescent="0.45">
      <c r="A251">
        <v>32</v>
      </c>
      <c r="B251">
        <v>43661</v>
      </c>
      <c r="C251">
        <v>23</v>
      </c>
      <c r="D251">
        <v>7.99</v>
      </c>
      <c r="E251" t="s">
        <v>8</v>
      </c>
      <c r="F251" t="s">
        <v>14</v>
      </c>
      <c r="G251" t="s">
        <v>13</v>
      </c>
      <c r="H251" t="s">
        <v>17</v>
      </c>
    </row>
    <row r="252" spans="1:8" x14ac:dyDescent="0.45">
      <c r="A252">
        <v>32</v>
      </c>
      <c r="B252">
        <v>43661</v>
      </c>
      <c r="C252">
        <v>15</v>
      </c>
      <c r="D252">
        <v>8.4600000000000009</v>
      </c>
      <c r="E252" t="s">
        <v>8</v>
      </c>
      <c r="F252" t="s">
        <v>14</v>
      </c>
      <c r="G252" t="s">
        <v>13</v>
      </c>
      <c r="H252" t="s">
        <v>17</v>
      </c>
    </row>
    <row r="253" spans="1:8" x14ac:dyDescent="0.45">
      <c r="A253">
        <v>35</v>
      </c>
      <c r="B253">
        <v>43760</v>
      </c>
      <c r="C253">
        <v>30</v>
      </c>
      <c r="D253">
        <v>9.11</v>
      </c>
      <c r="E253" t="s">
        <v>8</v>
      </c>
      <c r="F253" t="s">
        <v>18</v>
      </c>
      <c r="G253" t="s">
        <v>13</v>
      </c>
      <c r="H253" t="s">
        <v>11</v>
      </c>
    </row>
    <row r="254" spans="1:8" x14ac:dyDescent="0.45">
      <c r="A254">
        <v>35</v>
      </c>
      <c r="B254">
        <v>43760</v>
      </c>
      <c r="C254">
        <v>14</v>
      </c>
      <c r="D254">
        <v>155.99</v>
      </c>
      <c r="E254" t="s">
        <v>8</v>
      </c>
      <c r="F254" t="s">
        <v>18</v>
      </c>
      <c r="G254" t="s">
        <v>13</v>
      </c>
      <c r="H254" t="s">
        <v>17</v>
      </c>
    </row>
    <row r="255" spans="1:8" x14ac:dyDescent="0.45">
      <c r="A255">
        <v>36</v>
      </c>
      <c r="B255">
        <v>43760</v>
      </c>
      <c r="C255">
        <v>46</v>
      </c>
      <c r="D255">
        <v>65.989999999999995</v>
      </c>
      <c r="E255" t="s">
        <v>8</v>
      </c>
      <c r="F255" t="s">
        <v>19</v>
      </c>
      <c r="G255" t="s">
        <v>20</v>
      </c>
      <c r="H255" t="s">
        <v>17</v>
      </c>
    </row>
    <row r="256" spans="1:8" x14ac:dyDescent="0.45">
      <c r="A256">
        <v>65</v>
      </c>
      <c r="B256">
        <v>43760</v>
      </c>
      <c r="C256">
        <v>32</v>
      </c>
      <c r="D256">
        <v>115.79</v>
      </c>
      <c r="E256" t="s">
        <v>8</v>
      </c>
      <c r="F256" t="s">
        <v>21</v>
      </c>
      <c r="G256" t="s">
        <v>13</v>
      </c>
      <c r="H256" t="s">
        <v>17</v>
      </c>
    </row>
    <row r="257" spans="1:8" x14ac:dyDescent="0.45">
      <c r="A257">
        <v>66</v>
      </c>
      <c r="B257">
        <v>43849</v>
      </c>
      <c r="C257">
        <v>41</v>
      </c>
      <c r="D257">
        <v>2.88</v>
      </c>
      <c r="E257" t="s">
        <v>8</v>
      </c>
      <c r="F257" t="s">
        <v>22</v>
      </c>
      <c r="G257" t="s">
        <v>23</v>
      </c>
      <c r="H257" t="s">
        <v>11</v>
      </c>
    </row>
    <row r="258" spans="1:8" x14ac:dyDescent="0.45">
      <c r="A258">
        <v>69</v>
      </c>
      <c r="B258">
        <v>43985</v>
      </c>
      <c r="C258">
        <v>42</v>
      </c>
      <c r="D258">
        <v>30.93</v>
      </c>
      <c r="E258" t="s">
        <v>8</v>
      </c>
      <c r="F258" t="s">
        <v>24</v>
      </c>
      <c r="G258" t="s">
        <v>13</v>
      </c>
      <c r="H258" t="s">
        <v>15</v>
      </c>
    </row>
    <row r="259" spans="1:8" x14ac:dyDescent="0.45">
      <c r="A259">
        <v>70</v>
      </c>
      <c r="B259">
        <v>44547</v>
      </c>
      <c r="C259">
        <v>48</v>
      </c>
      <c r="D259">
        <v>1.86</v>
      </c>
      <c r="E259" t="s">
        <v>8</v>
      </c>
      <c r="F259" t="s">
        <v>26</v>
      </c>
      <c r="G259" t="s">
        <v>20</v>
      </c>
      <c r="H259" t="s">
        <v>11</v>
      </c>
    </row>
    <row r="260" spans="1:8" x14ac:dyDescent="0.45">
      <c r="A260">
        <v>70</v>
      </c>
      <c r="B260">
        <v>44547</v>
      </c>
      <c r="C260">
        <v>46</v>
      </c>
      <c r="D260">
        <v>205.99</v>
      </c>
      <c r="E260" t="s">
        <v>8</v>
      </c>
      <c r="F260" t="s">
        <v>26</v>
      </c>
      <c r="G260" t="s">
        <v>20</v>
      </c>
      <c r="H260" t="s">
        <v>17</v>
      </c>
    </row>
    <row r="261" spans="1:8" x14ac:dyDescent="0.45">
      <c r="A261">
        <v>96</v>
      </c>
      <c r="B261">
        <v>43937</v>
      </c>
      <c r="C261">
        <v>37</v>
      </c>
      <c r="D261">
        <v>125.99</v>
      </c>
      <c r="E261" t="s">
        <v>8</v>
      </c>
      <c r="F261" t="s">
        <v>27</v>
      </c>
      <c r="G261" t="s">
        <v>20</v>
      </c>
      <c r="H261" t="s">
        <v>17</v>
      </c>
    </row>
    <row r="262" spans="1:8" x14ac:dyDescent="0.45">
      <c r="A262">
        <v>97</v>
      </c>
      <c r="B262">
        <v>44224</v>
      </c>
      <c r="C262">
        <v>26</v>
      </c>
      <c r="D262">
        <v>2.89</v>
      </c>
      <c r="E262" t="s">
        <v>8</v>
      </c>
      <c r="F262" t="s">
        <v>28</v>
      </c>
      <c r="G262" t="s">
        <v>23</v>
      </c>
      <c r="H262" t="s">
        <v>11</v>
      </c>
    </row>
    <row r="263" spans="1:8" x14ac:dyDescent="0.45">
      <c r="A263">
        <v>129</v>
      </c>
      <c r="B263">
        <v>45248</v>
      </c>
      <c r="C263">
        <v>4</v>
      </c>
      <c r="D263">
        <v>6.48</v>
      </c>
      <c r="E263" t="s">
        <v>8</v>
      </c>
      <c r="F263" t="s">
        <v>29</v>
      </c>
      <c r="G263" t="s">
        <v>13</v>
      </c>
      <c r="H263" t="s">
        <v>11</v>
      </c>
    </row>
    <row r="264" spans="1:8" x14ac:dyDescent="0.45">
      <c r="A264">
        <v>130</v>
      </c>
      <c r="B264">
        <v>45053</v>
      </c>
      <c r="C264">
        <v>29</v>
      </c>
      <c r="D264">
        <v>18.97</v>
      </c>
      <c r="E264" t="s">
        <v>8</v>
      </c>
      <c r="F264" t="s">
        <v>30</v>
      </c>
      <c r="G264" t="s">
        <v>13</v>
      </c>
      <c r="H264" t="s">
        <v>11</v>
      </c>
    </row>
    <row r="265" spans="1:8" x14ac:dyDescent="0.45">
      <c r="A265">
        <v>130</v>
      </c>
      <c r="B265">
        <v>45053</v>
      </c>
      <c r="C265">
        <v>23</v>
      </c>
      <c r="D265">
        <v>9.7100000000000009</v>
      </c>
      <c r="E265" t="s">
        <v>8</v>
      </c>
      <c r="F265" t="s">
        <v>30</v>
      </c>
      <c r="G265" t="s">
        <v>13</v>
      </c>
      <c r="H265" t="s">
        <v>11</v>
      </c>
    </row>
    <row r="266" spans="1:8" x14ac:dyDescent="0.45">
      <c r="A266">
        <v>132</v>
      </c>
      <c r="B266">
        <v>44357</v>
      </c>
      <c r="C266">
        <v>27</v>
      </c>
      <c r="D266">
        <v>7.99</v>
      </c>
      <c r="E266" t="s">
        <v>8</v>
      </c>
      <c r="F266" t="s">
        <v>31</v>
      </c>
      <c r="G266" t="s">
        <v>23</v>
      </c>
      <c r="H266" t="s">
        <v>17</v>
      </c>
    </row>
    <row r="267" spans="1:8" x14ac:dyDescent="0.45">
      <c r="A267">
        <v>134</v>
      </c>
      <c r="B267">
        <v>45046</v>
      </c>
      <c r="C267">
        <v>11</v>
      </c>
      <c r="D267">
        <v>95.99</v>
      </c>
      <c r="E267" t="s">
        <v>8</v>
      </c>
      <c r="F267" t="s">
        <v>32</v>
      </c>
      <c r="G267" t="s">
        <v>20</v>
      </c>
      <c r="H267" t="s">
        <v>11</v>
      </c>
    </row>
    <row r="268" spans="1:8" x14ac:dyDescent="0.45">
      <c r="A268">
        <v>135</v>
      </c>
      <c r="B268">
        <v>44854</v>
      </c>
      <c r="C268">
        <v>25</v>
      </c>
      <c r="D268">
        <v>4.9800000000000004</v>
      </c>
      <c r="E268" t="s">
        <v>8</v>
      </c>
      <c r="F268" t="s">
        <v>33</v>
      </c>
      <c r="G268" t="s">
        <v>23</v>
      </c>
      <c r="H268" t="s">
        <v>17</v>
      </c>
    </row>
    <row r="269" spans="1:8" x14ac:dyDescent="0.45">
      <c r="A269">
        <v>193</v>
      </c>
      <c r="B269">
        <v>44415</v>
      </c>
      <c r="C269">
        <v>14</v>
      </c>
      <c r="D269">
        <v>12.44</v>
      </c>
      <c r="E269" t="s">
        <v>8</v>
      </c>
      <c r="F269" t="s">
        <v>35</v>
      </c>
      <c r="G269" t="s">
        <v>23</v>
      </c>
      <c r="H269" t="s">
        <v>11</v>
      </c>
    </row>
    <row r="270" spans="1:8" x14ac:dyDescent="0.45">
      <c r="A270">
        <v>194</v>
      </c>
      <c r="B270">
        <v>45020</v>
      </c>
      <c r="C270">
        <v>49</v>
      </c>
      <c r="D270">
        <v>7.28</v>
      </c>
      <c r="E270" t="s">
        <v>8</v>
      </c>
      <c r="F270" t="s">
        <v>36</v>
      </c>
      <c r="G270" t="s">
        <v>13</v>
      </c>
      <c r="H270" t="s">
        <v>15</v>
      </c>
    </row>
    <row r="271" spans="1:8" x14ac:dyDescent="0.45">
      <c r="A271">
        <v>194</v>
      </c>
      <c r="B271">
        <v>45020</v>
      </c>
      <c r="C271">
        <v>6</v>
      </c>
      <c r="D271">
        <v>3.14</v>
      </c>
      <c r="E271" t="s">
        <v>8</v>
      </c>
      <c r="F271" t="s">
        <v>36</v>
      </c>
      <c r="G271" t="s">
        <v>13</v>
      </c>
      <c r="H271" t="s">
        <v>11</v>
      </c>
    </row>
    <row r="272" spans="1:8" x14ac:dyDescent="0.45">
      <c r="A272">
        <v>195</v>
      </c>
      <c r="B272">
        <v>44557</v>
      </c>
      <c r="C272">
        <v>34</v>
      </c>
      <c r="D272">
        <v>36.549999999999997</v>
      </c>
      <c r="E272" t="s">
        <v>8</v>
      </c>
      <c r="F272" t="s">
        <v>37</v>
      </c>
      <c r="G272" t="s">
        <v>20</v>
      </c>
      <c r="H272" t="s">
        <v>11</v>
      </c>
    </row>
    <row r="273" spans="1:8" x14ac:dyDescent="0.45">
      <c r="A273">
        <v>197</v>
      </c>
      <c r="B273">
        <v>44657</v>
      </c>
      <c r="C273">
        <v>23</v>
      </c>
      <c r="D273">
        <v>12.98</v>
      </c>
      <c r="E273" t="s">
        <v>8</v>
      </c>
      <c r="F273" t="s">
        <v>38</v>
      </c>
      <c r="G273" t="s">
        <v>20</v>
      </c>
      <c r="H273" t="s">
        <v>11</v>
      </c>
    </row>
    <row r="274" spans="1:8" x14ac:dyDescent="0.45">
      <c r="A274">
        <v>224</v>
      </c>
      <c r="B274">
        <v>43999</v>
      </c>
      <c r="C274">
        <v>25</v>
      </c>
      <c r="D274">
        <v>7.38</v>
      </c>
      <c r="E274" t="s">
        <v>8</v>
      </c>
      <c r="F274" t="s">
        <v>39</v>
      </c>
      <c r="G274" t="s">
        <v>13</v>
      </c>
      <c r="H274" t="s">
        <v>15</v>
      </c>
    </row>
    <row r="275" spans="1:8" x14ac:dyDescent="0.45">
      <c r="A275">
        <v>224</v>
      </c>
      <c r="B275">
        <v>43999</v>
      </c>
      <c r="C275">
        <v>44</v>
      </c>
      <c r="D275">
        <v>5.98</v>
      </c>
      <c r="E275" t="s">
        <v>8</v>
      </c>
      <c r="F275" t="s">
        <v>39</v>
      </c>
      <c r="G275" t="s">
        <v>13</v>
      </c>
      <c r="H275" t="s">
        <v>11</v>
      </c>
    </row>
    <row r="276" spans="1:8" x14ac:dyDescent="0.45">
      <c r="A276">
        <v>224</v>
      </c>
      <c r="B276">
        <v>43999</v>
      </c>
      <c r="C276">
        <v>33</v>
      </c>
      <c r="D276">
        <v>15.42</v>
      </c>
      <c r="E276" t="s">
        <v>8</v>
      </c>
      <c r="F276" t="s">
        <v>39</v>
      </c>
      <c r="G276" t="s">
        <v>13</v>
      </c>
      <c r="H276" t="s">
        <v>11</v>
      </c>
    </row>
    <row r="277" spans="1:8" x14ac:dyDescent="0.45">
      <c r="A277">
        <v>225</v>
      </c>
      <c r="B277">
        <v>44705</v>
      </c>
      <c r="C277">
        <v>24</v>
      </c>
      <c r="D277">
        <v>5.58</v>
      </c>
      <c r="E277" t="s">
        <v>8</v>
      </c>
      <c r="F277" t="s">
        <v>40</v>
      </c>
      <c r="G277" t="s">
        <v>20</v>
      </c>
      <c r="H277" t="s">
        <v>11</v>
      </c>
    </row>
    <row r="278" spans="1:8" x14ac:dyDescent="0.45">
      <c r="A278">
        <v>225</v>
      </c>
      <c r="B278">
        <v>44705</v>
      </c>
      <c r="C278">
        <v>1</v>
      </c>
      <c r="D278">
        <v>19.84</v>
      </c>
      <c r="E278" t="s">
        <v>8</v>
      </c>
      <c r="F278" t="s">
        <v>40</v>
      </c>
      <c r="G278" t="s">
        <v>20</v>
      </c>
      <c r="H278" t="s">
        <v>11</v>
      </c>
    </row>
    <row r="279" spans="1:8" x14ac:dyDescent="0.45">
      <c r="A279">
        <v>229</v>
      </c>
      <c r="B279">
        <v>44558</v>
      </c>
      <c r="C279">
        <v>43</v>
      </c>
      <c r="D279">
        <v>12.64</v>
      </c>
      <c r="E279" t="s">
        <v>8</v>
      </c>
      <c r="F279" t="s">
        <v>41</v>
      </c>
      <c r="G279" t="s">
        <v>23</v>
      </c>
      <c r="H279" t="s">
        <v>15</v>
      </c>
    </row>
    <row r="280" spans="1:8" x14ac:dyDescent="0.45">
      <c r="A280">
        <v>229</v>
      </c>
      <c r="B280">
        <v>44558</v>
      </c>
      <c r="C280">
        <v>24</v>
      </c>
      <c r="D280">
        <v>24.92</v>
      </c>
      <c r="E280" t="s">
        <v>8</v>
      </c>
      <c r="F280" t="s">
        <v>42</v>
      </c>
      <c r="G280" t="s">
        <v>23</v>
      </c>
      <c r="H280" t="s">
        <v>11</v>
      </c>
    </row>
    <row r="281" spans="1:8" x14ac:dyDescent="0.45">
      <c r="A281">
        <v>230</v>
      </c>
      <c r="B281">
        <v>44495</v>
      </c>
      <c r="C281">
        <v>47</v>
      </c>
      <c r="D281">
        <v>43.98</v>
      </c>
      <c r="E281" t="s">
        <v>8</v>
      </c>
      <c r="F281" t="s">
        <v>43</v>
      </c>
      <c r="G281" t="s">
        <v>13</v>
      </c>
      <c r="H281" t="s">
        <v>11</v>
      </c>
    </row>
    <row r="282" spans="1:8" x14ac:dyDescent="0.45">
      <c r="A282">
        <v>230</v>
      </c>
      <c r="B282">
        <v>44495</v>
      </c>
      <c r="C282">
        <v>11</v>
      </c>
      <c r="D282">
        <v>125.99</v>
      </c>
      <c r="E282" t="s">
        <v>8</v>
      </c>
      <c r="F282" t="s">
        <v>43</v>
      </c>
      <c r="G282" t="s">
        <v>13</v>
      </c>
      <c r="H282" t="s">
        <v>17</v>
      </c>
    </row>
    <row r="283" spans="1:8" x14ac:dyDescent="0.45">
      <c r="A283">
        <v>231</v>
      </c>
      <c r="B283">
        <v>44102</v>
      </c>
      <c r="C283">
        <v>2</v>
      </c>
      <c r="D283">
        <v>363.25</v>
      </c>
      <c r="E283" t="s">
        <v>8</v>
      </c>
      <c r="F283" t="s">
        <v>44</v>
      </c>
      <c r="G283" t="s">
        <v>10</v>
      </c>
      <c r="H283" t="s">
        <v>11</v>
      </c>
    </row>
    <row r="284" spans="1:8" x14ac:dyDescent="0.45">
      <c r="A284">
        <v>258</v>
      </c>
      <c r="B284">
        <v>44558</v>
      </c>
      <c r="C284">
        <v>21</v>
      </c>
      <c r="D284">
        <v>6.48</v>
      </c>
      <c r="E284" t="s">
        <v>8</v>
      </c>
      <c r="F284" t="s">
        <v>45</v>
      </c>
      <c r="G284" t="s">
        <v>20</v>
      </c>
      <c r="H284" t="s">
        <v>11</v>
      </c>
    </row>
    <row r="285" spans="1:8" x14ac:dyDescent="0.45">
      <c r="A285">
        <v>258</v>
      </c>
      <c r="B285">
        <v>44558</v>
      </c>
      <c r="C285">
        <v>33</v>
      </c>
      <c r="D285">
        <v>6.54</v>
      </c>
      <c r="E285" t="s">
        <v>8</v>
      </c>
      <c r="F285" t="s">
        <v>45</v>
      </c>
      <c r="G285" t="s">
        <v>20</v>
      </c>
      <c r="H285" t="s">
        <v>11</v>
      </c>
    </row>
    <row r="286" spans="1:8" x14ac:dyDescent="0.45">
      <c r="A286">
        <v>261</v>
      </c>
      <c r="B286">
        <v>44375</v>
      </c>
      <c r="C286">
        <v>47</v>
      </c>
      <c r="D286">
        <v>140.99</v>
      </c>
      <c r="E286" t="s">
        <v>8</v>
      </c>
      <c r="F286" t="s">
        <v>46</v>
      </c>
      <c r="G286" t="s">
        <v>10</v>
      </c>
      <c r="H286" t="s">
        <v>17</v>
      </c>
    </row>
    <row r="287" spans="1:8" x14ac:dyDescent="0.45">
      <c r="A287">
        <v>263</v>
      </c>
      <c r="B287">
        <v>43967</v>
      </c>
      <c r="C287">
        <v>25</v>
      </c>
      <c r="D287">
        <v>5.4</v>
      </c>
      <c r="E287" t="s">
        <v>8</v>
      </c>
      <c r="F287" t="s">
        <v>47</v>
      </c>
      <c r="G287" t="s">
        <v>13</v>
      </c>
      <c r="H287" t="s">
        <v>11</v>
      </c>
    </row>
    <row r="288" spans="1:8" x14ac:dyDescent="0.45">
      <c r="A288">
        <v>290</v>
      </c>
      <c r="B288">
        <v>43835</v>
      </c>
      <c r="C288">
        <v>24</v>
      </c>
      <c r="D288">
        <v>7.64</v>
      </c>
      <c r="E288" t="s">
        <v>8</v>
      </c>
      <c r="F288" t="s">
        <v>48</v>
      </c>
      <c r="G288" t="s">
        <v>20</v>
      </c>
      <c r="H288" t="s">
        <v>11</v>
      </c>
    </row>
    <row r="289" spans="1:8" x14ac:dyDescent="0.45">
      <c r="A289">
        <v>292</v>
      </c>
      <c r="B289">
        <v>44938</v>
      </c>
      <c r="C289">
        <v>43</v>
      </c>
      <c r="D289">
        <v>9.9</v>
      </c>
      <c r="E289" t="s">
        <v>8</v>
      </c>
      <c r="F289" t="s">
        <v>34</v>
      </c>
      <c r="G289" t="s">
        <v>23</v>
      </c>
      <c r="H289" t="s">
        <v>11</v>
      </c>
    </row>
    <row r="290" spans="1:8" x14ac:dyDescent="0.45">
      <c r="A290">
        <v>293</v>
      </c>
      <c r="B290">
        <v>45200</v>
      </c>
      <c r="C290">
        <v>27</v>
      </c>
      <c r="D290">
        <v>8.69</v>
      </c>
      <c r="E290" t="s">
        <v>8</v>
      </c>
      <c r="F290" t="s">
        <v>49</v>
      </c>
      <c r="G290" t="s">
        <v>23</v>
      </c>
      <c r="H290" t="s">
        <v>11</v>
      </c>
    </row>
    <row r="291" spans="1:8" x14ac:dyDescent="0.45">
      <c r="A291">
        <v>294</v>
      </c>
      <c r="B291">
        <v>44392</v>
      </c>
      <c r="C291">
        <v>35</v>
      </c>
      <c r="D291">
        <v>193.17</v>
      </c>
      <c r="E291" t="s">
        <v>8</v>
      </c>
      <c r="F291" t="s">
        <v>50</v>
      </c>
      <c r="G291" t="s">
        <v>20</v>
      </c>
      <c r="H291" t="s">
        <v>11</v>
      </c>
    </row>
    <row r="292" spans="1:8" x14ac:dyDescent="0.45">
      <c r="A292">
        <v>322</v>
      </c>
      <c r="B292">
        <v>45003</v>
      </c>
      <c r="C292">
        <v>20</v>
      </c>
      <c r="D292">
        <v>155.99</v>
      </c>
      <c r="E292" t="s">
        <v>8</v>
      </c>
      <c r="F292" t="s">
        <v>51</v>
      </c>
      <c r="G292" t="s">
        <v>13</v>
      </c>
      <c r="H292" t="s">
        <v>17</v>
      </c>
    </row>
    <row r="293" spans="1:8" x14ac:dyDescent="0.45">
      <c r="A293">
        <v>322</v>
      </c>
      <c r="B293">
        <v>45003</v>
      </c>
      <c r="C293">
        <v>46</v>
      </c>
      <c r="D293">
        <v>6.48</v>
      </c>
      <c r="E293" t="s">
        <v>8</v>
      </c>
      <c r="F293" t="s">
        <v>51</v>
      </c>
      <c r="G293" t="s">
        <v>13</v>
      </c>
      <c r="H293" t="s">
        <v>11</v>
      </c>
    </row>
    <row r="294" spans="1:8" x14ac:dyDescent="0.45">
      <c r="A294">
        <v>323</v>
      </c>
      <c r="B294">
        <v>43915</v>
      </c>
      <c r="C294">
        <v>20</v>
      </c>
      <c r="D294">
        <v>5.68</v>
      </c>
      <c r="E294" t="s">
        <v>8</v>
      </c>
      <c r="F294" t="s">
        <v>52</v>
      </c>
      <c r="G294" t="s">
        <v>10</v>
      </c>
      <c r="H294" t="s">
        <v>11</v>
      </c>
    </row>
    <row r="295" spans="1:8" x14ac:dyDescent="0.45">
      <c r="A295">
        <v>323</v>
      </c>
      <c r="B295">
        <v>43915</v>
      </c>
      <c r="C295">
        <v>2</v>
      </c>
      <c r="D295">
        <v>22.84</v>
      </c>
      <c r="E295" t="s">
        <v>8</v>
      </c>
      <c r="F295" t="s">
        <v>52</v>
      </c>
      <c r="G295" t="s">
        <v>10</v>
      </c>
      <c r="H295" t="s">
        <v>11</v>
      </c>
    </row>
    <row r="296" spans="1:8" x14ac:dyDescent="0.45">
      <c r="A296">
        <v>324</v>
      </c>
      <c r="B296">
        <v>45004</v>
      </c>
      <c r="C296">
        <v>25</v>
      </c>
      <c r="D296">
        <v>179.99</v>
      </c>
      <c r="E296" t="s">
        <v>8</v>
      </c>
      <c r="F296" t="s">
        <v>53</v>
      </c>
      <c r="G296" t="s">
        <v>10</v>
      </c>
      <c r="H296" t="s">
        <v>17</v>
      </c>
    </row>
    <row r="297" spans="1:8" x14ac:dyDescent="0.45">
      <c r="A297">
        <v>325</v>
      </c>
      <c r="B297">
        <v>44485</v>
      </c>
      <c r="C297">
        <v>9</v>
      </c>
      <c r="D297">
        <v>115.99</v>
      </c>
      <c r="E297" t="s">
        <v>8</v>
      </c>
      <c r="F297" t="s">
        <v>28</v>
      </c>
      <c r="G297" t="s">
        <v>13</v>
      </c>
      <c r="H297" t="s">
        <v>17</v>
      </c>
    </row>
    <row r="298" spans="1:8" x14ac:dyDescent="0.45">
      <c r="A298">
        <v>326</v>
      </c>
      <c r="B298">
        <v>44715</v>
      </c>
      <c r="C298">
        <v>34</v>
      </c>
      <c r="D298">
        <v>5.99</v>
      </c>
      <c r="E298" t="s">
        <v>8</v>
      </c>
      <c r="F298" t="s">
        <v>54</v>
      </c>
      <c r="G298" t="s">
        <v>23</v>
      </c>
      <c r="H298" t="s">
        <v>11</v>
      </c>
    </row>
    <row r="299" spans="1:8" x14ac:dyDescent="0.45">
      <c r="A299">
        <v>326</v>
      </c>
      <c r="B299">
        <v>44715</v>
      </c>
      <c r="C299">
        <v>17</v>
      </c>
      <c r="D299">
        <v>5.81</v>
      </c>
      <c r="E299" t="s">
        <v>8</v>
      </c>
      <c r="F299" t="s">
        <v>54</v>
      </c>
      <c r="G299" t="s">
        <v>23</v>
      </c>
      <c r="H299" t="s">
        <v>11</v>
      </c>
    </row>
    <row r="300" spans="1:8" x14ac:dyDescent="0.45">
      <c r="A300">
        <v>353</v>
      </c>
      <c r="B300">
        <v>44560</v>
      </c>
      <c r="C300">
        <v>21</v>
      </c>
      <c r="D300">
        <v>2.21</v>
      </c>
      <c r="E300" t="s">
        <v>8</v>
      </c>
      <c r="F300" t="s">
        <v>55</v>
      </c>
      <c r="G300" t="s">
        <v>20</v>
      </c>
      <c r="H300" t="s">
        <v>11</v>
      </c>
    </row>
    <row r="301" spans="1:8" x14ac:dyDescent="0.45">
      <c r="A301">
        <v>355</v>
      </c>
      <c r="B301">
        <v>43995</v>
      </c>
      <c r="C301">
        <v>16</v>
      </c>
      <c r="D301">
        <v>85.99</v>
      </c>
      <c r="E301" t="s">
        <v>8</v>
      </c>
      <c r="F301" t="s">
        <v>56</v>
      </c>
      <c r="G301" t="s">
        <v>10</v>
      </c>
      <c r="H301" t="s">
        <v>17</v>
      </c>
    </row>
    <row r="302" spans="1:8" x14ac:dyDescent="0.45">
      <c r="A302">
        <v>358</v>
      </c>
      <c r="B302">
        <v>44458</v>
      </c>
      <c r="C302">
        <v>33</v>
      </c>
      <c r="D302">
        <v>39.479999999999997</v>
      </c>
      <c r="E302" t="s">
        <v>8</v>
      </c>
      <c r="F302" t="s">
        <v>57</v>
      </c>
      <c r="G302" t="s">
        <v>13</v>
      </c>
      <c r="H302" t="s">
        <v>17</v>
      </c>
    </row>
    <row r="303" spans="1:8" x14ac:dyDescent="0.45">
      <c r="A303">
        <v>386</v>
      </c>
      <c r="B303">
        <v>44585</v>
      </c>
      <c r="C303">
        <v>4</v>
      </c>
      <c r="D303">
        <v>3.69</v>
      </c>
      <c r="E303" t="s">
        <v>8</v>
      </c>
      <c r="F303" t="s">
        <v>60</v>
      </c>
      <c r="G303" t="s">
        <v>13</v>
      </c>
      <c r="H303" t="s">
        <v>11</v>
      </c>
    </row>
    <row r="304" spans="1:8" x14ac:dyDescent="0.45">
      <c r="A304">
        <v>386</v>
      </c>
      <c r="B304">
        <v>44585</v>
      </c>
      <c r="C304">
        <v>4</v>
      </c>
      <c r="D304">
        <v>3.85</v>
      </c>
      <c r="E304" t="s">
        <v>8</v>
      </c>
      <c r="F304" t="s">
        <v>60</v>
      </c>
      <c r="G304" t="s">
        <v>13</v>
      </c>
      <c r="H304" t="s">
        <v>11</v>
      </c>
    </row>
    <row r="305" spans="1:8" x14ac:dyDescent="0.45">
      <c r="A305">
        <v>388</v>
      </c>
      <c r="B305">
        <v>45275</v>
      </c>
      <c r="C305">
        <v>46</v>
      </c>
      <c r="D305">
        <v>11.7</v>
      </c>
      <c r="E305" t="s">
        <v>8</v>
      </c>
      <c r="F305" t="s">
        <v>61</v>
      </c>
      <c r="G305" t="s">
        <v>20</v>
      </c>
      <c r="H305" t="s">
        <v>11</v>
      </c>
    </row>
    <row r="306" spans="1:8" x14ac:dyDescent="0.45">
      <c r="A306">
        <v>417</v>
      </c>
      <c r="B306">
        <v>43866</v>
      </c>
      <c r="C306">
        <v>3</v>
      </c>
      <c r="D306">
        <v>178.47</v>
      </c>
      <c r="E306" t="s">
        <v>8</v>
      </c>
      <c r="F306" t="s">
        <v>63</v>
      </c>
      <c r="G306" t="s">
        <v>10</v>
      </c>
      <c r="H306" t="s">
        <v>11</v>
      </c>
    </row>
    <row r="307" spans="1:8" x14ac:dyDescent="0.45">
      <c r="A307">
        <v>420</v>
      </c>
      <c r="B307">
        <v>44864</v>
      </c>
      <c r="C307">
        <v>8</v>
      </c>
      <c r="D307">
        <v>4.9800000000000004</v>
      </c>
      <c r="E307" t="s">
        <v>8</v>
      </c>
      <c r="F307" t="s">
        <v>64</v>
      </c>
      <c r="G307" t="s">
        <v>10</v>
      </c>
      <c r="H307" t="s">
        <v>11</v>
      </c>
    </row>
    <row r="308" spans="1:8" x14ac:dyDescent="0.45">
      <c r="A308">
        <v>420</v>
      </c>
      <c r="B308">
        <v>44864</v>
      </c>
      <c r="C308">
        <v>6</v>
      </c>
      <c r="D308">
        <v>5.78</v>
      </c>
      <c r="E308" t="s">
        <v>8</v>
      </c>
      <c r="F308" t="s">
        <v>64</v>
      </c>
      <c r="G308" t="s">
        <v>10</v>
      </c>
      <c r="H308" t="s">
        <v>11</v>
      </c>
    </row>
    <row r="309" spans="1:8" x14ac:dyDescent="0.45">
      <c r="A309">
        <v>448</v>
      </c>
      <c r="B309">
        <v>44793</v>
      </c>
      <c r="C309">
        <v>22</v>
      </c>
      <c r="D309">
        <v>65.989999999999995</v>
      </c>
      <c r="E309" t="s">
        <v>8</v>
      </c>
      <c r="F309" t="s">
        <v>37</v>
      </c>
      <c r="G309" t="s">
        <v>13</v>
      </c>
      <c r="H309" t="s">
        <v>17</v>
      </c>
    </row>
    <row r="310" spans="1:8" x14ac:dyDescent="0.45">
      <c r="A310">
        <v>449</v>
      </c>
      <c r="B310">
        <v>44761</v>
      </c>
      <c r="C310">
        <v>45</v>
      </c>
      <c r="D310">
        <v>7.38</v>
      </c>
      <c r="E310" t="s">
        <v>8</v>
      </c>
      <c r="F310" t="s">
        <v>65</v>
      </c>
      <c r="G310" t="s">
        <v>13</v>
      </c>
      <c r="H310" t="s">
        <v>15</v>
      </c>
    </row>
    <row r="311" spans="1:8" x14ac:dyDescent="0.45">
      <c r="A311">
        <v>450</v>
      </c>
      <c r="B311">
        <v>44624</v>
      </c>
      <c r="C311">
        <v>35</v>
      </c>
      <c r="D311">
        <v>15.7</v>
      </c>
      <c r="E311" t="s">
        <v>8</v>
      </c>
      <c r="F311" t="s">
        <v>66</v>
      </c>
      <c r="G311" t="s">
        <v>23</v>
      </c>
      <c r="H311" t="s">
        <v>11</v>
      </c>
    </row>
    <row r="312" spans="1:8" x14ac:dyDescent="0.45">
      <c r="A312">
        <v>454</v>
      </c>
      <c r="B312">
        <v>44921</v>
      </c>
      <c r="C312">
        <v>42</v>
      </c>
      <c r="D312">
        <v>6.08</v>
      </c>
      <c r="E312" t="s">
        <v>8</v>
      </c>
      <c r="F312" t="s">
        <v>67</v>
      </c>
      <c r="G312" t="s">
        <v>10</v>
      </c>
      <c r="H312" t="s">
        <v>11</v>
      </c>
    </row>
    <row r="313" spans="1:8" x14ac:dyDescent="0.45">
      <c r="A313">
        <v>481</v>
      </c>
      <c r="B313">
        <v>45206</v>
      </c>
      <c r="C313">
        <v>44</v>
      </c>
      <c r="D313">
        <v>115.99</v>
      </c>
      <c r="E313" t="s">
        <v>8</v>
      </c>
      <c r="F313" t="s">
        <v>68</v>
      </c>
      <c r="G313" t="s">
        <v>20</v>
      </c>
      <c r="H313" t="s">
        <v>17</v>
      </c>
    </row>
    <row r="314" spans="1:8" x14ac:dyDescent="0.45">
      <c r="A314">
        <v>483</v>
      </c>
      <c r="B314">
        <v>44752</v>
      </c>
      <c r="C314">
        <v>30</v>
      </c>
      <c r="D314">
        <v>195.99</v>
      </c>
      <c r="E314" t="s">
        <v>8</v>
      </c>
      <c r="F314" t="s">
        <v>69</v>
      </c>
      <c r="G314" t="s">
        <v>13</v>
      </c>
      <c r="H314" t="s">
        <v>17</v>
      </c>
    </row>
    <row r="315" spans="1:8" x14ac:dyDescent="0.45">
      <c r="A315">
        <v>487</v>
      </c>
      <c r="B315">
        <v>45155</v>
      </c>
      <c r="C315">
        <v>19</v>
      </c>
      <c r="D315">
        <v>10.89</v>
      </c>
      <c r="E315" t="s">
        <v>8</v>
      </c>
      <c r="F315" t="s">
        <v>70</v>
      </c>
      <c r="G315" t="s">
        <v>13</v>
      </c>
      <c r="H315" t="s">
        <v>11</v>
      </c>
    </row>
    <row r="316" spans="1:8" x14ac:dyDescent="0.45">
      <c r="A316">
        <v>512</v>
      </c>
      <c r="B316">
        <v>44700</v>
      </c>
      <c r="C316">
        <v>6</v>
      </c>
      <c r="D316">
        <v>218.08</v>
      </c>
      <c r="E316" t="s">
        <v>8</v>
      </c>
      <c r="F316" t="s">
        <v>71</v>
      </c>
      <c r="G316" t="s">
        <v>20</v>
      </c>
      <c r="H316" t="s">
        <v>15</v>
      </c>
    </row>
    <row r="317" spans="1:8" x14ac:dyDescent="0.45">
      <c r="A317">
        <v>515</v>
      </c>
      <c r="B317">
        <v>44436</v>
      </c>
      <c r="C317">
        <v>19</v>
      </c>
      <c r="D317">
        <v>21.78</v>
      </c>
      <c r="E317" t="s">
        <v>8</v>
      </c>
      <c r="F317" t="s">
        <v>73</v>
      </c>
      <c r="G317" t="s">
        <v>23</v>
      </c>
      <c r="H317" t="s">
        <v>11</v>
      </c>
    </row>
    <row r="318" spans="1:8" x14ac:dyDescent="0.45">
      <c r="A318">
        <v>515</v>
      </c>
      <c r="B318">
        <v>44436</v>
      </c>
      <c r="C318">
        <v>21</v>
      </c>
      <c r="D318">
        <v>6.64</v>
      </c>
      <c r="E318" t="s">
        <v>8</v>
      </c>
      <c r="F318" t="s">
        <v>73</v>
      </c>
      <c r="G318" t="s">
        <v>23</v>
      </c>
      <c r="H318" t="s">
        <v>15</v>
      </c>
    </row>
    <row r="319" spans="1:8" x14ac:dyDescent="0.45">
      <c r="A319">
        <v>548</v>
      </c>
      <c r="B319">
        <v>44094</v>
      </c>
      <c r="C319">
        <v>41</v>
      </c>
      <c r="D319">
        <v>3.08</v>
      </c>
      <c r="E319" t="s">
        <v>8</v>
      </c>
      <c r="F319" t="s">
        <v>74</v>
      </c>
      <c r="G319" t="s">
        <v>20</v>
      </c>
      <c r="H319" t="s">
        <v>11</v>
      </c>
    </row>
    <row r="320" spans="1:8" x14ac:dyDescent="0.45">
      <c r="A320">
        <v>548</v>
      </c>
      <c r="B320">
        <v>44094</v>
      </c>
      <c r="C320">
        <v>29</v>
      </c>
      <c r="D320">
        <v>6.48</v>
      </c>
      <c r="E320" t="s">
        <v>8</v>
      </c>
      <c r="F320" t="s">
        <v>74</v>
      </c>
      <c r="G320" t="s">
        <v>20</v>
      </c>
      <c r="H320" t="s">
        <v>11</v>
      </c>
    </row>
    <row r="321" spans="1:8" x14ac:dyDescent="0.45">
      <c r="A321">
        <v>548</v>
      </c>
      <c r="B321">
        <v>44094</v>
      </c>
      <c r="C321">
        <v>26</v>
      </c>
      <c r="D321">
        <v>125.99</v>
      </c>
      <c r="E321" t="s">
        <v>8</v>
      </c>
      <c r="F321" t="s">
        <v>74</v>
      </c>
      <c r="G321" t="s">
        <v>20</v>
      </c>
      <c r="H321" t="s">
        <v>17</v>
      </c>
    </row>
    <row r="322" spans="1:8" x14ac:dyDescent="0.45">
      <c r="A322">
        <v>549</v>
      </c>
      <c r="B322">
        <v>45119</v>
      </c>
      <c r="C322">
        <v>13</v>
      </c>
      <c r="D322">
        <v>4.9800000000000004</v>
      </c>
      <c r="E322" t="s">
        <v>8</v>
      </c>
      <c r="F322" t="s">
        <v>75</v>
      </c>
      <c r="G322" t="s">
        <v>23</v>
      </c>
      <c r="H322" t="s">
        <v>11</v>
      </c>
    </row>
    <row r="323" spans="1:8" x14ac:dyDescent="0.45">
      <c r="A323">
        <v>549</v>
      </c>
      <c r="B323">
        <v>45119</v>
      </c>
      <c r="C323">
        <v>5</v>
      </c>
      <c r="D323">
        <v>6.48</v>
      </c>
      <c r="E323" t="s">
        <v>8</v>
      </c>
      <c r="F323" t="s">
        <v>75</v>
      </c>
      <c r="G323" t="s">
        <v>23</v>
      </c>
      <c r="H323" t="s">
        <v>11</v>
      </c>
    </row>
    <row r="324" spans="1:8" x14ac:dyDescent="0.45">
      <c r="A324">
        <v>611</v>
      </c>
      <c r="B324">
        <v>44222</v>
      </c>
      <c r="C324">
        <v>47</v>
      </c>
      <c r="D324">
        <v>17.7</v>
      </c>
      <c r="E324" t="s">
        <v>8</v>
      </c>
      <c r="F324" t="s">
        <v>72</v>
      </c>
      <c r="G324" t="s">
        <v>20</v>
      </c>
      <c r="H324" t="s">
        <v>11</v>
      </c>
    </row>
    <row r="325" spans="1:8" x14ac:dyDescent="0.45">
      <c r="A325">
        <v>612</v>
      </c>
      <c r="B325">
        <v>45219</v>
      </c>
      <c r="C325">
        <v>50</v>
      </c>
      <c r="D325">
        <v>5.28</v>
      </c>
      <c r="E325" t="s">
        <v>8</v>
      </c>
      <c r="F325" t="s">
        <v>77</v>
      </c>
      <c r="G325" t="s">
        <v>13</v>
      </c>
      <c r="H325" t="s">
        <v>11</v>
      </c>
    </row>
    <row r="326" spans="1:8" x14ac:dyDescent="0.45">
      <c r="A326">
        <v>612</v>
      </c>
      <c r="B326">
        <v>45219</v>
      </c>
      <c r="C326">
        <v>43</v>
      </c>
      <c r="D326">
        <v>65.989999999999995</v>
      </c>
      <c r="E326" t="s">
        <v>8</v>
      </c>
      <c r="F326" t="s">
        <v>77</v>
      </c>
      <c r="G326" t="s">
        <v>13</v>
      </c>
      <c r="H326" t="s">
        <v>17</v>
      </c>
    </row>
    <row r="327" spans="1:8" x14ac:dyDescent="0.45">
      <c r="A327">
        <v>613</v>
      </c>
      <c r="B327">
        <v>44729</v>
      </c>
      <c r="C327">
        <v>12</v>
      </c>
      <c r="D327">
        <v>7.3</v>
      </c>
      <c r="E327" t="s">
        <v>8</v>
      </c>
      <c r="F327" t="s">
        <v>78</v>
      </c>
      <c r="G327" t="s">
        <v>13</v>
      </c>
      <c r="H327" t="s">
        <v>11</v>
      </c>
    </row>
    <row r="328" spans="1:8" x14ac:dyDescent="0.45">
      <c r="A328">
        <v>613</v>
      </c>
      <c r="B328">
        <v>44729</v>
      </c>
      <c r="C328">
        <v>22</v>
      </c>
      <c r="D328">
        <v>42.76</v>
      </c>
      <c r="E328" t="s">
        <v>8</v>
      </c>
      <c r="F328" t="s">
        <v>78</v>
      </c>
      <c r="G328" t="s">
        <v>13</v>
      </c>
      <c r="H328" t="s">
        <v>11</v>
      </c>
    </row>
    <row r="329" spans="1:8" x14ac:dyDescent="0.45">
      <c r="A329">
        <v>614</v>
      </c>
      <c r="B329">
        <v>45260</v>
      </c>
      <c r="C329">
        <v>41</v>
      </c>
      <c r="D329">
        <v>14.34</v>
      </c>
      <c r="E329" t="s">
        <v>8</v>
      </c>
      <c r="F329" t="s">
        <v>79</v>
      </c>
      <c r="G329" t="s">
        <v>13</v>
      </c>
      <c r="H329" t="s">
        <v>15</v>
      </c>
    </row>
    <row r="330" spans="1:8" x14ac:dyDescent="0.45">
      <c r="A330">
        <v>640</v>
      </c>
      <c r="B330">
        <v>44218</v>
      </c>
      <c r="C330">
        <v>24</v>
      </c>
      <c r="D330">
        <v>18.97</v>
      </c>
      <c r="E330" t="s">
        <v>8</v>
      </c>
      <c r="F330" t="s">
        <v>80</v>
      </c>
      <c r="G330" t="s">
        <v>23</v>
      </c>
      <c r="H330" t="s">
        <v>11</v>
      </c>
    </row>
    <row r="331" spans="1:8" x14ac:dyDescent="0.45">
      <c r="A331">
        <v>645</v>
      </c>
      <c r="B331">
        <v>44167</v>
      </c>
      <c r="C331">
        <v>42</v>
      </c>
      <c r="D331">
        <v>12.95</v>
      </c>
      <c r="E331" t="s">
        <v>8</v>
      </c>
      <c r="F331" t="s">
        <v>83</v>
      </c>
      <c r="G331" t="s">
        <v>23</v>
      </c>
      <c r="H331" t="s">
        <v>11</v>
      </c>
    </row>
    <row r="332" spans="1:8" x14ac:dyDescent="0.45">
      <c r="A332">
        <v>646</v>
      </c>
      <c r="B332">
        <v>44156</v>
      </c>
      <c r="C332">
        <v>18</v>
      </c>
      <c r="D332">
        <v>9.31</v>
      </c>
      <c r="E332" t="s">
        <v>8</v>
      </c>
      <c r="F332" t="s">
        <v>84</v>
      </c>
      <c r="G332" t="s">
        <v>10</v>
      </c>
      <c r="H332" t="s">
        <v>11</v>
      </c>
    </row>
    <row r="333" spans="1:8" x14ac:dyDescent="0.45">
      <c r="A333">
        <v>678</v>
      </c>
      <c r="B333">
        <v>44253</v>
      </c>
      <c r="C333">
        <v>44</v>
      </c>
      <c r="D333">
        <v>4.9800000000000004</v>
      </c>
      <c r="E333" t="s">
        <v>8</v>
      </c>
      <c r="F333" t="s">
        <v>85</v>
      </c>
      <c r="G333" t="s">
        <v>20</v>
      </c>
      <c r="H333" t="s">
        <v>11</v>
      </c>
    </row>
    <row r="334" spans="1:8" x14ac:dyDescent="0.45">
      <c r="A334">
        <v>706</v>
      </c>
      <c r="B334">
        <v>44812</v>
      </c>
      <c r="C334">
        <v>42</v>
      </c>
      <c r="D334">
        <v>1.76</v>
      </c>
      <c r="E334" t="s">
        <v>8</v>
      </c>
      <c r="F334" t="s">
        <v>86</v>
      </c>
      <c r="G334" t="s">
        <v>23</v>
      </c>
      <c r="H334" t="s">
        <v>11</v>
      </c>
    </row>
    <row r="335" spans="1:8" x14ac:dyDescent="0.45">
      <c r="A335">
        <v>710</v>
      </c>
      <c r="B335">
        <v>44197</v>
      </c>
      <c r="C335">
        <v>42</v>
      </c>
      <c r="D335">
        <v>3.58</v>
      </c>
      <c r="E335" t="s">
        <v>8</v>
      </c>
      <c r="F335" t="s">
        <v>87</v>
      </c>
      <c r="G335" t="s">
        <v>13</v>
      </c>
      <c r="H335" t="s">
        <v>11</v>
      </c>
    </row>
    <row r="336" spans="1:8" x14ac:dyDescent="0.45">
      <c r="A336">
        <v>710</v>
      </c>
      <c r="B336">
        <v>44197</v>
      </c>
      <c r="C336">
        <v>11</v>
      </c>
      <c r="D336">
        <v>41.32</v>
      </c>
      <c r="E336" t="s">
        <v>8</v>
      </c>
      <c r="F336" t="s">
        <v>87</v>
      </c>
      <c r="G336" t="s">
        <v>13</v>
      </c>
      <c r="H336" t="s">
        <v>15</v>
      </c>
    </row>
    <row r="337" spans="1:8" x14ac:dyDescent="0.45">
      <c r="A337">
        <v>738</v>
      </c>
      <c r="B337">
        <v>44256</v>
      </c>
      <c r="C337">
        <v>7</v>
      </c>
      <c r="D337">
        <v>80.98</v>
      </c>
      <c r="E337" t="s">
        <v>8</v>
      </c>
      <c r="F337" t="s">
        <v>88</v>
      </c>
      <c r="G337" t="s">
        <v>13</v>
      </c>
      <c r="H337" t="s">
        <v>11</v>
      </c>
    </row>
    <row r="338" spans="1:8" x14ac:dyDescent="0.45">
      <c r="A338">
        <v>738</v>
      </c>
      <c r="B338">
        <v>44256</v>
      </c>
      <c r="C338">
        <v>31</v>
      </c>
      <c r="D338">
        <v>6.48</v>
      </c>
      <c r="E338" t="s">
        <v>8</v>
      </c>
      <c r="F338" t="s">
        <v>88</v>
      </c>
      <c r="G338" t="s">
        <v>13</v>
      </c>
      <c r="H338" t="s">
        <v>11</v>
      </c>
    </row>
    <row r="339" spans="1:8" x14ac:dyDescent="0.45">
      <c r="A339">
        <v>740</v>
      </c>
      <c r="B339">
        <v>44757</v>
      </c>
      <c r="C339">
        <v>6</v>
      </c>
      <c r="D339">
        <v>4.9800000000000004</v>
      </c>
      <c r="E339" t="s">
        <v>8</v>
      </c>
      <c r="F339" t="s">
        <v>89</v>
      </c>
      <c r="G339" t="s">
        <v>13</v>
      </c>
      <c r="H339" t="s">
        <v>11</v>
      </c>
    </row>
    <row r="340" spans="1:8" x14ac:dyDescent="0.45">
      <c r="A340">
        <v>771</v>
      </c>
      <c r="B340">
        <v>44728</v>
      </c>
      <c r="C340">
        <v>18</v>
      </c>
      <c r="D340">
        <v>4.9800000000000004</v>
      </c>
      <c r="E340" t="s">
        <v>8</v>
      </c>
      <c r="F340" t="s">
        <v>91</v>
      </c>
      <c r="G340" t="s">
        <v>20</v>
      </c>
      <c r="H340" t="s">
        <v>11</v>
      </c>
    </row>
    <row r="341" spans="1:8" x14ac:dyDescent="0.45">
      <c r="A341">
        <v>772</v>
      </c>
      <c r="B341">
        <v>44302</v>
      </c>
      <c r="C341">
        <v>35</v>
      </c>
      <c r="D341">
        <v>17.52</v>
      </c>
      <c r="E341" t="s">
        <v>8</v>
      </c>
      <c r="F341" t="s">
        <v>92</v>
      </c>
      <c r="G341" t="s">
        <v>23</v>
      </c>
      <c r="H341" t="s">
        <v>11</v>
      </c>
    </row>
    <row r="342" spans="1:8" x14ac:dyDescent="0.45">
      <c r="A342">
        <v>772</v>
      </c>
      <c r="B342">
        <v>44302</v>
      </c>
      <c r="C342">
        <v>25</v>
      </c>
      <c r="D342">
        <v>9.9</v>
      </c>
      <c r="E342" t="s">
        <v>8</v>
      </c>
      <c r="F342" t="s">
        <v>92</v>
      </c>
      <c r="G342" t="s">
        <v>23</v>
      </c>
      <c r="H342" t="s">
        <v>11</v>
      </c>
    </row>
    <row r="343" spans="1:8" x14ac:dyDescent="0.45">
      <c r="A343">
        <v>773</v>
      </c>
      <c r="B343">
        <v>44464</v>
      </c>
      <c r="C343">
        <v>38</v>
      </c>
      <c r="D343">
        <v>65.989999999999995</v>
      </c>
      <c r="E343" t="s">
        <v>8</v>
      </c>
      <c r="F343" t="s">
        <v>93</v>
      </c>
      <c r="G343" t="s">
        <v>20</v>
      </c>
      <c r="H343" t="s">
        <v>17</v>
      </c>
    </row>
    <row r="344" spans="1:8" x14ac:dyDescent="0.45">
      <c r="A344">
        <v>774</v>
      </c>
      <c r="B344">
        <v>44898</v>
      </c>
      <c r="C344">
        <v>17</v>
      </c>
      <c r="D344">
        <v>4.4800000000000004</v>
      </c>
      <c r="E344" t="s">
        <v>8</v>
      </c>
      <c r="F344" t="s">
        <v>94</v>
      </c>
      <c r="G344" t="s">
        <v>10</v>
      </c>
      <c r="H344" t="s">
        <v>11</v>
      </c>
    </row>
    <row r="345" spans="1:8" x14ac:dyDescent="0.45">
      <c r="A345">
        <v>775</v>
      </c>
      <c r="B345">
        <v>44637</v>
      </c>
      <c r="C345">
        <v>35</v>
      </c>
      <c r="D345">
        <v>1.26</v>
      </c>
      <c r="E345" t="s">
        <v>8</v>
      </c>
      <c r="F345" t="s">
        <v>95</v>
      </c>
      <c r="G345" t="s">
        <v>10</v>
      </c>
      <c r="H345" t="s">
        <v>11</v>
      </c>
    </row>
    <row r="346" spans="1:8" x14ac:dyDescent="0.45">
      <c r="A346">
        <v>775</v>
      </c>
      <c r="B346">
        <v>44637</v>
      </c>
      <c r="C346">
        <v>8</v>
      </c>
      <c r="D346">
        <v>4.26</v>
      </c>
      <c r="E346" t="s">
        <v>8</v>
      </c>
      <c r="F346" t="s">
        <v>95</v>
      </c>
      <c r="G346" t="s">
        <v>10</v>
      </c>
      <c r="H346" t="s">
        <v>11</v>
      </c>
    </row>
    <row r="347" spans="1:8" x14ac:dyDescent="0.45">
      <c r="A347">
        <v>801</v>
      </c>
      <c r="B347">
        <v>44974</v>
      </c>
      <c r="C347">
        <v>20</v>
      </c>
      <c r="D347">
        <v>2.74</v>
      </c>
      <c r="E347" t="s">
        <v>8</v>
      </c>
      <c r="F347" t="s">
        <v>96</v>
      </c>
      <c r="G347" t="s">
        <v>13</v>
      </c>
      <c r="H347" t="s">
        <v>11</v>
      </c>
    </row>
    <row r="348" spans="1:8" x14ac:dyDescent="0.45">
      <c r="A348">
        <v>802</v>
      </c>
      <c r="B348">
        <v>44565</v>
      </c>
      <c r="C348">
        <v>33</v>
      </c>
      <c r="D348">
        <v>11.7</v>
      </c>
      <c r="E348" t="s">
        <v>8</v>
      </c>
      <c r="F348" t="s">
        <v>97</v>
      </c>
      <c r="G348" t="s">
        <v>13</v>
      </c>
      <c r="H348" t="s">
        <v>11</v>
      </c>
    </row>
    <row r="349" spans="1:8" x14ac:dyDescent="0.45">
      <c r="A349">
        <v>802</v>
      </c>
      <c r="B349">
        <v>44565</v>
      </c>
      <c r="C349">
        <v>2</v>
      </c>
      <c r="D349">
        <v>15.99</v>
      </c>
      <c r="E349" t="s">
        <v>8</v>
      </c>
      <c r="F349" t="s">
        <v>97</v>
      </c>
      <c r="G349" t="s">
        <v>13</v>
      </c>
      <c r="H349" t="s">
        <v>17</v>
      </c>
    </row>
    <row r="350" spans="1:8" x14ac:dyDescent="0.45">
      <c r="A350">
        <v>805</v>
      </c>
      <c r="B350">
        <v>44746</v>
      </c>
      <c r="C350">
        <v>39</v>
      </c>
      <c r="D350">
        <v>4.97</v>
      </c>
      <c r="E350" t="s">
        <v>8</v>
      </c>
      <c r="F350" t="s">
        <v>98</v>
      </c>
      <c r="G350" t="s">
        <v>10</v>
      </c>
      <c r="H350" t="s">
        <v>15</v>
      </c>
    </row>
    <row r="351" spans="1:8" x14ac:dyDescent="0.45">
      <c r="A351">
        <v>807</v>
      </c>
      <c r="B351">
        <v>44523</v>
      </c>
      <c r="C351">
        <v>45</v>
      </c>
      <c r="D351">
        <v>4.28</v>
      </c>
      <c r="E351" t="s">
        <v>8</v>
      </c>
      <c r="F351" t="s">
        <v>99</v>
      </c>
      <c r="G351" t="s">
        <v>20</v>
      </c>
      <c r="H351" t="s">
        <v>11</v>
      </c>
    </row>
    <row r="352" spans="1:8" x14ac:dyDescent="0.45">
      <c r="A352">
        <v>807</v>
      </c>
      <c r="B352">
        <v>44523</v>
      </c>
      <c r="C352">
        <v>32</v>
      </c>
      <c r="D352">
        <v>3.95</v>
      </c>
      <c r="E352" t="s">
        <v>8</v>
      </c>
      <c r="F352" t="s">
        <v>99</v>
      </c>
      <c r="G352" t="s">
        <v>20</v>
      </c>
      <c r="H352" t="s">
        <v>11</v>
      </c>
    </row>
    <row r="353" spans="1:8" x14ac:dyDescent="0.45">
      <c r="A353">
        <v>832</v>
      </c>
      <c r="B353">
        <v>45034</v>
      </c>
      <c r="C353">
        <v>7</v>
      </c>
      <c r="D353">
        <v>6.48</v>
      </c>
      <c r="E353" t="s">
        <v>8</v>
      </c>
      <c r="F353" t="s">
        <v>100</v>
      </c>
      <c r="G353" t="s">
        <v>13</v>
      </c>
      <c r="H353" t="s">
        <v>11</v>
      </c>
    </row>
    <row r="354" spans="1:8" x14ac:dyDescent="0.45">
      <c r="A354">
        <v>833</v>
      </c>
      <c r="B354">
        <v>43873</v>
      </c>
      <c r="C354">
        <v>1</v>
      </c>
      <c r="D354">
        <v>12.53</v>
      </c>
      <c r="E354" t="s">
        <v>8</v>
      </c>
      <c r="F354" t="s">
        <v>101</v>
      </c>
      <c r="G354" t="s">
        <v>20</v>
      </c>
      <c r="H354" t="s">
        <v>11</v>
      </c>
    </row>
    <row r="355" spans="1:8" x14ac:dyDescent="0.45">
      <c r="A355">
        <v>835</v>
      </c>
      <c r="B355">
        <v>44841</v>
      </c>
      <c r="C355">
        <v>18</v>
      </c>
      <c r="D355">
        <v>6.48</v>
      </c>
      <c r="E355" t="s">
        <v>8</v>
      </c>
      <c r="F355" t="s">
        <v>84</v>
      </c>
      <c r="G355" t="s">
        <v>10</v>
      </c>
      <c r="H355" t="s">
        <v>11</v>
      </c>
    </row>
    <row r="356" spans="1:8" x14ac:dyDescent="0.45">
      <c r="A356">
        <v>837</v>
      </c>
      <c r="B356">
        <v>43996</v>
      </c>
      <c r="C356">
        <v>11</v>
      </c>
      <c r="D356">
        <v>5.84</v>
      </c>
      <c r="E356" t="s">
        <v>8</v>
      </c>
      <c r="F356" t="s">
        <v>103</v>
      </c>
      <c r="G356" t="s">
        <v>13</v>
      </c>
      <c r="H356" t="s">
        <v>11</v>
      </c>
    </row>
    <row r="357" spans="1:8" x14ac:dyDescent="0.45">
      <c r="A357">
        <v>868</v>
      </c>
      <c r="B357">
        <v>45085</v>
      </c>
      <c r="C357">
        <v>32</v>
      </c>
      <c r="D357">
        <v>21.78</v>
      </c>
      <c r="E357" t="s">
        <v>8</v>
      </c>
      <c r="F357" t="s">
        <v>104</v>
      </c>
      <c r="G357" t="s">
        <v>20</v>
      </c>
      <c r="H357" t="s">
        <v>11</v>
      </c>
    </row>
    <row r="358" spans="1:8" x14ac:dyDescent="0.45">
      <c r="A358">
        <v>868</v>
      </c>
      <c r="B358">
        <v>45085</v>
      </c>
      <c r="C358">
        <v>31</v>
      </c>
      <c r="D358">
        <v>47.98</v>
      </c>
      <c r="E358" t="s">
        <v>8</v>
      </c>
      <c r="F358" t="s">
        <v>104</v>
      </c>
      <c r="G358" t="s">
        <v>20</v>
      </c>
      <c r="H358" t="s">
        <v>17</v>
      </c>
    </row>
    <row r="359" spans="1:8" x14ac:dyDescent="0.45">
      <c r="A359">
        <v>870</v>
      </c>
      <c r="B359">
        <v>44366</v>
      </c>
      <c r="C359">
        <v>23</v>
      </c>
      <c r="D359">
        <v>70.97</v>
      </c>
      <c r="E359" t="s">
        <v>8</v>
      </c>
      <c r="F359" t="s">
        <v>70</v>
      </c>
      <c r="G359" t="s">
        <v>13</v>
      </c>
      <c r="H359" t="s">
        <v>11</v>
      </c>
    </row>
    <row r="360" spans="1:8" x14ac:dyDescent="0.45">
      <c r="A360">
        <v>871</v>
      </c>
      <c r="B360">
        <v>44879</v>
      </c>
      <c r="C360">
        <v>17</v>
      </c>
      <c r="D360">
        <v>6.24</v>
      </c>
      <c r="E360" t="s">
        <v>8</v>
      </c>
      <c r="F360" t="s">
        <v>105</v>
      </c>
      <c r="G360" t="s">
        <v>20</v>
      </c>
      <c r="H360" t="s">
        <v>15</v>
      </c>
    </row>
    <row r="361" spans="1:8" x14ac:dyDescent="0.45">
      <c r="A361">
        <v>896</v>
      </c>
      <c r="B361">
        <v>44263</v>
      </c>
      <c r="C361">
        <v>50</v>
      </c>
      <c r="D361">
        <v>24.92</v>
      </c>
      <c r="E361" t="s">
        <v>8</v>
      </c>
      <c r="F361" t="s">
        <v>106</v>
      </c>
      <c r="G361" t="s">
        <v>20</v>
      </c>
      <c r="H361" t="s">
        <v>11</v>
      </c>
    </row>
    <row r="362" spans="1:8" x14ac:dyDescent="0.45">
      <c r="A362">
        <v>898</v>
      </c>
      <c r="B362">
        <v>44349</v>
      </c>
      <c r="C362">
        <v>40</v>
      </c>
      <c r="D362">
        <v>15.98</v>
      </c>
      <c r="E362" t="s">
        <v>8</v>
      </c>
      <c r="F362" t="s">
        <v>107</v>
      </c>
      <c r="G362" t="s">
        <v>23</v>
      </c>
      <c r="H362" t="s">
        <v>17</v>
      </c>
    </row>
    <row r="363" spans="1:8" x14ac:dyDescent="0.45">
      <c r="A363">
        <v>900</v>
      </c>
      <c r="B363">
        <v>44104</v>
      </c>
      <c r="C363">
        <v>29</v>
      </c>
      <c r="D363">
        <v>40.98</v>
      </c>
      <c r="E363" t="s">
        <v>8</v>
      </c>
      <c r="F363" t="s">
        <v>108</v>
      </c>
      <c r="G363" t="s">
        <v>20</v>
      </c>
      <c r="H363" t="s">
        <v>11</v>
      </c>
    </row>
    <row r="364" spans="1:8" x14ac:dyDescent="0.45">
      <c r="A364">
        <v>902</v>
      </c>
      <c r="B364">
        <v>44038</v>
      </c>
      <c r="C364">
        <v>10</v>
      </c>
      <c r="D364">
        <v>207.48</v>
      </c>
      <c r="E364" t="s">
        <v>8</v>
      </c>
      <c r="F364" t="s">
        <v>109</v>
      </c>
      <c r="G364" t="s">
        <v>13</v>
      </c>
      <c r="H364" t="s">
        <v>11</v>
      </c>
    </row>
    <row r="365" spans="1:8" x14ac:dyDescent="0.45">
      <c r="A365">
        <v>929</v>
      </c>
      <c r="B365">
        <v>45200</v>
      </c>
      <c r="C365">
        <v>21</v>
      </c>
      <c r="D365">
        <v>10.97</v>
      </c>
      <c r="E365" t="s">
        <v>8</v>
      </c>
      <c r="F365" t="s">
        <v>111</v>
      </c>
      <c r="G365" t="s">
        <v>13</v>
      </c>
      <c r="H365" t="s">
        <v>17</v>
      </c>
    </row>
    <row r="366" spans="1:8" x14ac:dyDescent="0.45">
      <c r="A366">
        <v>929</v>
      </c>
      <c r="B366">
        <v>45200</v>
      </c>
      <c r="C366">
        <v>39</v>
      </c>
      <c r="D366">
        <v>2.08</v>
      </c>
      <c r="E366" t="s">
        <v>8</v>
      </c>
      <c r="F366" t="s">
        <v>111</v>
      </c>
      <c r="G366" t="s">
        <v>13</v>
      </c>
      <c r="H366" t="s">
        <v>11</v>
      </c>
    </row>
    <row r="367" spans="1:8" x14ac:dyDescent="0.45">
      <c r="A367">
        <v>930</v>
      </c>
      <c r="B367">
        <v>44181</v>
      </c>
      <c r="C367">
        <v>11</v>
      </c>
      <c r="D367">
        <v>6.88</v>
      </c>
      <c r="E367" t="s">
        <v>8</v>
      </c>
      <c r="F367" t="s">
        <v>112</v>
      </c>
      <c r="G367" t="s">
        <v>10</v>
      </c>
      <c r="H367" t="s">
        <v>11</v>
      </c>
    </row>
    <row r="368" spans="1:8" x14ac:dyDescent="0.45">
      <c r="A368">
        <v>933</v>
      </c>
      <c r="B368">
        <v>45142</v>
      </c>
      <c r="C368">
        <v>15</v>
      </c>
      <c r="D368">
        <v>5.28</v>
      </c>
      <c r="E368" t="s">
        <v>8</v>
      </c>
      <c r="F368" t="s">
        <v>113</v>
      </c>
      <c r="G368" t="s">
        <v>10</v>
      </c>
      <c r="H368" t="s">
        <v>11</v>
      </c>
    </row>
    <row r="369" spans="1:8" x14ac:dyDescent="0.45">
      <c r="A369">
        <v>960</v>
      </c>
      <c r="B369">
        <v>44094</v>
      </c>
      <c r="C369">
        <v>46</v>
      </c>
      <c r="D369">
        <v>13.73</v>
      </c>
      <c r="E369" t="s">
        <v>8</v>
      </c>
      <c r="F369" t="s">
        <v>114</v>
      </c>
      <c r="G369" t="s">
        <v>23</v>
      </c>
      <c r="H369" t="s">
        <v>15</v>
      </c>
    </row>
    <row r="370" spans="1:8" x14ac:dyDescent="0.45">
      <c r="A370">
        <v>962</v>
      </c>
      <c r="B370">
        <v>43956</v>
      </c>
      <c r="C370">
        <v>33</v>
      </c>
      <c r="D370">
        <v>122.99</v>
      </c>
      <c r="E370" t="s">
        <v>8</v>
      </c>
      <c r="F370" t="s">
        <v>115</v>
      </c>
      <c r="G370" t="s">
        <v>10</v>
      </c>
      <c r="H370" t="s">
        <v>11</v>
      </c>
    </row>
    <row r="371" spans="1:8" x14ac:dyDescent="0.45">
      <c r="A371">
        <v>964</v>
      </c>
      <c r="B371">
        <v>44700</v>
      </c>
      <c r="C371">
        <v>50</v>
      </c>
      <c r="D371">
        <v>5.98</v>
      </c>
      <c r="E371" t="s">
        <v>8</v>
      </c>
      <c r="F371" t="s">
        <v>116</v>
      </c>
      <c r="G371" t="s">
        <v>13</v>
      </c>
      <c r="H371" t="s">
        <v>11</v>
      </c>
    </row>
    <row r="372" spans="1:8" x14ac:dyDescent="0.45">
      <c r="A372">
        <v>964</v>
      </c>
      <c r="B372">
        <v>44700</v>
      </c>
      <c r="C372">
        <v>4</v>
      </c>
      <c r="D372">
        <v>9.93</v>
      </c>
      <c r="E372" t="s">
        <v>8</v>
      </c>
      <c r="F372" t="s">
        <v>116</v>
      </c>
      <c r="G372" t="s">
        <v>13</v>
      </c>
      <c r="H372" t="s">
        <v>11</v>
      </c>
    </row>
    <row r="373" spans="1:8" x14ac:dyDescent="0.45">
      <c r="A373">
        <v>967</v>
      </c>
      <c r="B373">
        <v>45097</v>
      </c>
      <c r="C373">
        <v>6</v>
      </c>
      <c r="D373">
        <v>13.99</v>
      </c>
      <c r="E373" t="s">
        <v>8</v>
      </c>
      <c r="F373" t="s">
        <v>118</v>
      </c>
      <c r="G373" t="s">
        <v>23</v>
      </c>
      <c r="H373" t="s">
        <v>17</v>
      </c>
    </row>
    <row r="374" spans="1:8" x14ac:dyDescent="0.45">
      <c r="A374">
        <v>967</v>
      </c>
      <c r="B374">
        <v>45097</v>
      </c>
      <c r="C374">
        <v>42</v>
      </c>
      <c r="D374">
        <v>37.74</v>
      </c>
      <c r="E374" t="s">
        <v>8</v>
      </c>
      <c r="F374" t="s">
        <v>118</v>
      </c>
      <c r="G374" t="s">
        <v>23</v>
      </c>
      <c r="H374" t="s">
        <v>11</v>
      </c>
    </row>
    <row r="375" spans="1:8" x14ac:dyDescent="0.45">
      <c r="A375">
        <v>994</v>
      </c>
      <c r="B375">
        <v>43940</v>
      </c>
      <c r="C375">
        <v>38</v>
      </c>
      <c r="D375">
        <v>3.58</v>
      </c>
      <c r="E375" t="s">
        <v>8</v>
      </c>
      <c r="F375" t="s">
        <v>119</v>
      </c>
      <c r="G375" t="s">
        <v>13</v>
      </c>
      <c r="H375" t="s">
        <v>11</v>
      </c>
    </row>
    <row r="376" spans="1:8" x14ac:dyDescent="0.45">
      <c r="A376">
        <v>995</v>
      </c>
      <c r="B376">
        <v>44711</v>
      </c>
      <c r="C376">
        <v>46</v>
      </c>
      <c r="D376">
        <v>39.89</v>
      </c>
      <c r="E376" t="s">
        <v>8</v>
      </c>
      <c r="F376" t="s">
        <v>99</v>
      </c>
      <c r="G376" t="s">
        <v>20</v>
      </c>
      <c r="H376" t="s">
        <v>15</v>
      </c>
    </row>
    <row r="377" spans="1:8" x14ac:dyDescent="0.45">
      <c r="A377">
        <v>998</v>
      </c>
      <c r="B377">
        <v>44160</v>
      </c>
      <c r="C377">
        <v>16</v>
      </c>
      <c r="D377">
        <v>15.74</v>
      </c>
      <c r="E377" t="s">
        <v>8</v>
      </c>
      <c r="F377" t="s">
        <v>120</v>
      </c>
      <c r="G377" t="s">
        <v>10</v>
      </c>
      <c r="H377" t="s">
        <v>11</v>
      </c>
    </row>
    <row r="378" spans="1:8" x14ac:dyDescent="0.45">
      <c r="A378">
        <v>999</v>
      </c>
      <c r="B378">
        <v>44443</v>
      </c>
      <c r="C378">
        <v>6</v>
      </c>
      <c r="D378">
        <v>95.43</v>
      </c>
      <c r="E378" t="s">
        <v>8</v>
      </c>
      <c r="F378" t="s">
        <v>121</v>
      </c>
      <c r="G378" t="s">
        <v>20</v>
      </c>
      <c r="H378" t="s">
        <v>11</v>
      </c>
    </row>
    <row r="379" spans="1:8" x14ac:dyDescent="0.45">
      <c r="A379">
        <v>1028</v>
      </c>
      <c r="B379">
        <v>43835</v>
      </c>
      <c r="C379">
        <v>6</v>
      </c>
      <c r="D379">
        <v>28.48</v>
      </c>
      <c r="E379" t="s">
        <v>8</v>
      </c>
      <c r="F379" t="s">
        <v>66</v>
      </c>
      <c r="G379" t="s">
        <v>23</v>
      </c>
      <c r="H379" t="s">
        <v>17</v>
      </c>
    </row>
    <row r="380" spans="1:8" x14ac:dyDescent="0.45">
      <c r="A380">
        <v>1028</v>
      </c>
      <c r="B380">
        <v>43835</v>
      </c>
      <c r="C380">
        <v>11</v>
      </c>
      <c r="D380">
        <v>205.99</v>
      </c>
      <c r="E380" t="s">
        <v>8</v>
      </c>
      <c r="F380" t="s">
        <v>66</v>
      </c>
      <c r="G380" t="s">
        <v>23</v>
      </c>
      <c r="H380" t="s">
        <v>17</v>
      </c>
    </row>
    <row r="381" spans="1:8" x14ac:dyDescent="0.45">
      <c r="A381">
        <v>1031</v>
      </c>
      <c r="B381">
        <v>44074</v>
      </c>
      <c r="C381">
        <v>34</v>
      </c>
      <c r="D381">
        <v>6.37</v>
      </c>
      <c r="E381" t="s">
        <v>8</v>
      </c>
      <c r="F381" t="s">
        <v>107</v>
      </c>
      <c r="G381" t="s">
        <v>23</v>
      </c>
      <c r="H381" t="s">
        <v>11</v>
      </c>
    </row>
    <row r="382" spans="1:8" x14ac:dyDescent="0.45">
      <c r="A382">
        <v>1057</v>
      </c>
      <c r="B382">
        <v>44976</v>
      </c>
      <c r="C382">
        <v>41</v>
      </c>
      <c r="D382">
        <v>8.4600000000000009</v>
      </c>
      <c r="E382" t="s">
        <v>8</v>
      </c>
      <c r="F382" t="s">
        <v>123</v>
      </c>
      <c r="G382" t="s">
        <v>13</v>
      </c>
      <c r="H382" t="s">
        <v>17</v>
      </c>
    </row>
    <row r="383" spans="1:8" x14ac:dyDescent="0.45">
      <c r="A383">
        <v>1058</v>
      </c>
      <c r="B383">
        <v>44311</v>
      </c>
      <c r="C383">
        <v>3</v>
      </c>
      <c r="D383">
        <v>195.99</v>
      </c>
      <c r="E383" t="s">
        <v>8</v>
      </c>
      <c r="F383" t="s">
        <v>124</v>
      </c>
      <c r="G383" t="s">
        <v>10</v>
      </c>
      <c r="H383" t="s">
        <v>17</v>
      </c>
    </row>
    <row r="384" spans="1:8" x14ac:dyDescent="0.45">
      <c r="A384">
        <v>1059</v>
      </c>
      <c r="B384">
        <v>43887</v>
      </c>
      <c r="C384">
        <v>22</v>
      </c>
      <c r="D384">
        <v>5.34</v>
      </c>
      <c r="E384" t="s">
        <v>8</v>
      </c>
      <c r="F384" t="s">
        <v>103</v>
      </c>
      <c r="G384" t="s">
        <v>13</v>
      </c>
      <c r="H384" t="s">
        <v>11</v>
      </c>
    </row>
    <row r="385" spans="1:8" x14ac:dyDescent="0.45">
      <c r="A385">
        <v>1059</v>
      </c>
      <c r="B385">
        <v>43887</v>
      </c>
      <c r="C385">
        <v>24</v>
      </c>
      <c r="D385">
        <v>40.98</v>
      </c>
      <c r="E385" t="s">
        <v>8</v>
      </c>
      <c r="F385" t="s">
        <v>103</v>
      </c>
      <c r="G385" t="s">
        <v>13</v>
      </c>
      <c r="H385" t="s">
        <v>11</v>
      </c>
    </row>
    <row r="386" spans="1:8" x14ac:dyDescent="0.45">
      <c r="A386">
        <v>1060</v>
      </c>
      <c r="B386">
        <v>44247</v>
      </c>
      <c r="C386">
        <v>30</v>
      </c>
      <c r="D386">
        <v>37.700000000000003</v>
      </c>
      <c r="E386" t="s">
        <v>8</v>
      </c>
      <c r="F386" t="s">
        <v>125</v>
      </c>
      <c r="G386" t="s">
        <v>13</v>
      </c>
      <c r="H386" t="s">
        <v>11</v>
      </c>
    </row>
    <row r="387" spans="1:8" x14ac:dyDescent="0.45">
      <c r="A387">
        <v>1088</v>
      </c>
      <c r="B387">
        <v>45066</v>
      </c>
      <c r="C387">
        <v>13</v>
      </c>
      <c r="D387">
        <v>20.97</v>
      </c>
      <c r="E387" t="s">
        <v>8</v>
      </c>
      <c r="F387" t="s">
        <v>126</v>
      </c>
      <c r="G387" t="s">
        <v>23</v>
      </c>
      <c r="H387" t="s">
        <v>17</v>
      </c>
    </row>
    <row r="388" spans="1:8" x14ac:dyDescent="0.45">
      <c r="A388">
        <v>1095</v>
      </c>
      <c r="B388">
        <v>44794</v>
      </c>
      <c r="C388">
        <v>28</v>
      </c>
      <c r="D388">
        <v>4.9800000000000004</v>
      </c>
      <c r="E388" t="s">
        <v>8</v>
      </c>
      <c r="F388" t="s">
        <v>127</v>
      </c>
      <c r="G388" t="s">
        <v>23</v>
      </c>
      <c r="H388" t="s">
        <v>11</v>
      </c>
    </row>
    <row r="389" spans="1:8" x14ac:dyDescent="0.45">
      <c r="A389">
        <v>1127</v>
      </c>
      <c r="B389">
        <v>44822</v>
      </c>
      <c r="C389">
        <v>48</v>
      </c>
      <c r="D389">
        <v>110.98</v>
      </c>
      <c r="E389" t="s">
        <v>8</v>
      </c>
      <c r="F389" t="s">
        <v>62</v>
      </c>
      <c r="G389" t="s">
        <v>23</v>
      </c>
      <c r="H389" t="s">
        <v>15</v>
      </c>
    </row>
    <row r="390" spans="1:8" x14ac:dyDescent="0.45">
      <c r="A390">
        <v>1154</v>
      </c>
      <c r="B390">
        <v>44971</v>
      </c>
      <c r="C390">
        <v>11</v>
      </c>
      <c r="D390">
        <v>71.37</v>
      </c>
      <c r="E390" t="s">
        <v>8</v>
      </c>
      <c r="F390" t="s">
        <v>128</v>
      </c>
      <c r="G390" t="s">
        <v>20</v>
      </c>
      <c r="H390" t="s">
        <v>15</v>
      </c>
    </row>
    <row r="391" spans="1:8" x14ac:dyDescent="0.45">
      <c r="A391">
        <v>1154</v>
      </c>
      <c r="B391">
        <v>44971</v>
      </c>
      <c r="C391">
        <v>23</v>
      </c>
      <c r="D391">
        <v>4.91</v>
      </c>
      <c r="E391" t="s">
        <v>8</v>
      </c>
      <c r="F391" t="s">
        <v>129</v>
      </c>
      <c r="G391" t="s">
        <v>20</v>
      </c>
      <c r="H391" t="s">
        <v>11</v>
      </c>
    </row>
    <row r="392" spans="1:8" x14ac:dyDescent="0.45">
      <c r="A392">
        <v>1185</v>
      </c>
      <c r="B392">
        <v>45161</v>
      </c>
      <c r="C392">
        <v>7</v>
      </c>
      <c r="D392">
        <v>55.48</v>
      </c>
      <c r="E392" t="s">
        <v>8</v>
      </c>
      <c r="F392" t="s">
        <v>130</v>
      </c>
      <c r="G392" t="s">
        <v>20</v>
      </c>
      <c r="H392" t="s">
        <v>11</v>
      </c>
    </row>
    <row r="393" spans="1:8" x14ac:dyDescent="0.45">
      <c r="A393">
        <v>1187</v>
      </c>
      <c r="B393">
        <v>45249</v>
      </c>
      <c r="C393">
        <v>14</v>
      </c>
      <c r="D393">
        <v>15.98</v>
      </c>
      <c r="E393" t="s">
        <v>8</v>
      </c>
      <c r="F393" t="s">
        <v>131</v>
      </c>
      <c r="G393" t="s">
        <v>13</v>
      </c>
      <c r="H393" t="s">
        <v>17</v>
      </c>
    </row>
    <row r="394" spans="1:8" x14ac:dyDescent="0.45">
      <c r="A394">
        <v>1189</v>
      </c>
      <c r="B394">
        <v>43929</v>
      </c>
      <c r="C394">
        <v>27</v>
      </c>
      <c r="D394">
        <v>4.42</v>
      </c>
      <c r="E394" t="s">
        <v>8</v>
      </c>
      <c r="F394" t="s">
        <v>132</v>
      </c>
      <c r="G394" t="s">
        <v>10</v>
      </c>
      <c r="H394" t="s">
        <v>11</v>
      </c>
    </row>
    <row r="395" spans="1:8" x14ac:dyDescent="0.45">
      <c r="A395">
        <v>1217</v>
      </c>
      <c r="B395">
        <v>45041</v>
      </c>
      <c r="C395">
        <v>25</v>
      </c>
      <c r="D395">
        <v>28.48</v>
      </c>
      <c r="E395" t="s">
        <v>8</v>
      </c>
      <c r="F395" t="s">
        <v>134</v>
      </c>
      <c r="G395" t="s">
        <v>13</v>
      </c>
      <c r="H395" t="s">
        <v>17</v>
      </c>
    </row>
    <row r="396" spans="1:8" x14ac:dyDescent="0.45">
      <c r="A396">
        <v>1218</v>
      </c>
      <c r="B396">
        <v>44001</v>
      </c>
      <c r="C396">
        <v>3</v>
      </c>
      <c r="D396">
        <v>14.42</v>
      </c>
      <c r="E396" t="s">
        <v>8</v>
      </c>
      <c r="F396" t="s">
        <v>135</v>
      </c>
      <c r="G396" t="s">
        <v>13</v>
      </c>
      <c r="H396" t="s">
        <v>11</v>
      </c>
    </row>
    <row r="397" spans="1:8" x14ac:dyDescent="0.45">
      <c r="A397">
        <v>1221</v>
      </c>
      <c r="B397">
        <v>45034</v>
      </c>
      <c r="C397">
        <v>1</v>
      </c>
      <c r="D397">
        <v>8.6</v>
      </c>
      <c r="E397" t="s">
        <v>8</v>
      </c>
      <c r="F397" t="s">
        <v>136</v>
      </c>
      <c r="G397" t="s">
        <v>13</v>
      </c>
      <c r="H397" t="s">
        <v>11</v>
      </c>
    </row>
    <row r="398" spans="1:8" x14ac:dyDescent="0.45">
      <c r="A398">
        <v>1221</v>
      </c>
      <c r="B398">
        <v>45034</v>
      </c>
      <c r="C398">
        <v>11</v>
      </c>
      <c r="D398">
        <v>896.99</v>
      </c>
      <c r="E398" t="s">
        <v>8</v>
      </c>
      <c r="F398" t="s">
        <v>136</v>
      </c>
      <c r="G398" t="s">
        <v>13</v>
      </c>
      <c r="H398" t="s">
        <v>11</v>
      </c>
    </row>
    <row r="399" spans="1:8" x14ac:dyDescent="0.45">
      <c r="A399">
        <v>1221</v>
      </c>
      <c r="B399">
        <v>45034</v>
      </c>
      <c r="C399">
        <v>16</v>
      </c>
      <c r="D399">
        <v>4.24</v>
      </c>
      <c r="E399" t="s">
        <v>8</v>
      </c>
      <c r="F399" t="s">
        <v>136</v>
      </c>
      <c r="G399" t="s">
        <v>13</v>
      </c>
      <c r="H399" t="s">
        <v>11</v>
      </c>
    </row>
    <row r="400" spans="1:8" x14ac:dyDescent="0.45">
      <c r="A400">
        <v>1222</v>
      </c>
      <c r="B400">
        <v>44231</v>
      </c>
      <c r="C400">
        <v>48</v>
      </c>
      <c r="D400">
        <v>5.28</v>
      </c>
      <c r="E400" t="s">
        <v>8</v>
      </c>
      <c r="F400" t="s">
        <v>137</v>
      </c>
      <c r="G400" t="s">
        <v>20</v>
      </c>
      <c r="H400" t="s">
        <v>11</v>
      </c>
    </row>
    <row r="401" spans="1:8" x14ac:dyDescent="0.45">
      <c r="A401">
        <v>1253</v>
      </c>
      <c r="B401">
        <v>44221</v>
      </c>
      <c r="C401">
        <v>15</v>
      </c>
      <c r="D401">
        <v>31.98</v>
      </c>
      <c r="E401" t="s">
        <v>8</v>
      </c>
      <c r="F401" t="s">
        <v>138</v>
      </c>
      <c r="G401" t="s">
        <v>23</v>
      </c>
      <c r="H401" t="s">
        <v>11</v>
      </c>
    </row>
    <row r="402" spans="1:8" x14ac:dyDescent="0.45">
      <c r="A402">
        <v>1280</v>
      </c>
      <c r="B402">
        <v>44206</v>
      </c>
      <c r="C402">
        <v>40</v>
      </c>
      <c r="D402">
        <v>20.97</v>
      </c>
      <c r="E402" t="s">
        <v>8</v>
      </c>
      <c r="F402" t="s">
        <v>125</v>
      </c>
      <c r="G402" t="s">
        <v>13</v>
      </c>
      <c r="H402" t="s">
        <v>17</v>
      </c>
    </row>
    <row r="403" spans="1:8" x14ac:dyDescent="0.45">
      <c r="A403">
        <v>1282</v>
      </c>
      <c r="B403">
        <v>44984</v>
      </c>
      <c r="C403">
        <v>26</v>
      </c>
      <c r="D403">
        <v>31.78</v>
      </c>
      <c r="E403" t="s">
        <v>8</v>
      </c>
      <c r="F403" t="s">
        <v>139</v>
      </c>
      <c r="G403" t="s">
        <v>20</v>
      </c>
      <c r="H403" t="s">
        <v>17</v>
      </c>
    </row>
    <row r="404" spans="1:8" x14ac:dyDescent="0.45">
      <c r="A404">
        <v>1282</v>
      </c>
      <c r="B404">
        <v>44984</v>
      </c>
      <c r="C404">
        <v>10</v>
      </c>
      <c r="D404">
        <v>2.78</v>
      </c>
      <c r="E404" t="s">
        <v>8</v>
      </c>
      <c r="F404" t="s">
        <v>139</v>
      </c>
      <c r="G404" t="s">
        <v>20</v>
      </c>
      <c r="H404" t="s">
        <v>11</v>
      </c>
    </row>
    <row r="405" spans="1:8" x14ac:dyDescent="0.45">
      <c r="A405">
        <v>1286</v>
      </c>
      <c r="B405">
        <v>44329</v>
      </c>
      <c r="C405">
        <v>46</v>
      </c>
      <c r="D405">
        <v>5.18</v>
      </c>
      <c r="E405" t="s">
        <v>8</v>
      </c>
      <c r="F405" t="s">
        <v>141</v>
      </c>
      <c r="G405" t="s">
        <v>20</v>
      </c>
      <c r="H405" t="s">
        <v>11</v>
      </c>
    </row>
    <row r="406" spans="1:8" x14ac:dyDescent="0.45">
      <c r="A406">
        <v>1286</v>
      </c>
      <c r="B406">
        <v>44329</v>
      </c>
      <c r="C406">
        <v>14</v>
      </c>
      <c r="D406">
        <v>85.99</v>
      </c>
      <c r="E406" t="s">
        <v>8</v>
      </c>
      <c r="F406" t="s">
        <v>141</v>
      </c>
      <c r="G406" t="s">
        <v>20</v>
      </c>
      <c r="H406" t="s">
        <v>17</v>
      </c>
    </row>
    <row r="407" spans="1:8" x14ac:dyDescent="0.45">
      <c r="A407">
        <v>1287</v>
      </c>
      <c r="B407">
        <v>44016</v>
      </c>
      <c r="C407">
        <v>39</v>
      </c>
      <c r="D407">
        <v>105.29</v>
      </c>
      <c r="E407" t="s">
        <v>8</v>
      </c>
      <c r="F407" t="s">
        <v>142</v>
      </c>
      <c r="G407" t="s">
        <v>13</v>
      </c>
      <c r="H407" t="s">
        <v>15</v>
      </c>
    </row>
    <row r="408" spans="1:8" x14ac:dyDescent="0.45">
      <c r="A408">
        <v>1313</v>
      </c>
      <c r="B408">
        <v>44086</v>
      </c>
      <c r="C408">
        <v>34</v>
      </c>
      <c r="D408">
        <v>22.84</v>
      </c>
      <c r="E408" t="s">
        <v>8</v>
      </c>
      <c r="F408" t="s">
        <v>140</v>
      </c>
      <c r="G408" t="s">
        <v>20</v>
      </c>
      <c r="H408" t="s">
        <v>11</v>
      </c>
    </row>
    <row r="409" spans="1:8" x14ac:dyDescent="0.45">
      <c r="A409">
        <v>1314</v>
      </c>
      <c r="B409">
        <v>43963</v>
      </c>
      <c r="C409">
        <v>4</v>
      </c>
      <c r="D409">
        <v>9.27</v>
      </c>
      <c r="E409" t="s">
        <v>8</v>
      </c>
      <c r="F409" t="s">
        <v>143</v>
      </c>
      <c r="G409" t="s">
        <v>13</v>
      </c>
      <c r="H409" t="s">
        <v>11</v>
      </c>
    </row>
    <row r="410" spans="1:8" x14ac:dyDescent="0.45">
      <c r="A410">
        <v>1317</v>
      </c>
      <c r="B410">
        <v>44699</v>
      </c>
      <c r="C410">
        <v>44</v>
      </c>
      <c r="D410">
        <v>11.7</v>
      </c>
      <c r="E410" t="s">
        <v>8</v>
      </c>
      <c r="F410" t="s">
        <v>144</v>
      </c>
      <c r="G410" t="s">
        <v>23</v>
      </c>
      <c r="H410" t="s">
        <v>11</v>
      </c>
    </row>
    <row r="411" spans="1:8" x14ac:dyDescent="0.45">
      <c r="A411">
        <v>1317</v>
      </c>
      <c r="B411">
        <v>44699</v>
      </c>
      <c r="C411">
        <v>40</v>
      </c>
      <c r="D411">
        <v>4.9800000000000004</v>
      </c>
      <c r="E411" t="s">
        <v>8</v>
      </c>
      <c r="F411" t="s">
        <v>144</v>
      </c>
      <c r="G411" t="s">
        <v>23</v>
      </c>
      <c r="H411" t="s">
        <v>11</v>
      </c>
    </row>
    <row r="412" spans="1:8" x14ac:dyDescent="0.45">
      <c r="A412">
        <v>1317</v>
      </c>
      <c r="B412">
        <v>44699</v>
      </c>
      <c r="C412">
        <v>29</v>
      </c>
      <c r="D412">
        <v>5.28</v>
      </c>
      <c r="E412" t="s">
        <v>8</v>
      </c>
      <c r="F412" t="s">
        <v>144</v>
      </c>
      <c r="G412" t="s">
        <v>23</v>
      </c>
      <c r="H412" t="s">
        <v>11</v>
      </c>
    </row>
    <row r="413" spans="1:8" x14ac:dyDescent="0.45">
      <c r="A413">
        <v>1344</v>
      </c>
      <c r="B413">
        <v>45031</v>
      </c>
      <c r="C413">
        <v>15</v>
      </c>
      <c r="D413">
        <v>65.989999999999995</v>
      </c>
      <c r="E413" t="s">
        <v>8</v>
      </c>
      <c r="F413" t="s">
        <v>145</v>
      </c>
      <c r="G413" t="s">
        <v>13</v>
      </c>
      <c r="H413" t="s">
        <v>17</v>
      </c>
    </row>
    <row r="414" spans="1:8" x14ac:dyDescent="0.45">
      <c r="A414">
        <v>1344</v>
      </c>
      <c r="B414">
        <v>45031</v>
      </c>
      <c r="C414">
        <v>18</v>
      </c>
      <c r="D414">
        <v>155.99</v>
      </c>
      <c r="E414" t="s">
        <v>8</v>
      </c>
      <c r="F414" t="s">
        <v>145</v>
      </c>
      <c r="G414" t="s">
        <v>13</v>
      </c>
      <c r="H414" t="s">
        <v>17</v>
      </c>
    </row>
    <row r="415" spans="1:8" x14ac:dyDescent="0.45">
      <c r="A415">
        <v>1382</v>
      </c>
      <c r="B415">
        <v>44424</v>
      </c>
      <c r="C415">
        <v>5</v>
      </c>
      <c r="D415">
        <v>20.99</v>
      </c>
      <c r="E415" t="s">
        <v>8</v>
      </c>
      <c r="F415" t="s">
        <v>148</v>
      </c>
      <c r="G415" t="s">
        <v>20</v>
      </c>
      <c r="H415" t="s">
        <v>17</v>
      </c>
    </row>
    <row r="416" spans="1:8" x14ac:dyDescent="0.45">
      <c r="A416">
        <v>1382</v>
      </c>
      <c r="B416">
        <v>44424</v>
      </c>
      <c r="C416">
        <v>39</v>
      </c>
      <c r="D416">
        <v>3.98</v>
      </c>
      <c r="E416" t="s">
        <v>8</v>
      </c>
      <c r="F416" t="s">
        <v>148</v>
      </c>
      <c r="G416" t="s">
        <v>20</v>
      </c>
      <c r="H416" t="s">
        <v>11</v>
      </c>
    </row>
    <row r="417" spans="1:8" x14ac:dyDescent="0.45">
      <c r="A417">
        <v>1383</v>
      </c>
      <c r="B417">
        <v>44312</v>
      </c>
      <c r="C417">
        <v>43</v>
      </c>
      <c r="D417">
        <v>415.88</v>
      </c>
      <c r="E417" t="s">
        <v>8</v>
      </c>
      <c r="F417" t="s">
        <v>149</v>
      </c>
      <c r="G417" t="s">
        <v>23</v>
      </c>
      <c r="H417" t="s">
        <v>11</v>
      </c>
    </row>
    <row r="418" spans="1:8" x14ac:dyDescent="0.45">
      <c r="A418">
        <v>1411</v>
      </c>
      <c r="B418">
        <v>44185</v>
      </c>
      <c r="C418">
        <v>47</v>
      </c>
      <c r="D418">
        <v>175.99</v>
      </c>
      <c r="E418" t="s">
        <v>8</v>
      </c>
      <c r="F418" t="s">
        <v>150</v>
      </c>
      <c r="G418" t="s">
        <v>10</v>
      </c>
      <c r="H418" t="s">
        <v>17</v>
      </c>
    </row>
    <row r="419" spans="1:8" x14ac:dyDescent="0.45">
      <c r="A419">
        <v>1412</v>
      </c>
      <c r="B419">
        <v>44267</v>
      </c>
      <c r="C419">
        <v>21</v>
      </c>
      <c r="D419">
        <v>4.71</v>
      </c>
      <c r="E419" t="s">
        <v>8</v>
      </c>
      <c r="F419" t="s">
        <v>73</v>
      </c>
      <c r="G419" t="s">
        <v>23</v>
      </c>
      <c r="H419" t="s">
        <v>11</v>
      </c>
    </row>
    <row r="420" spans="1:8" x14ac:dyDescent="0.45">
      <c r="A420">
        <v>1440</v>
      </c>
      <c r="B420">
        <v>44782</v>
      </c>
      <c r="C420">
        <v>41</v>
      </c>
      <c r="D420">
        <v>17.670000000000002</v>
      </c>
      <c r="E420" t="s">
        <v>8</v>
      </c>
      <c r="F420" t="s">
        <v>152</v>
      </c>
      <c r="G420" t="s">
        <v>10</v>
      </c>
      <c r="H420" t="s">
        <v>15</v>
      </c>
    </row>
    <row r="421" spans="1:8" x14ac:dyDescent="0.45">
      <c r="A421">
        <v>1444</v>
      </c>
      <c r="B421">
        <v>44170</v>
      </c>
      <c r="C421">
        <v>2</v>
      </c>
      <c r="D421">
        <v>6.48</v>
      </c>
      <c r="E421" t="s">
        <v>8</v>
      </c>
      <c r="F421" t="s">
        <v>153</v>
      </c>
      <c r="G421" t="s">
        <v>20</v>
      </c>
      <c r="H421" t="s">
        <v>11</v>
      </c>
    </row>
    <row r="422" spans="1:8" x14ac:dyDescent="0.45">
      <c r="A422">
        <v>1444</v>
      </c>
      <c r="B422">
        <v>44170</v>
      </c>
      <c r="C422">
        <v>24</v>
      </c>
      <c r="D422">
        <v>17.149999999999999</v>
      </c>
      <c r="E422" t="s">
        <v>8</v>
      </c>
      <c r="F422" t="s">
        <v>153</v>
      </c>
      <c r="G422" t="s">
        <v>20</v>
      </c>
      <c r="H422" t="s">
        <v>11</v>
      </c>
    </row>
    <row r="423" spans="1:8" x14ac:dyDescent="0.45">
      <c r="A423">
        <v>1444</v>
      </c>
      <c r="B423">
        <v>44170</v>
      </c>
      <c r="C423">
        <v>25</v>
      </c>
      <c r="D423">
        <v>30.98</v>
      </c>
      <c r="E423" t="s">
        <v>8</v>
      </c>
      <c r="F423" t="s">
        <v>153</v>
      </c>
      <c r="G423" t="s">
        <v>20</v>
      </c>
      <c r="H423" t="s">
        <v>11</v>
      </c>
    </row>
    <row r="424" spans="1:8" x14ac:dyDescent="0.45">
      <c r="A424">
        <v>1445</v>
      </c>
      <c r="B424">
        <v>44570</v>
      </c>
      <c r="C424">
        <v>3</v>
      </c>
      <c r="D424">
        <v>420.98</v>
      </c>
      <c r="E424" t="s">
        <v>8</v>
      </c>
      <c r="F424" t="s">
        <v>154</v>
      </c>
      <c r="G424" t="s">
        <v>13</v>
      </c>
      <c r="H424" t="s">
        <v>11</v>
      </c>
    </row>
    <row r="425" spans="1:8" x14ac:dyDescent="0.45">
      <c r="A425">
        <v>1445</v>
      </c>
      <c r="B425">
        <v>44570</v>
      </c>
      <c r="C425">
        <v>30</v>
      </c>
      <c r="D425">
        <v>11.97</v>
      </c>
      <c r="E425" t="s">
        <v>8</v>
      </c>
      <c r="F425" t="s">
        <v>154</v>
      </c>
      <c r="G425" t="s">
        <v>13</v>
      </c>
      <c r="H425" t="s">
        <v>11</v>
      </c>
    </row>
    <row r="426" spans="1:8" x14ac:dyDescent="0.45">
      <c r="A426">
        <v>1447</v>
      </c>
      <c r="B426">
        <v>45213</v>
      </c>
      <c r="C426">
        <v>40</v>
      </c>
      <c r="D426">
        <v>65.989999999999995</v>
      </c>
      <c r="E426" t="s">
        <v>8</v>
      </c>
      <c r="F426" t="s">
        <v>155</v>
      </c>
      <c r="G426" t="s">
        <v>23</v>
      </c>
      <c r="H426" t="s">
        <v>17</v>
      </c>
    </row>
    <row r="427" spans="1:8" x14ac:dyDescent="0.45">
      <c r="A427">
        <v>1504</v>
      </c>
      <c r="B427">
        <v>45165</v>
      </c>
      <c r="C427">
        <v>31</v>
      </c>
      <c r="D427">
        <v>10.01</v>
      </c>
      <c r="E427" t="s">
        <v>8</v>
      </c>
      <c r="F427" t="s">
        <v>156</v>
      </c>
      <c r="G427" t="s">
        <v>13</v>
      </c>
      <c r="H427" t="s">
        <v>17</v>
      </c>
    </row>
    <row r="428" spans="1:8" x14ac:dyDescent="0.45">
      <c r="A428">
        <v>1507</v>
      </c>
      <c r="B428">
        <v>44482</v>
      </c>
      <c r="C428">
        <v>29</v>
      </c>
      <c r="D428">
        <v>152.47999999999999</v>
      </c>
      <c r="E428" t="s">
        <v>8</v>
      </c>
      <c r="F428" t="s">
        <v>157</v>
      </c>
      <c r="G428" t="s">
        <v>20</v>
      </c>
      <c r="H428" t="s">
        <v>17</v>
      </c>
    </row>
    <row r="429" spans="1:8" x14ac:dyDescent="0.45">
      <c r="A429">
        <v>1537</v>
      </c>
      <c r="B429">
        <v>44971</v>
      </c>
      <c r="C429">
        <v>5</v>
      </c>
      <c r="D429">
        <v>2.16</v>
      </c>
      <c r="E429" t="s">
        <v>8</v>
      </c>
      <c r="F429" t="s">
        <v>158</v>
      </c>
      <c r="G429" t="s">
        <v>13</v>
      </c>
      <c r="H429" t="s">
        <v>11</v>
      </c>
    </row>
    <row r="430" spans="1:8" x14ac:dyDescent="0.45">
      <c r="A430">
        <v>1538</v>
      </c>
      <c r="B430">
        <v>44729</v>
      </c>
      <c r="C430">
        <v>15</v>
      </c>
      <c r="D430">
        <v>95.99</v>
      </c>
      <c r="E430" t="s">
        <v>8</v>
      </c>
      <c r="F430" t="s">
        <v>159</v>
      </c>
      <c r="G430" t="s">
        <v>13</v>
      </c>
      <c r="H430" t="s">
        <v>17</v>
      </c>
    </row>
    <row r="431" spans="1:8" x14ac:dyDescent="0.45">
      <c r="A431">
        <v>1539</v>
      </c>
      <c r="B431">
        <v>44629</v>
      </c>
      <c r="C431">
        <v>33</v>
      </c>
      <c r="D431">
        <v>15.99</v>
      </c>
      <c r="E431" t="s">
        <v>8</v>
      </c>
      <c r="F431" t="s">
        <v>160</v>
      </c>
      <c r="G431" t="s">
        <v>13</v>
      </c>
      <c r="H431" t="s">
        <v>11</v>
      </c>
    </row>
    <row r="432" spans="1:8" x14ac:dyDescent="0.45">
      <c r="A432">
        <v>1539</v>
      </c>
      <c r="B432">
        <v>44629</v>
      </c>
      <c r="C432">
        <v>38</v>
      </c>
      <c r="D432">
        <v>4.8899999999999997</v>
      </c>
      <c r="E432" t="s">
        <v>8</v>
      </c>
      <c r="F432" t="s">
        <v>160</v>
      </c>
      <c r="G432" t="s">
        <v>13</v>
      </c>
      <c r="H432" t="s">
        <v>17</v>
      </c>
    </row>
    <row r="433" spans="1:8" x14ac:dyDescent="0.45">
      <c r="A433">
        <v>1540</v>
      </c>
      <c r="B433">
        <v>45142</v>
      </c>
      <c r="C433">
        <v>30</v>
      </c>
      <c r="D433">
        <v>2.88</v>
      </c>
      <c r="E433" t="s">
        <v>8</v>
      </c>
      <c r="F433" t="s">
        <v>161</v>
      </c>
      <c r="G433" t="s">
        <v>20</v>
      </c>
      <c r="H433" t="s">
        <v>11</v>
      </c>
    </row>
    <row r="434" spans="1:8" x14ac:dyDescent="0.45">
      <c r="A434">
        <v>1542</v>
      </c>
      <c r="B434">
        <v>44453</v>
      </c>
      <c r="C434">
        <v>47</v>
      </c>
      <c r="D434">
        <v>48.58</v>
      </c>
      <c r="E434" t="s">
        <v>8</v>
      </c>
      <c r="F434" t="s">
        <v>162</v>
      </c>
      <c r="G434" t="s">
        <v>23</v>
      </c>
      <c r="H434" t="s">
        <v>11</v>
      </c>
    </row>
    <row r="435" spans="1:8" x14ac:dyDescent="0.45">
      <c r="A435">
        <v>1542</v>
      </c>
      <c r="B435">
        <v>44453</v>
      </c>
      <c r="C435">
        <v>13</v>
      </c>
      <c r="D435">
        <v>35.51</v>
      </c>
      <c r="E435" t="s">
        <v>8</v>
      </c>
      <c r="F435" t="s">
        <v>162</v>
      </c>
      <c r="G435" t="s">
        <v>23</v>
      </c>
      <c r="H435" t="s">
        <v>11</v>
      </c>
    </row>
    <row r="436" spans="1:8" x14ac:dyDescent="0.45">
      <c r="A436">
        <v>1575</v>
      </c>
      <c r="B436">
        <v>44816</v>
      </c>
      <c r="C436">
        <v>26</v>
      </c>
      <c r="D436">
        <v>4.9800000000000004</v>
      </c>
      <c r="E436" t="s">
        <v>8</v>
      </c>
      <c r="F436" t="s">
        <v>164</v>
      </c>
      <c r="G436" t="s">
        <v>10</v>
      </c>
      <c r="H436" t="s">
        <v>11</v>
      </c>
    </row>
    <row r="437" spans="1:8" x14ac:dyDescent="0.45">
      <c r="A437">
        <v>1575</v>
      </c>
      <c r="B437">
        <v>44816</v>
      </c>
      <c r="C437">
        <v>10</v>
      </c>
      <c r="D437">
        <v>65.989999999999995</v>
      </c>
      <c r="E437" t="s">
        <v>8</v>
      </c>
      <c r="F437" t="s">
        <v>164</v>
      </c>
      <c r="G437" t="s">
        <v>10</v>
      </c>
      <c r="H437" t="s">
        <v>17</v>
      </c>
    </row>
    <row r="438" spans="1:8" x14ac:dyDescent="0.45">
      <c r="A438">
        <v>1600</v>
      </c>
      <c r="B438">
        <v>44257</v>
      </c>
      <c r="C438">
        <v>32</v>
      </c>
      <c r="D438">
        <v>9.65</v>
      </c>
      <c r="E438" t="s">
        <v>8</v>
      </c>
      <c r="F438" t="s">
        <v>165</v>
      </c>
      <c r="G438" t="s">
        <v>13</v>
      </c>
      <c r="H438" t="s">
        <v>15</v>
      </c>
    </row>
    <row r="439" spans="1:8" x14ac:dyDescent="0.45">
      <c r="A439">
        <v>1600</v>
      </c>
      <c r="B439">
        <v>44257</v>
      </c>
      <c r="C439">
        <v>36</v>
      </c>
      <c r="D439">
        <v>4.9800000000000004</v>
      </c>
      <c r="E439" t="s">
        <v>8</v>
      </c>
      <c r="F439" t="s">
        <v>165</v>
      </c>
      <c r="G439" t="s">
        <v>13</v>
      </c>
      <c r="H439" t="s">
        <v>11</v>
      </c>
    </row>
    <row r="440" spans="1:8" x14ac:dyDescent="0.45">
      <c r="A440">
        <v>1604</v>
      </c>
      <c r="B440">
        <v>44393</v>
      </c>
      <c r="C440">
        <v>47</v>
      </c>
      <c r="D440">
        <v>12.64</v>
      </c>
      <c r="E440" t="s">
        <v>8</v>
      </c>
      <c r="F440" t="s">
        <v>166</v>
      </c>
      <c r="G440" t="s">
        <v>23</v>
      </c>
      <c r="H440" t="s">
        <v>15</v>
      </c>
    </row>
    <row r="441" spans="1:8" x14ac:dyDescent="0.45">
      <c r="A441">
        <v>1637</v>
      </c>
      <c r="B441">
        <v>44599</v>
      </c>
      <c r="C441">
        <v>10</v>
      </c>
      <c r="D441">
        <v>99.99</v>
      </c>
      <c r="E441" t="s">
        <v>8</v>
      </c>
      <c r="F441" t="s">
        <v>167</v>
      </c>
      <c r="G441" t="s">
        <v>13</v>
      </c>
      <c r="H441" t="s">
        <v>17</v>
      </c>
    </row>
    <row r="442" spans="1:8" x14ac:dyDescent="0.45">
      <c r="A442">
        <v>1637</v>
      </c>
      <c r="B442">
        <v>44599</v>
      </c>
      <c r="C442">
        <v>47</v>
      </c>
      <c r="D442">
        <v>30.98</v>
      </c>
      <c r="E442" t="s">
        <v>8</v>
      </c>
      <c r="F442" t="s">
        <v>167</v>
      </c>
      <c r="G442" t="s">
        <v>13</v>
      </c>
      <c r="H442" t="s">
        <v>11</v>
      </c>
    </row>
    <row r="443" spans="1:8" x14ac:dyDescent="0.45">
      <c r="A443">
        <v>1639</v>
      </c>
      <c r="B443">
        <v>44792</v>
      </c>
      <c r="C443">
        <v>24</v>
      </c>
      <c r="D443">
        <v>6.78</v>
      </c>
      <c r="E443" t="s">
        <v>8</v>
      </c>
      <c r="F443" t="s">
        <v>168</v>
      </c>
      <c r="G443" t="s">
        <v>20</v>
      </c>
      <c r="H443" t="s">
        <v>11</v>
      </c>
    </row>
    <row r="444" spans="1:8" x14ac:dyDescent="0.45">
      <c r="A444">
        <v>1665</v>
      </c>
      <c r="B444">
        <v>43958</v>
      </c>
      <c r="C444">
        <v>26</v>
      </c>
      <c r="D444">
        <v>35.99</v>
      </c>
      <c r="E444" t="s">
        <v>8</v>
      </c>
      <c r="F444" t="s">
        <v>169</v>
      </c>
      <c r="G444" t="s">
        <v>13</v>
      </c>
      <c r="H444" t="s">
        <v>17</v>
      </c>
    </row>
    <row r="445" spans="1:8" x14ac:dyDescent="0.45">
      <c r="A445">
        <v>1699</v>
      </c>
      <c r="B445">
        <v>44559</v>
      </c>
      <c r="C445">
        <v>40</v>
      </c>
      <c r="D445">
        <v>11.09</v>
      </c>
      <c r="E445" t="s">
        <v>8</v>
      </c>
      <c r="F445" t="s">
        <v>171</v>
      </c>
      <c r="G445" t="s">
        <v>13</v>
      </c>
      <c r="H445" t="s">
        <v>11</v>
      </c>
    </row>
    <row r="446" spans="1:8" x14ac:dyDescent="0.45">
      <c r="A446">
        <v>1701</v>
      </c>
      <c r="B446">
        <v>45064</v>
      </c>
      <c r="C446">
        <v>49</v>
      </c>
      <c r="D446">
        <v>40.98</v>
      </c>
      <c r="E446" t="s">
        <v>8</v>
      </c>
      <c r="F446" t="s">
        <v>172</v>
      </c>
      <c r="G446" t="s">
        <v>23</v>
      </c>
      <c r="H446" t="s">
        <v>17</v>
      </c>
    </row>
    <row r="447" spans="1:8" x14ac:dyDescent="0.45">
      <c r="A447">
        <v>1701</v>
      </c>
      <c r="B447">
        <v>45064</v>
      </c>
      <c r="C447">
        <v>1</v>
      </c>
      <c r="D447">
        <v>40.97</v>
      </c>
      <c r="E447" t="s">
        <v>8</v>
      </c>
      <c r="F447" t="s">
        <v>172</v>
      </c>
      <c r="G447" t="s">
        <v>23</v>
      </c>
      <c r="H447" t="s">
        <v>15</v>
      </c>
    </row>
    <row r="448" spans="1:8" x14ac:dyDescent="0.45">
      <c r="A448">
        <v>1702</v>
      </c>
      <c r="B448">
        <v>44687</v>
      </c>
      <c r="C448">
        <v>23</v>
      </c>
      <c r="D448">
        <v>2.84</v>
      </c>
      <c r="E448" t="s">
        <v>8</v>
      </c>
      <c r="F448" t="s">
        <v>173</v>
      </c>
      <c r="G448" t="s">
        <v>20</v>
      </c>
      <c r="H448" t="s">
        <v>11</v>
      </c>
    </row>
    <row r="449" spans="1:8" x14ac:dyDescent="0.45">
      <c r="A449">
        <v>1762</v>
      </c>
      <c r="B449">
        <v>44062</v>
      </c>
      <c r="C449">
        <v>29</v>
      </c>
      <c r="D449">
        <v>31.78</v>
      </c>
      <c r="E449" t="s">
        <v>8</v>
      </c>
      <c r="F449" t="s">
        <v>174</v>
      </c>
      <c r="G449" t="s">
        <v>20</v>
      </c>
      <c r="H449" t="s">
        <v>17</v>
      </c>
    </row>
    <row r="450" spans="1:8" x14ac:dyDescent="0.45">
      <c r="A450">
        <v>1762</v>
      </c>
      <c r="B450">
        <v>44062</v>
      </c>
      <c r="C450">
        <v>11</v>
      </c>
      <c r="D450">
        <v>5.98</v>
      </c>
      <c r="E450" t="s">
        <v>8</v>
      </c>
      <c r="F450" t="s">
        <v>174</v>
      </c>
      <c r="G450" t="s">
        <v>20</v>
      </c>
      <c r="H450" t="s">
        <v>11</v>
      </c>
    </row>
    <row r="451" spans="1:8" x14ac:dyDescent="0.45">
      <c r="A451">
        <v>1764</v>
      </c>
      <c r="B451">
        <v>45009</v>
      </c>
      <c r="C451">
        <v>7</v>
      </c>
      <c r="D451">
        <v>8.34</v>
      </c>
      <c r="E451" t="s">
        <v>8</v>
      </c>
      <c r="F451" t="s">
        <v>122</v>
      </c>
      <c r="G451" t="s">
        <v>10</v>
      </c>
      <c r="H451" t="s">
        <v>11</v>
      </c>
    </row>
    <row r="452" spans="1:8" x14ac:dyDescent="0.45">
      <c r="A452">
        <v>1767</v>
      </c>
      <c r="B452">
        <v>44633</v>
      </c>
      <c r="C452">
        <v>10</v>
      </c>
      <c r="D452">
        <v>4.71</v>
      </c>
      <c r="E452" t="s">
        <v>8</v>
      </c>
      <c r="F452" t="s">
        <v>175</v>
      </c>
      <c r="G452" t="s">
        <v>13</v>
      </c>
      <c r="H452" t="s">
        <v>11</v>
      </c>
    </row>
    <row r="453" spans="1:8" x14ac:dyDescent="0.45">
      <c r="A453">
        <v>1792</v>
      </c>
      <c r="B453">
        <v>44508</v>
      </c>
      <c r="C453">
        <v>28</v>
      </c>
      <c r="D453">
        <v>13.48</v>
      </c>
      <c r="E453" t="s">
        <v>8</v>
      </c>
      <c r="F453" t="s">
        <v>73</v>
      </c>
      <c r="G453" t="s">
        <v>23</v>
      </c>
      <c r="H453" t="s">
        <v>11</v>
      </c>
    </row>
    <row r="454" spans="1:8" x14ac:dyDescent="0.45">
      <c r="A454">
        <v>1793</v>
      </c>
      <c r="B454">
        <v>45118</v>
      </c>
      <c r="C454">
        <v>36</v>
      </c>
      <c r="D454">
        <v>6.28</v>
      </c>
      <c r="E454" t="s">
        <v>8</v>
      </c>
      <c r="F454" t="s">
        <v>176</v>
      </c>
      <c r="G454" t="s">
        <v>20</v>
      </c>
      <c r="H454" t="s">
        <v>11</v>
      </c>
    </row>
    <row r="455" spans="1:8" x14ac:dyDescent="0.45">
      <c r="A455">
        <v>1796</v>
      </c>
      <c r="B455">
        <v>45250</v>
      </c>
      <c r="C455">
        <v>43</v>
      </c>
      <c r="D455">
        <v>4.13</v>
      </c>
      <c r="E455" t="s">
        <v>8</v>
      </c>
      <c r="F455" t="s">
        <v>177</v>
      </c>
      <c r="G455" t="s">
        <v>13</v>
      </c>
      <c r="H455" t="s">
        <v>11</v>
      </c>
    </row>
    <row r="456" spans="1:8" x14ac:dyDescent="0.45">
      <c r="A456">
        <v>1799</v>
      </c>
      <c r="B456">
        <v>43896</v>
      </c>
      <c r="C456">
        <v>16</v>
      </c>
      <c r="D456">
        <v>6.48</v>
      </c>
      <c r="E456" t="s">
        <v>8</v>
      </c>
      <c r="F456" t="s">
        <v>178</v>
      </c>
      <c r="G456" t="s">
        <v>10</v>
      </c>
      <c r="H456" t="s">
        <v>11</v>
      </c>
    </row>
    <row r="457" spans="1:8" x14ac:dyDescent="0.45">
      <c r="A457">
        <v>1824</v>
      </c>
      <c r="B457">
        <v>43955</v>
      </c>
      <c r="C457">
        <v>39</v>
      </c>
      <c r="D457">
        <v>276.2</v>
      </c>
      <c r="E457" t="s">
        <v>8</v>
      </c>
      <c r="F457" t="s">
        <v>179</v>
      </c>
      <c r="G457" t="s">
        <v>13</v>
      </c>
      <c r="H457" t="s">
        <v>15</v>
      </c>
    </row>
    <row r="458" spans="1:8" x14ac:dyDescent="0.45">
      <c r="A458">
        <v>1824</v>
      </c>
      <c r="B458">
        <v>43955</v>
      </c>
      <c r="C458">
        <v>2</v>
      </c>
      <c r="D458">
        <v>6.28</v>
      </c>
      <c r="E458" t="s">
        <v>8</v>
      </c>
      <c r="F458" t="s">
        <v>179</v>
      </c>
      <c r="G458" t="s">
        <v>13</v>
      </c>
      <c r="H458" t="s">
        <v>15</v>
      </c>
    </row>
    <row r="459" spans="1:8" x14ac:dyDescent="0.45">
      <c r="A459">
        <v>1825</v>
      </c>
      <c r="B459">
        <v>44534</v>
      </c>
      <c r="C459">
        <v>22</v>
      </c>
      <c r="D459">
        <v>1.76</v>
      </c>
      <c r="E459" t="s">
        <v>8</v>
      </c>
      <c r="F459" t="s">
        <v>132</v>
      </c>
      <c r="G459" t="s">
        <v>10</v>
      </c>
      <c r="H459" t="s">
        <v>11</v>
      </c>
    </row>
    <row r="460" spans="1:8" x14ac:dyDescent="0.45">
      <c r="A460">
        <v>1826</v>
      </c>
      <c r="B460">
        <v>45031</v>
      </c>
      <c r="C460">
        <v>5</v>
      </c>
      <c r="D460">
        <v>4.9800000000000004</v>
      </c>
      <c r="E460" t="s">
        <v>8</v>
      </c>
      <c r="F460" t="s">
        <v>180</v>
      </c>
      <c r="G460" t="s">
        <v>13</v>
      </c>
      <c r="H460" t="s">
        <v>11</v>
      </c>
    </row>
    <row r="461" spans="1:8" x14ac:dyDescent="0.45">
      <c r="A461">
        <v>1829</v>
      </c>
      <c r="B461">
        <v>43958</v>
      </c>
      <c r="C461">
        <v>48</v>
      </c>
      <c r="D461">
        <v>2.78</v>
      </c>
      <c r="E461" t="s">
        <v>8</v>
      </c>
      <c r="F461" t="s">
        <v>181</v>
      </c>
      <c r="G461" t="s">
        <v>10</v>
      </c>
      <c r="H461" t="s">
        <v>11</v>
      </c>
    </row>
    <row r="462" spans="1:8" x14ac:dyDescent="0.45">
      <c r="A462">
        <v>1856</v>
      </c>
      <c r="B462">
        <v>45004</v>
      </c>
      <c r="C462">
        <v>24</v>
      </c>
      <c r="D462">
        <v>60.98</v>
      </c>
      <c r="E462" t="s">
        <v>8</v>
      </c>
      <c r="F462" t="s">
        <v>182</v>
      </c>
      <c r="G462" t="s">
        <v>20</v>
      </c>
      <c r="H462" t="s">
        <v>11</v>
      </c>
    </row>
    <row r="463" spans="1:8" x14ac:dyDescent="0.45">
      <c r="A463">
        <v>1856</v>
      </c>
      <c r="B463">
        <v>45004</v>
      </c>
      <c r="C463">
        <v>43</v>
      </c>
      <c r="D463">
        <v>125.99</v>
      </c>
      <c r="E463" t="s">
        <v>8</v>
      </c>
      <c r="F463" t="s">
        <v>182</v>
      </c>
      <c r="G463" t="s">
        <v>20</v>
      </c>
      <c r="H463" t="s">
        <v>17</v>
      </c>
    </row>
    <row r="464" spans="1:8" x14ac:dyDescent="0.45">
      <c r="A464">
        <v>1856</v>
      </c>
      <c r="B464">
        <v>45004</v>
      </c>
      <c r="C464">
        <v>44</v>
      </c>
      <c r="D464">
        <v>125.99</v>
      </c>
      <c r="E464" t="s">
        <v>8</v>
      </c>
      <c r="F464" t="s">
        <v>182</v>
      </c>
      <c r="G464" t="s">
        <v>20</v>
      </c>
      <c r="H464" t="s">
        <v>17</v>
      </c>
    </row>
    <row r="465" spans="1:8" x14ac:dyDescent="0.45">
      <c r="A465">
        <v>1857</v>
      </c>
      <c r="B465">
        <v>44208</v>
      </c>
      <c r="C465">
        <v>37</v>
      </c>
      <c r="D465">
        <v>5.58</v>
      </c>
      <c r="E465" t="s">
        <v>8</v>
      </c>
      <c r="F465" t="s">
        <v>183</v>
      </c>
      <c r="G465" t="s">
        <v>23</v>
      </c>
      <c r="H465" t="s">
        <v>11</v>
      </c>
    </row>
    <row r="466" spans="1:8" x14ac:dyDescent="0.45">
      <c r="A466">
        <v>1888</v>
      </c>
      <c r="B466">
        <v>44499</v>
      </c>
      <c r="C466">
        <v>35</v>
      </c>
      <c r="D466">
        <v>4.57</v>
      </c>
      <c r="E466" t="s">
        <v>8</v>
      </c>
      <c r="F466" t="s">
        <v>185</v>
      </c>
      <c r="G466" t="s">
        <v>13</v>
      </c>
      <c r="H466" t="s">
        <v>11</v>
      </c>
    </row>
    <row r="467" spans="1:8" x14ac:dyDescent="0.45">
      <c r="A467">
        <v>1891</v>
      </c>
      <c r="B467">
        <v>44179</v>
      </c>
      <c r="C467">
        <v>3</v>
      </c>
      <c r="D467">
        <v>107.53</v>
      </c>
      <c r="E467" t="s">
        <v>8</v>
      </c>
      <c r="F467" t="s">
        <v>186</v>
      </c>
      <c r="G467" t="s">
        <v>10</v>
      </c>
      <c r="H467" t="s">
        <v>15</v>
      </c>
    </row>
    <row r="468" spans="1:8" x14ac:dyDescent="0.45">
      <c r="A468">
        <v>1892</v>
      </c>
      <c r="B468">
        <v>43915</v>
      </c>
      <c r="C468">
        <v>47</v>
      </c>
      <c r="D468">
        <v>3.98</v>
      </c>
      <c r="E468" t="s">
        <v>8</v>
      </c>
      <c r="F468" t="s">
        <v>187</v>
      </c>
      <c r="G468" t="s">
        <v>10</v>
      </c>
      <c r="H468" t="s">
        <v>11</v>
      </c>
    </row>
    <row r="469" spans="1:8" x14ac:dyDescent="0.45">
      <c r="A469">
        <v>1892</v>
      </c>
      <c r="B469">
        <v>43915</v>
      </c>
      <c r="C469">
        <v>9</v>
      </c>
      <c r="D469">
        <v>6.48</v>
      </c>
      <c r="E469" t="s">
        <v>8</v>
      </c>
      <c r="F469" t="s">
        <v>187</v>
      </c>
      <c r="G469" t="s">
        <v>10</v>
      </c>
      <c r="H469" t="s">
        <v>11</v>
      </c>
    </row>
    <row r="470" spans="1:8" x14ac:dyDescent="0.45">
      <c r="A470">
        <v>1895</v>
      </c>
      <c r="B470">
        <v>43980</v>
      </c>
      <c r="C470">
        <v>5</v>
      </c>
      <c r="D470">
        <v>6.48</v>
      </c>
      <c r="E470" t="s">
        <v>8</v>
      </c>
      <c r="F470" t="s">
        <v>142</v>
      </c>
      <c r="G470" t="s">
        <v>13</v>
      </c>
      <c r="H470" t="s">
        <v>11</v>
      </c>
    </row>
    <row r="471" spans="1:8" x14ac:dyDescent="0.45">
      <c r="A471">
        <v>1925</v>
      </c>
      <c r="B471">
        <v>44989</v>
      </c>
      <c r="C471">
        <v>40</v>
      </c>
      <c r="D471">
        <v>22.98</v>
      </c>
      <c r="E471" t="s">
        <v>8</v>
      </c>
      <c r="F471" t="s">
        <v>189</v>
      </c>
      <c r="G471" t="s">
        <v>13</v>
      </c>
      <c r="H471" t="s">
        <v>17</v>
      </c>
    </row>
    <row r="472" spans="1:8" x14ac:dyDescent="0.45">
      <c r="A472">
        <v>1925</v>
      </c>
      <c r="B472">
        <v>44989</v>
      </c>
      <c r="C472">
        <v>7</v>
      </c>
      <c r="D472">
        <v>276.2</v>
      </c>
      <c r="E472" t="s">
        <v>8</v>
      </c>
      <c r="F472" t="s">
        <v>189</v>
      </c>
      <c r="G472" t="s">
        <v>13</v>
      </c>
      <c r="H472" t="s">
        <v>15</v>
      </c>
    </row>
    <row r="473" spans="1:8" x14ac:dyDescent="0.45">
      <c r="A473">
        <v>1953</v>
      </c>
      <c r="B473">
        <v>44529</v>
      </c>
      <c r="C473">
        <v>13</v>
      </c>
      <c r="D473">
        <v>10.91</v>
      </c>
      <c r="E473" t="s">
        <v>8</v>
      </c>
      <c r="F473" t="s">
        <v>191</v>
      </c>
      <c r="G473" t="s">
        <v>10</v>
      </c>
      <c r="H473" t="s">
        <v>11</v>
      </c>
    </row>
    <row r="474" spans="1:8" x14ac:dyDescent="0.45">
      <c r="A474">
        <v>1985</v>
      </c>
      <c r="B474">
        <v>44075</v>
      </c>
      <c r="C474">
        <v>1</v>
      </c>
      <c r="D474">
        <v>5.78</v>
      </c>
      <c r="E474" t="s">
        <v>8</v>
      </c>
      <c r="F474" t="s">
        <v>192</v>
      </c>
      <c r="G474" t="s">
        <v>20</v>
      </c>
      <c r="H474" t="s">
        <v>11</v>
      </c>
    </row>
    <row r="475" spans="1:8" x14ac:dyDescent="0.45">
      <c r="A475">
        <v>1988</v>
      </c>
      <c r="B475">
        <v>44839</v>
      </c>
      <c r="C475">
        <v>9</v>
      </c>
      <c r="D475">
        <v>13.48</v>
      </c>
      <c r="E475" t="s">
        <v>8</v>
      </c>
      <c r="F475" t="s">
        <v>193</v>
      </c>
      <c r="G475" t="s">
        <v>13</v>
      </c>
      <c r="H475" t="s">
        <v>11</v>
      </c>
    </row>
    <row r="476" spans="1:8" x14ac:dyDescent="0.45">
      <c r="A476">
        <v>1991</v>
      </c>
      <c r="B476">
        <v>45175</v>
      </c>
      <c r="C476">
        <v>27</v>
      </c>
      <c r="D476">
        <v>136.97999999999999</v>
      </c>
      <c r="E476" t="s">
        <v>8</v>
      </c>
      <c r="F476" t="s">
        <v>194</v>
      </c>
      <c r="G476" t="s">
        <v>13</v>
      </c>
      <c r="H476" t="s">
        <v>15</v>
      </c>
    </row>
    <row r="477" spans="1:8" x14ac:dyDescent="0.45">
      <c r="A477">
        <v>2020</v>
      </c>
      <c r="B477">
        <v>44367</v>
      </c>
      <c r="C477">
        <v>42</v>
      </c>
      <c r="D477">
        <v>5.0199999999999996</v>
      </c>
      <c r="E477" t="s">
        <v>8</v>
      </c>
      <c r="F477" t="s">
        <v>195</v>
      </c>
      <c r="G477" t="s">
        <v>20</v>
      </c>
      <c r="H477" t="s">
        <v>17</v>
      </c>
    </row>
    <row r="478" spans="1:8" x14ac:dyDescent="0.45">
      <c r="A478">
        <v>2022</v>
      </c>
      <c r="B478">
        <v>44999</v>
      </c>
      <c r="C478">
        <v>45</v>
      </c>
      <c r="D478">
        <v>3.95</v>
      </c>
      <c r="E478" t="s">
        <v>8</v>
      </c>
      <c r="F478" t="s">
        <v>196</v>
      </c>
      <c r="G478" t="s">
        <v>13</v>
      </c>
      <c r="H478" t="s">
        <v>11</v>
      </c>
    </row>
    <row r="479" spans="1:8" x14ac:dyDescent="0.45">
      <c r="A479">
        <v>2023</v>
      </c>
      <c r="B479">
        <v>45051</v>
      </c>
      <c r="C479">
        <v>4</v>
      </c>
      <c r="D479">
        <v>73.98</v>
      </c>
      <c r="E479" t="s">
        <v>8</v>
      </c>
      <c r="F479" t="s">
        <v>71</v>
      </c>
      <c r="G479" t="s">
        <v>20</v>
      </c>
      <c r="H479" t="s">
        <v>17</v>
      </c>
    </row>
    <row r="480" spans="1:8" x14ac:dyDescent="0.45">
      <c r="A480">
        <v>2023</v>
      </c>
      <c r="B480">
        <v>45051</v>
      </c>
      <c r="C480">
        <v>50</v>
      </c>
      <c r="D480">
        <v>4.9800000000000004</v>
      </c>
      <c r="E480" t="s">
        <v>8</v>
      </c>
      <c r="F480" t="s">
        <v>71</v>
      </c>
      <c r="G480" t="s">
        <v>20</v>
      </c>
      <c r="H480" t="s">
        <v>11</v>
      </c>
    </row>
    <row r="481" spans="1:8" x14ac:dyDescent="0.45">
      <c r="A481">
        <v>2050</v>
      </c>
      <c r="B481">
        <v>43983</v>
      </c>
      <c r="C481">
        <v>16</v>
      </c>
      <c r="D481">
        <v>2.89</v>
      </c>
      <c r="E481" t="s">
        <v>8</v>
      </c>
      <c r="F481" t="s">
        <v>197</v>
      </c>
      <c r="G481" t="s">
        <v>23</v>
      </c>
      <c r="H481" t="s">
        <v>11</v>
      </c>
    </row>
    <row r="482" spans="1:8" x14ac:dyDescent="0.45">
      <c r="A482">
        <v>2050</v>
      </c>
      <c r="B482">
        <v>43983</v>
      </c>
      <c r="C482">
        <v>25</v>
      </c>
      <c r="D482">
        <v>22.84</v>
      </c>
      <c r="E482" t="s">
        <v>8</v>
      </c>
      <c r="F482" t="s">
        <v>197</v>
      </c>
      <c r="G482" t="s">
        <v>23</v>
      </c>
      <c r="H482" t="s">
        <v>11</v>
      </c>
    </row>
    <row r="483" spans="1:8" x14ac:dyDescent="0.45">
      <c r="A483">
        <v>2052</v>
      </c>
      <c r="B483">
        <v>45028</v>
      </c>
      <c r="C483">
        <v>23</v>
      </c>
      <c r="D483">
        <v>4.13</v>
      </c>
      <c r="E483" t="s">
        <v>8</v>
      </c>
      <c r="F483" t="s">
        <v>198</v>
      </c>
      <c r="G483" t="s">
        <v>10</v>
      </c>
      <c r="H483" t="s">
        <v>11</v>
      </c>
    </row>
    <row r="484" spans="1:8" x14ac:dyDescent="0.45">
      <c r="A484">
        <v>2053</v>
      </c>
      <c r="B484">
        <v>44598</v>
      </c>
      <c r="C484">
        <v>7</v>
      </c>
      <c r="D484">
        <v>140.99</v>
      </c>
      <c r="E484" t="s">
        <v>8</v>
      </c>
      <c r="F484" t="s">
        <v>199</v>
      </c>
      <c r="G484" t="s">
        <v>23</v>
      </c>
      <c r="H484" t="s">
        <v>17</v>
      </c>
    </row>
    <row r="485" spans="1:8" x14ac:dyDescent="0.45">
      <c r="A485">
        <v>2054</v>
      </c>
      <c r="B485">
        <v>45084</v>
      </c>
      <c r="C485">
        <v>1</v>
      </c>
      <c r="D485">
        <v>363.25</v>
      </c>
      <c r="E485" t="s">
        <v>8</v>
      </c>
      <c r="F485" t="s">
        <v>200</v>
      </c>
      <c r="G485" t="s">
        <v>23</v>
      </c>
      <c r="H485" t="s">
        <v>11</v>
      </c>
    </row>
    <row r="486" spans="1:8" x14ac:dyDescent="0.45">
      <c r="A486">
        <v>2054</v>
      </c>
      <c r="B486">
        <v>45084</v>
      </c>
      <c r="C486">
        <v>34</v>
      </c>
      <c r="D486">
        <v>22.98</v>
      </c>
      <c r="E486" t="s">
        <v>8</v>
      </c>
      <c r="F486" t="s">
        <v>200</v>
      </c>
      <c r="G486" t="s">
        <v>23</v>
      </c>
      <c r="H486" t="s">
        <v>15</v>
      </c>
    </row>
    <row r="487" spans="1:8" x14ac:dyDescent="0.45">
      <c r="A487">
        <v>2055</v>
      </c>
      <c r="B487">
        <v>44442</v>
      </c>
      <c r="C487">
        <v>7</v>
      </c>
      <c r="D487">
        <v>8.74</v>
      </c>
      <c r="E487" t="s">
        <v>8</v>
      </c>
      <c r="F487" t="s">
        <v>201</v>
      </c>
      <c r="G487" t="s">
        <v>10</v>
      </c>
      <c r="H487" t="s">
        <v>11</v>
      </c>
    </row>
    <row r="488" spans="1:8" x14ac:dyDescent="0.45">
      <c r="A488">
        <v>2084</v>
      </c>
      <c r="B488">
        <v>44271</v>
      </c>
      <c r="C488">
        <v>16</v>
      </c>
      <c r="D488">
        <v>40.99</v>
      </c>
      <c r="E488" t="s">
        <v>8</v>
      </c>
      <c r="F488" t="s">
        <v>202</v>
      </c>
      <c r="G488" t="s">
        <v>13</v>
      </c>
      <c r="H488" t="s">
        <v>11</v>
      </c>
    </row>
    <row r="489" spans="1:8" x14ac:dyDescent="0.45">
      <c r="A489">
        <v>2086</v>
      </c>
      <c r="B489">
        <v>44122</v>
      </c>
      <c r="C489">
        <v>38</v>
      </c>
      <c r="D489">
        <v>65.989999999999995</v>
      </c>
      <c r="E489" t="s">
        <v>8</v>
      </c>
      <c r="F489" t="s">
        <v>189</v>
      </c>
      <c r="G489" t="s">
        <v>13</v>
      </c>
      <c r="H489" t="s">
        <v>17</v>
      </c>
    </row>
    <row r="490" spans="1:8" x14ac:dyDescent="0.45">
      <c r="A490">
        <v>2086</v>
      </c>
      <c r="B490">
        <v>44122</v>
      </c>
      <c r="C490">
        <v>9</v>
      </c>
      <c r="D490">
        <v>128.24</v>
      </c>
      <c r="E490" t="s">
        <v>8</v>
      </c>
      <c r="F490" t="s">
        <v>189</v>
      </c>
      <c r="G490" t="s">
        <v>13</v>
      </c>
      <c r="H490" t="s">
        <v>15</v>
      </c>
    </row>
    <row r="491" spans="1:8" x14ac:dyDescent="0.45">
      <c r="A491">
        <v>2144</v>
      </c>
      <c r="B491">
        <v>43918</v>
      </c>
      <c r="C491">
        <v>40</v>
      </c>
      <c r="D491">
        <v>175.99</v>
      </c>
      <c r="E491" t="s">
        <v>8</v>
      </c>
      <c r="F491" t="s">
        <v>24</v>
      </c>
      <c r="G491" t="s">
        <v>13</v>
      </c>
      <c r="H491" t="s">
        <v>17</v>
      </c>
    </row>
    <row r="492" spans="1:8" x14ac:dyDescent="0.45">
      <c r="A492">
        <v>2146</v>
      </c>
      <c r="B492">
        <v>45182</v>
      </c>
      <c r="C492">
        <v>41</v>
      </c>
      <c r="D492">
        <v>175.99</v>
      </c>
      <c r="E492" t="s">
        <v>8</v>
      </c>
      <c r="F492" t="s">
        <v>199</v>
      </c>
      <c r="G492" t="s">
        <v>10</v>
      </c>
      <c r="H492" t="s">
        <v>17</v>
      </c>
    </row>
    <row r="493" spans="1:8" x14ac:dyDescent="0.45">
      <c r="A493">
        <v>2146</v>
      </c>
      <c r="B493">
        <v>45182</v>
      </c>
      <c r="C493">
        <v>44</v>
      </c>
      <c r="D493">
        <v>2.61</v>
      </c>
      <c r="E493" t="s">
        <v>8</v>
      </c>
      <c r="F493" t="s">
        <v>199</v>
      </c>
      <c r="G493" t="s">
        <v>10</v>
      </c>
      <c r="H493" t="s">
        <v>11</v>
      </c>
    </row>
    <row r="494" spans="1:8" x14ac:dyDescent="0.45">
      <c r="A494">
        <v>2149</v>
      </c>
      <c r="B494">
        <v>44267</v>
      </c>
      <c r="C494">
        <v>4</v>
      </c>
      <c r="D494">
        <v>9.3800000000000008</v>
      </c>
      <c r="E494" t="s">
        <v>8</v>
      </c>
      <c r="F494" t="s">
        <v>203</v>
      </c>
      <c r="G494" t="s">
        <v>23</v>
      </c>
      <c r="H494" t="s">
        <v>15</v>
      </c>
    </row>
    <row r="495" spans="1:8" x14ac:dyDescent="0.45">
      <c r="A495">
        <v>2181</v>
      </c>
      <c r="B495">
        <v>44816</v>
      </c>
      <c r="C495">
        <v>40</v>
      </c>
      <c r="D495">
        <v>2.61</v>
      </c>
      <c r="E495" t="s">
        <v>8</v>
      </c>
      <c r="F495" t="s">
        <v>119</v>
      </c>
      <c r="G495" t="s">
        <v>20</v>
      </c>
      <c r="H495" t="s">
        <v>11</v>
      </c>
    </row>
    <row r="496" spans="1:8" x14ac:dyDescent="0.45">
      <c r="A496">
        <v>2208</v>
      </c>
      <c r="B496">
        <v>44681</v>
      </c>
      <c r="C496">
        <v>7</v>
      </c>
      <c r="D496">
        <v>11.5</v>
      </c>
      <c r="E496" t="s">
        <v>8</v>
      </c>
      <c r="F496" t="s">
        <v>205</v>
      </c>
      <c r="G496" t="s">
        <v>20</v>
      </c>
      <c r="H496" t="s">
        <v>11</v>
      </c>
    </row>
    <row r="497" spans="1:8" x14ac:dyDescent="0.45">
      <c r="A497">
        <v>2208</v>
      </c>
      <c r="B497">
        <v>44681</v>
      </c>
      <c r="C497">
        <v>41</v>
      </c>
      <c r="D497">
        <v>599.99</v>
      </c>
      <c r="E497" t="s">
        <v>8</v>
      </c>
      <c r="F497" t="s">
        <v>205</v>
      </c>
      <c r="G497" t="s">
        <v>20</v>
      </c>
      <c r="H497" t="s">
        <v>17</v>
      </c>
    </row>
    <row r="498" spans="1:8" x14ac:dyDescent="0.45">
      <c r="A498">
        <v>2209</v>
      </c>
      <c r="B498">
        <v>45116</v>
      </c>
      <c r="C498">
        <v>1</v>
      </c>
      <c r="D498">
        <v>4.76</v>
      </c>
      <c r="E498" t="s">
        <v>8</v>
      </c>
      <c r="F498" t="s">
        <v>206</v>
      </c>
      <c r="G498" t="s">
        <v>23</v>
      </c>
      <c r="H498" t="s">
        <v>11</v>
      </c>
    </row>
    <row r="499" spans="1:8" x14ac:dyDescent="0.45">
      <c r="A499">
        <v>2209</v>
      </c>
      <c r="B499">
        <v>45116</v>
      </c>
      <c r="C499">
        <v>42</v>
      </c>
      <c r="D499">
        <v>4.28</v>
      </c>
      <c r="E499" t="s">
        <v>8</v>
      </c>
      <c r="F499" t="s">
        <v>206</v>
      </c>
      <c r="G499" t="s">
        <v>23</v>
      </c>
      <c r="H499" t="s">
        <v>11</v>
      </c>
    </row>
    <row r="500" spans="1:8" x14ac:dyDescent="0.45">
      <c r="A500">
        <v>2209</v>
      </c>
      <c r="B500">
        <v>45116</v>
      </c>
      <c r="C500">
        <v>13</v>
      </c>
      <c r="D500">
        <v>125.99</v>
      </c>
      <c r="E500" t="s">
        <v>8</v>
      </c>
      <c r="F500" t="s">
        <v>206</v>
      </c>
      <c r="G500" t="s">
        <v>23</v>
      </c>
      <c r="H500" t="s">
        <v>17</v>
      </c>
    </row>
    <row r="501" spans="1:8" x14ac:dyDescent="0.45">
      <c r="A501">
        <v>2211</v>
      </c>
      <c r="B501">
        <v>44011</v>
      </c>
      <c r="C501">
        <v>22</v>
      </c>
      <c r="D501">
        <v>73.98</v>
      </c>
      <c r="E501" t="s">
        <v>8</v>
      </c>
      <c r="F501" t="s">
        <v>204</v>
      </c>
      <c r="G501" t="s">
        <v>20</v>
      </c>
      <c r="H501" t="s">
        <v>17</v>
      </c>
    </row>
    <row r="502" spans="1:8" x14ac:dyDescent="0.45">
      <c r="A502">
        <v>2211</v>
      </c>
      <c r="B502">
        <v>44011</v>
      </c>
      <c r="C502">
        <v>14</v>
      </c>
      <c r="D502">
        <v>5.98</v>
      </c>
      <c r="E502" t="s">
        <v>8</v>
      </c>
      <c r="F502" t="s">
        <v>204</v>
      </c>
      <c r="G502" t="s">
        <v>20</v>
      </c>
      <c r="H502" t="s">
        <v>11</v>
      </c>
    </row>
    <row r="503" spans="1:8" x14ac:dyDescent="0.45">
      <c r="A503">
        <v>2211</v>
      </c>
      <c r="B503">
        <v>44011</v>
      </c>
      <c r="C503">
        <v>23</v>
      </c>
      <c r="D503">
        <v>3.57</v>
      </c>
      <c r="E503" t="s">
        <v>8</v>
      </c>
      <c r="F503" t="s">
        <v>204</v>
      </c>
      <c r="G503" t="s">
        <v>20</v>
      </c>
      <c r="H503" t="s">
        <v>11</v>
      </c>
    </row>
    <row r="504" spans="1:8" x14ac:dyDescent="0.45">
      <c r="A504">
        <v>2213</v>
      </c>
      <c r="B504">
        <v>44210</v>
      </c>
      <c r="C504">
        <v>6</v>
      </c>
      <c r="D504">
        <v>5.78</v>
      </c>
      <c r="E504" t="s">
        <v>8</v>
      </c>
      <c r="F504" t="s">
        <v>191</v>
      </c>
      <c r="G504" t="s">
        <v>10</v>
      </c>
      <c r="H504" t="s">
        <v>11</v>
      </c>
    </row>
    <row r="505" spans="1:8" x14ac:dyDescent="0.45">
      <c r="A505">
        <v>2240</v>
      </c>
      <c r="B505">
        <v>44990</v>
      </c>
      <c r="C505">
        <v>17</v>
      </c>
      <c r="D505">
        <v>10.64</v>
      </c>
      <c r="E505" t="s">
        <v>8</v>
      </c>
      <c r="F505" t="s">
        <v>207</v>
      </c>
      <c r="G505" t="s">
        <v>23</v>
      </c>
      <c r="H505" t="s">
        <v>15</v>
      </c>
    </row>
    <row r="506" spans="1:8" x14ac:dyDescent="0.45">
      <c r="A506">
        <v>2240</v>
      </c>
      <c r="B506">
        <v>44990</v>
      </c>
      <c r="C506">
        <v>5</v>
      </c>
      <c r="D506">
        <v>28.15</v>
      </c>
      <c r="E506" t="s">
        <v>8</v>
      </c>
      <c r="F506" t="s">
        <v>207</v>
      </c>
      <c r="G506" t="s">
        <v>23</v>
      </c>
      <c r="H506" t="s">
        <v>11</v>
      </c>
    </row>
    <row r="507" spans="1:8" x14ac:dyDescent="0.45">
      <c r="A507">
        <v>2241</v>
      </c>
      <c r="B507">
        <v>44326</v>
      </c>
      <c r="C507">
        <v>38</v>
      </c>
      <c r="D507">
        <v>24.95</v>
      </c>
      <c r="E507" t="s">
        <v>8</v>
      </c>
      <c r="F507" t="s">
        <v>207</v>
      </c>
      <c r="G507" t="s">
        <v>23</v>
      </c>
      <c r="H507" t="s">
        <v>11</v>
      </c>
    </row>
    <row r="508" spans="1:8" x14ac:dyDescent="0.45">
      <c r="A508">
        <v>2275</v>
      </c>
      <c r="B508">
        <v>45220</v>
      </c>
      <c r="C508">
        <v>49</v>
      </c>
      <c r="D508">
        <v>6.08</v>
      </c>
      <c r="E508" t="s">
        <v>8</v>
      </c>
      <c r="F508" t="s">
        <v>211</v>
      </c>
      <c r="G508" t="s">
        <v>10</v>
      </c>
      <c r="H508" t="s">
        <v>11</v>
      </c>
    </row>
    <row r="509" spans="1:8" x14ac:dyDescent="0.45">
      <c r="A509">
        <v>2277</v>
      </c>
      <c r="B509">
        <v>44562</v>
      </c>
      <c r="C509">
        <v>10</v>
      </c>
      <c r="D509">
        <v>5.98</v>
      </c>
      <c r="E509" t="s">
        <v>8</v>
      </c>
      <c r="F509" t="s">
        <v>161</v>
      </c>
      <c r="G509" t="s">
        <v>20</v>
      </c>
      <c r="H509" t="s">
        <v>17</v>
      </c>
    </row>
    <row r="510" spans="1:8" x14ac:dyDescent="0.45">
      <c r="A510">
        <v>2277</v>
      </c>
      <c r="B510">
        <v>44562</v>
      </c>
      <c r="C510">
        <v>21</v>
      </c>
      <c r="D510">
        <v>40.99</v>
      </c>
      <c r="E510" t="s">
        <v>8</v>
      </c>
      <c r="F510" t="s">
        <v>161</v>
      </c>
      <c r="G510" t="s">
        <v>20</v>
      </c>
      <c r="H510" t="s">
        <v>11</v>
      </c>
    </row>
    <row r="511" spans="1:8" x14ac:dyDescent="0.45">
      <c r="A511">
        <v>2279</v>
      </c>
      <c r="B511">
        <v>44249</v>
      </c>
      <c r="C511">
        <v>39</v>
      </c>
      <c r="D511">
        <v>20.98</v>
      </c>
      <c r="E511" t="s">
        <v>8</v>
      </c>
      <c r="F511" t="s">
        <v>212</v>
      </c>
      <c r="G511" t="s">
        <v>13</v>
      </c>
      <c r="H511" t="s">
        <v>11</v>
      </c>
    </row>
    <row r="512" spans="1:8" x14ac:dyDescent="0.45">
      <c r="A512">
        <v>2305</v>
      </c>
      <c r="B512">
        <v>44221</v>
      </c>
      <c r="C512">
        <v>1</v>
      </c>
      <c r="D512">
        <v>6.68</v>
      </c>
      <c r="E512" t="s">
        <v>8</v>
      </c>
      <c r="F512" t="s">
        <v>213</v>
      </c>
      <c r="G512" t="s">
        <v>20</v>
      </c>
      <c r="H512" t="s">
        <v>11</v>
      </c>
    </row>
    <row r="513" spans="1:8" x14ac:dyDescent="0.45">
      <c r="A513">
        <v>2305</v>
      </c>
      <c r="B513">
        <v>44221</v>
      </c>
      <c r="C513">
        <v>11</v>
      </c>
      <c r="D513">
        <v>120.33</v>
      </c>
      <c r="E513" t="s">
        <v>8</v>
      </c>
      <c r="F513" t="s">
        <v>213</v>
      </c>
      <c r="G513" t="s">
        <v>20</v>
      </c>
      <c r="H513" t="s">
        <v>11</v>
      </c>
    </row>
    <row r="514" spans="1:8" x14ac:dyDescent="0.45">
      <c r="A514">
        <v>2306</v>
      </c>
      <c r="B514">
        <v>44767</v>
      </c>
      <c r="C514">
        <v>15</v>
      </c>
      <c r="D514">
        <v>7.45</v>
      </c>
      <c r="E514" t="s">
        <v>8</v>
      </c>
      <c r="F514" t="s">
        <v>214</v>
      </c>
      <c r="G514" t="s">
        <v>13</v>
      </c>
      <c r="H514" t="s">
        <v>11</v>
      </c>
    </row>
    <row r="515" spans="1:8" x14ac:dyDescent="0.45">
      <c r="A515">
        <v>2307</v>
      </c>
      <c r="B515">
        <v>44375</v>
      </c>
      <c r="C515">
        <v>32</v>
      </c>
      <c r="D515">
        <v>5.98</v>
      </c>
      <c r="E515" t="s">
        <v>8</v>
      </c>
      <c r="F515" t="s">
        <v>215</v>
      </c>
      <c r="G515" t="s">
        <v>13</v>
      </c>
      <c r="H515" t="s">
        <v>11</v>
      </c>
    </row>
    <row r="516" spans="1:8" x14ac:dyDescent="0.45">
      <c r="A516">
        <v>2309</v>
      </c>
      <c r="B516">
        <v>44807</v>
      </c>
      <c r="C516">
        <v>7</v>
      </c>
      <c r="D516">
        <v>3.8</v>
      </c>
      <c r="E516" t="s">
        <v>8</v>
      </c>
      <c r="F516" t="s">
        <v>216</v>
      </c>
      <c r="G516" t="s">
        <v>23</v>
      </c>
      <c r="H516" t="s">
        <v>11</v>
      </c>
    </row>
    <row r="517" spans="1:8" x14ac:dyDescent="0.45">
      <c r="A517">
        <v>2311</v>
      </c>
      <c r="B517">
        <v>44682</v>
      </c>
      <c r="C517">
        <v>31</v>
      </c>
      <c r="D517">
        <v>40.89</v>
      </c>
      <c r="E517" t="s">
        <v>8</v>
      </c>
      <c r="F517" t="s">
        <v>217</v>
      </c>
      <c r="G517" t="s">
        <v>20</v>
      </c>
      <c r="H517" t="s">
        <v>15</v>
      </c>
    </row>
    <row r="518" spans="1:8" x14ac:dyDescent="0.45">
      <c r="A518">
        <v>2339</v>
      </c>
      <c r="B518">
        <v>44544</v>
      </c>
      <c r="C518">
        <v>12</v>
      </c>
      <c r="D518">
        <v>140.85</v>
      </c>
      <c r="E518" t="s">
        <v>8</v>
      </c>
      <c r="F518" t="s">
        <v>218</v>
      </c>
      <c r="G518" t="s">
        <v>10</v>
      </c>
      <c r="H518" t="s">
        <v>11</v>
      </c>
    </row>
    <row r="519" spans="1:8" x14ac:dyDescent="0.45">
      <c r="A519">
        <v>2341</v>
      </c>
      <c r="B519">
        <v>44345</v>
      </c>
      <c r="C519">
        <v>29</v>
      </c>
      <c r="D519">
        <v>5.78</v>
      </c>
      <c r="E519" t="s">
        <v>8</v>
      </c>
      <c r="F519" t="s">
        <v>219</v>
      </c>
      <c r="G519" t="s">
        <v>10</v>
      </c>
      <c r="H519" t="s">
        <v>11</v>
      </c>
    </row>
    <row r="520" spans="1:8" x14ac:dyDescent="0.45">
      <c r="A520">
        <v>2368</v>
      </c>
      <c r="B520">
        <v>44427</v>
      </c>
      <c r="C520">
        <v>36</v>
      </c>
      <c r="D520">
        <v>14.81</v>
      </c>
      <c r="E520" t="s">
        <v>8</v>
      </c>
      <c r="F520" t="s">
        <v>220</v>
      </c>
      <c r="G520" t="s">
        <v>23</v>
      </c>
      <c r="H520" t="s">
        <v>11</v>
      </c>
    </row>
    <row r="521" spans="1:8" x14ac:dyDescent="0.45">
      <c r="A521">
        <v>2370</v>
      </c>
      <c r="B521">
        <v>43846</v>
      </c>
      <c r="C521">
        <v>6</v>
      </c>
      <c r="D521">
        <v>110.98</v>
      </c>
      <c r="E521" t="s">
        <v>8</v>
      </c>
      <c r="F521" t="s">
        <v>107</v>
      </c>
      <c r="G521" t="s">
        <v>23</v>
      </c>
      <c r="H521" t="s">
        <v>15</v>
      </c>
    </row>
    <row r="522" spans="1:8" x14ac:dyDescent="0.45">
      <c r="A522">
        <v>2370</v>
      </c>
      <c r="B522">
        <v>43846</v>
      </c>
      <c r="C522">
        <v>30</v>
      </c>
      <c r="D522">
        <v>8.01</v>
      </c>
      <c r="E522" t="s">
        <v>8</v>
      </c>
      <c r="F522" t="s">
        <v>107</v>
      </c>
      <c r="G522" t="s">
        <v>23</v>
      </c>
      <c r="H522" t="s">
        <v>11</v>
      </c>
    </row>
    <row r="523" spans="1:8" x14ac:dyDescent="0.45">
      <c r="A523">
        <v>2373</v>
      </c>
      <c r="B523">
        <v>43901</v>
      </c>
      <c r="C523">
        <v>36</v>
      </c>
      <c r="D523">
        <v>8.6</v>
      </c>
      <c r="E523" t="s">
        <v>8</v>
      </c>
      <c r="F523" t="s">
        <v>135</v>
      </c>
      <c r="G523" t="s">
        <v>13</v>
      </c>
      <c r="H523" t="s">
        <v>11</v>
      </c>
    </row>
    <row r="524" spans="1:8" x14ac:dyDescent="0.45">
      <c r="A524">
        <v>2438</v>
      </c>
      <c r="B524">
        <v>44391</v>
      </c>
      <c r="C524">
        <v>20</v>
      </c>
      <c r="D524">
        <v>14.48</v>
      </c>
      <c r="E524" t="s">
        <v>8</v>
      </c>
      <c r="F524" t="s">
        <v>223</v>
      </c>
      <c r="G524" t="s">
        <v>13</v>
      </c>
      <c r="H524" t="s">
        <v>11</v>
      </c>
    </row>
    <row r="525" spans="1:8" x14ac:dyDescent="0.45">
      <c r="A525">
        <v>2438</v>
      </c>
      <c r="B525">
        <v>44391</v>
      </c>
      <c r="C525">
        <v>23</v>
      </c>
      <c r="D525">
        <v>35.99</v>
      </c>
      <c r="E525" t="s">
        <v>8</v>
      </c>
      <c r="F525" t="s">
        <v>223</v>
      </c>
      <c r="G525" t="s">
        <v>13</v>
      </c>
      <c r="H525" t="s">
        <v>17</v>
      </c>
    </row>
    <row r="526" spans="1:8" x14ac:dyDescent="0.45">
      <c r="A526">
        <v>2465</v>
      </c>
      <c r="B526">
        <v>44735</v>
      </c>
      <c r="C526">
        <v>28</v>
      </c>
      <c r="D526">
        <v>39.479999999999997</v>
      </c>
      <c r="E526" t="s">
        <v>8</v>
      </c>
      <c r="F526" t="s">
        <v>212</v>
      </c>
      <c r="G526" t="s">
        <v>23</v>
      </c>
      <c r="H526" t="s">
        <v>17</v>
      </c>
    </row>
    <row r="527" spans="1:8" x14ac:dyDescent="0.45">
      <c r="A527">
        <v>2466</v>
      </c>
      <c r="B527">
        <v>43895</v>
      </c>
      <c r="C527">
        <v>25</v>
      </c>
      <c r="D527">
        <v>107.53</v>
      </c>
      <c r="E527" t="s">
        <v>8</v>
      </c>
      <c r="F527" t="s">
        <v>224</v>
      </c>
      <c r="G527" t="s">
        <v>20</v>
      </c>
      <c r="H527" t="s">
        <v>15</v>
      </c>
    </row>
    <row r="528" spans="1:8" x14ac:dyDescent="0.45">
      <c r="A528">
        <v>2497</v>
      </c>
      <c r="B528">
        <v>45164</v>
      </c>
      <c r="C528">
        <v>21</v>
      </c>
      <c r="D528">
        <v>205.99</v>
      </c>
      <c r="E528" t="s">
        <v>8</v>
      </c>
      <c r="F528" t="s">
        <v>225</v>
      </c>
      <c r="G528" t="s">
        <v>13</v>
      </c>
      <c r="H528" t="s">
        <v>17</v>
      </c>
    </row>
    <row r="529" spans="1:8" x14ac:dyDescent="0.45">
      <c r="A529">
        <v>2500</v>
      </c>
      <c r="B529">
        <v>45152</v>
      </c>
      <c r="C529">
        <v>5</v>
      </c>
      <c r="D529">
        <v>3.36</v>
      </c>
      <c r="E529" t="s">
        <v>8</v>
      </c>
      <c r="F529" t="s">
        <v>226</v>
      </c>
      <c r="G529" t="s">
        <v>10</v>
      </c>
      <c r="H529" t="s">
        <v>11</v>
      </c>
    </row>
    <row r="530" spans="1:8" x14ac:dyDescent="0.45">
      <c r="A530">
        <v>2503</v>
      </c>
      <c r="B530">
        <v>44366</v>
      </c>
      <c r="C530">
        <v>21</v>
      </c>
      <c r="D530">
        <v>4.13</v>
      </c>
      <c r="E530" t="s">
        <v>8</v>
      </c>
      <c r="F530" t="s">
        <v>36</v>
      </c>
      <c r="G530" t="s">
        <v>13</v>
      </c>
      <c r="H530" t="s">
        <v>11</v>
      </c>
    </row>
    <row r="531" spans="1:8" x14ac:dyDescent="0.45">
      <c r="A531">
        <v>2503</v>
      </c>
      <c r="B531">
        <v>44366</v>
      </c>
      <c r="C531">
        <v>46</v>
      </c>
      <c r="D531">
        <v>4.13</v>
      </c>
      <c r="E531" t="s">
        <v>8</v>
      </c>
      <c r="F531" t="s">
        <v>36</v>
      </c>
      <c r="G531" t="s">
        <v>13</v>
      </c>
      <c r="H531" t="s">
        <v>11</v>
      </c>
    </row>
    <row r="532" spans="1:8" x14ac:dyDescent="0.45">
      <c r="A532">
        <v>2503</v>
      </c>
      <c r="B532">
        <v>44366</v>
      </c>
      <c r="C532">
        <v>9</v>
      </c>
      <c r="D532">
        <v>20.99</v>
      </c>
      <c r="E532" t="s">
        <v>8</v>
      </c>
      <c r="F532" t="s">
        <v>36</v>
      </c>
      <c r="G532" t="s">
        <v>13</v>
      </c>
      <c r="H532" t="s">
        <v>17</v>
      </c>
    </row>
    <row r="533" spans="1:8" x14ac:dyDescent="0.45">
      <c r="A533">
        <v>2530</v>
      </c>
      <c r="B533">
        <v>43910</v>
      </c>
      <c r="C533">
        <v>9</v>
      </c>
      <c r="D533">
        <v>2.61</v>
      </c>
      <c r="E533" t="s">
        <v>8</v>
      </c>
      <c r="F533" t="s">
        <v>212</v>
      </c>
      <c r="G533" t="s">
        <v>13</v>
      </c>
      <c r="H533" t="s">
        <v>11</v>
      </c>
    </row>
    <row r="534" spans="1:8" x14ac:dyDescent="0.45">
      <c r="A534">
        <v>2532</v>
      </c>
      <c r="B534">
        <v>44844</v>
      </c>
      <c r="C534">
        <v>39</v>
      </c>
      <c r="D534">
        <v>7.31</v>
      </c>
      <c r="E534" t="s">
        <v>8</v>
      </c>
      <c r="F534" t="s">
        <v>227</v>
      </c>
      <c r="G534" t="s">
        <v>13</v>
      </c>
      <c r="H534" t="s">
        <v>11</v>
      </c>
    </row>
    <row r="535" spans="1:8" x14ac:dyDescent="0.45">
      <c r="A535">
        <v>2532</v>
      </c>
      <c r="B535">
        <v>44844</v>
      </c>
      <c r="C535">
        <v>24</v>
      </c>
      <c r="D535">
        <v>20.99</v>
      </c>
      <c r="E535" t="s">
        <v>8</v>
      </c>
      <c r="F535" t="s">
        <v>227</v>
      </c>
      <c r="G535" t="s">
        <v>13</v>
      </c>
      <c r="H535" t="s">
        <v>17</v>
      </c>
    </row>
    <row r="536" spans="1:8" x14ac:dyDescent="0.45">
      <c r="A536">
        <v>2535</v>
      </c>
      <c r="B536">
        <v>44340</v>
      </c>
      <c r="C536">
        <v>6</v>
      </c>
      <c r="D536">
        <v>14.48</v>
      </c>
      <c r="E536" t="s">
        <v>8</v>
      </c>
      <c r="F536" t="s">
        <v>228</v>
      </c>
      <c r="G536" t="s">
        <v>13</v>
      </c>
      <c r="H536" t="s">
        <v>17</v>
      </c>
    </row>
    <row r="537" spans="1:8" x14ac:dyDescent="0.45">
      <c r="A537">
        <v>2560</v>
      </c>
      <c r="B537">
        <v>45173</v>
      </c>
      <c r="C537">
        <v>32</v>
      </c>
      <c r="D537">
        <v>20.97</v>
      </c>
      <c r="E537" t="s">
        <v>8</v>
      </c>
      <c r="F537" t="s">
        <v>157</v>
      </c>
      <c r="G537" t="s">
        <v>20</v>
      </c>
      <c r="H537" t="s">
        <v>17</v>
      </c>
    </row>
    <row r="538" spans="1:8" x14ac:dyDescent="0.45">
      <c r="A538">
        <v>2560</v>
      </c>
      <c r="B538">
        <v>45173</v>
      </c>
      <c r="C538">
        <v>23</v>
      </c>
      <c r="D538">
        <v>4.9800000000000004</v>
      </c>
      <c r="E538" t="s">
        <v>8</v>
      </c>
      <c r="F538" t="s">
        <v>157</v>
      </c>
      <c r="G538" t="s">
        <v>20</v>
      </c>
      <c r="H538" t="s">
        <v>11</v>
      </c>
    </row>
    <row r="539" spans="1:8" x14ac:dyDescent="0.45">
      <c r="A539">
        <v>2562</v>
      </c>
      <c r="B539">
        <v>45138</v>
      </c>
      <c r="C539">
        <v>28</v>
      </c>
      <c r="D539">
        <v>2.12</v>
      </c>
      <c r="E539" t="s">
        <v>8</v>
      </c>
      <c r="F539" t="s">
        <v>229</v>
      </c>
      <c r="G539" t="s">
        <v>23</v>
      </c>
      <c r="H539" t="s">
        <v>17</v>
      </c>
    </row>
    <row r="540" spans="1:8" x14ac:dyDescent="0.45">
      <c r="A540">
        <v>2562</v>
      </c>
      <c r="B540">
        <v>45138</v>
      </c>
      <c r="C540">
        <v>6</v>
      </c>
      <c r="D540">
        <v>11.34</v>
      </c>
      <c r="E540" t="s">
        <v>8</v>
      </c>
      <c r="F540" t="s">
        <v>229</v>
      </c>
      <c r="G540" t="s">
        <v>23</v>
      </c>
      <c r="H540" t="s">
        <v>11</v>
      </c>
    </row>
    <row r="541" spans="1:8" x14ac:dyDescent="0.45">
      <c r="A541">
        <v>2563</v>
      </c>
      <c r="B541">
        <v>44518</v>
      </c>
      <c r="C541">
        <v>12</v>
      </c>
      <c r="D541">
        <v>2.61</v>
      </c>
      <c r="E541" t="s">
        <v>8</v>
      </c>
      <c r="F541" t="s">
        <v>230</v>
      </c>
      <c r="G541" t="s">
        <v>10</v>
      </c>
      <c r="H541" t="s">
        <v>11</v>
      </c>
    </row>
    <row r="542" spans="1:8" x14ac:dyDescent="0.45">
      <c r="A542">
        <v>2563</v>
      </c>
      <c r="B542">
        <v>44518</v>
      </c>
      <c r="C542">
        <v>33</v>
      </c>
      <c r="D542">
        <v>5.98</v>
      </c>
      <c r="E542" t="s">
        <v>8</v>
      </c>
      <c r="F542" t="s">
        <v>230</v>
      </c>
      <c r="G542" t="s">
        <v>10</v>
      </c>
      <c r="H542" t="s">
        <v>11</v>
      </c>
    </row>
    <row r="543" spans="1:8" x14ac:dyDescent="0.45">
      <c r="A543">
        <v>2595</v>
      </c>
      <c r="B543">
        <v>44908</v>
      </c>
      <c r="C543">
        <v>4</v>
      </c>
      <c r="D543">
        <v>5.47</v>
      </c>
      <c r="E543" t="s">
        <v>8</v>
      </c>
      <c r="F543" t="s">
        <v>232</v>
      </c>
      <c r="G543" t="s">
        <v>13</v>
      </c>
      <c r="H543" t="s">
        <v>15</v>
      </c>
    </row>
    <row r="544" spans="1:8" x14ac:dyDescent="0.45">
      <c r="A544">
        <v>2626</v>
      </c>
      <c r="B544">
        <v>44811</v>
      </c>
      <c r="C544">
        <v>16</v>
      </c>
      <c r="D544">
        <v>2.88</v>
      </c>
      <c r="E544" t="s">
        <v>8</v>
      </c>
      <c r="F544" t="s">
        <v>233</v>
      </c>
      <c r="G544" t="s">
        <v>10</v>
      </c>
      <c r="H544" t="s">
        <v>11</v>
      </c>
    </row>
    <row r="545" spans="1:8" x14ac:dyDescent="0.45">
      <c r="A545">
        <v>2628</v>
      </c>
      <c r="B545">
        <v>44490</v>
      </c>
      <c r="C545">
        <v>14</v>
      </c>
      <c r="D545">
        <v>2.1800000000000002</v>
      </c>
      <c r="E545" t="s">
        <v>8</v>
      </c>
      <c r="F545" t="s">
        <v>234</v>
      </c>
      <c r="G545" t="s">
        <v>23</v>
      </c>
      <c r="H545" t="s">
        <v>11</v>
      </c>
    </row>
    <row r="546" spans="1:8" x14ac:dyDescent="0.45">
      <c r="A546">
        <v>2630</v>
      </c>
      <c r="B546">
        <v>45222</v>
      </c>
      <c r="C546">
        <v>31</v>
      </c>
      <c r="D546">
        <v>4.7300000000000004</v>
      </c>
      <c r="E546" t="s">
        <v>8</v>
      </c>
      <c r="F546" t="s">
        <v>235</v>
      </c>
      <c r="G546" t="s">
        <v>13</v>
      </c>
      <c r="H546" t="s">
        <v>11</v>
      </c>
    </row>
    <row r="547" spans="1:8" x14ac:dyDescent="0.45">
      <c r="A547">
        <v>2631</v>
      </c>
      <c r="B547">
        <v>44462</v>
      </c>
      <c r="C547">
        <v>27</v>
      </c>
      <c r="D547">
        <v>40.96</v>
      </c>
      <c r="E547" t="s">
        <v>8</v>
      </c>
      <c r="F547" t="s">
        <v>236</v>
      </c>
      <c r="G547" t="s">
        <v>13</v>
      </c>
      <c r="H547" t="s">
        <v>17</v>
      </c>
    </row>
    <row r="548" spans="1:8" x14ac:dyDescent="0.45">
      <c r="A548">
        <v>2656</v>
      </c>
      <c r="B548">
        <v>44319</v>
      </c>
      <c r="C548">
        <v>29</v>
      </c>
      <c r="D548">
        <v>35.99</v>
      </c>
      <c r="E548" t="s">
        <v>8</v>
      </c>
      <c r="F548" t="s">
        <v>237</v>
      </c>
      <c r="G548" t="s">
        <v>23</v>
      </c>
      <c r="H548" t="s">
        <v>17</v>
      </c>
    </row>
    <row r="549" spans="1:8" x14ac:dyDescent="0.45">
      <c r="A549">
        <v>2657</v>
      </c>
      <c r="B549">
        <v>44850</v>
      </c>
      <c r="C549">
        <v>37</v>
      </c>
      <c r="D549">
        <v>65.989999999999995</v>
      </c>
      <c r="E549" t="s">
        <v>8</v>
      </c>
      <c r="F549" t="s">
        <v>238</v>
      </c>
      <c r="G549" t="s">
        <v>20</v>
      </c>
      <c r="H549" t="s">
        <v>17</v>
      </c>
    </row>
    <row r="550" spans="1:8" x14ac:dyDescent="0.45">
      <c r="A550">
        <v>2658</v>
      </c>
      <c r="B550">
        <v>44826</v>
      </c>
      <c r="C550">
        <v>34</v>
      </c>
      <c r="D550">
        <v>6.48</v>
      </c>
      <c r="E550" t="s">
        <v>8</v>
      </c>
      <c r="F550" t="s">
        <v>239</v>
      </c>
      <c r="G550" t="s">
        <v>10</v>
      </c>
      <c r="H550" t="s">
        <v>11</v>
      </c>
    </row>
    <row r="551" spans="1:8" x14ac:dyDescent="0.45">
      <c r="A551">
        <v>2659</v>
      </c>
      <c r="B551">
        <v>44547</v>
      </c>
      <c r="C551">
        <v>50</v>
      </c>
      <c r="D551">
        <v>18.97</v>
      </c>
      <c r="E551" t="s">
        <v>8</v>
      </c>
      <c r="F551" t="s">
        <v>100</v>
      </c>
      <c r="G551" t="s">
        <v>13</v>
      </c>
      <c r="H551" t="s">
        <v>11</v>
      </c>
    </row>
    <row r="552" spans="1:8" x14ac:dyDescent="0.45">
      <c r="A552">
        <v>2688</v>
      </c>
      <c r="B552">
        <v>44949</v>
      </c>
      <c r="C552">
        <v>31</v>
      </c>
      <c r="D552">
        <v>85.99</v>
      </c>
      <c r="E552" t="s">
        <v>8</v>
      </c>
      <c r="F552" t="s">
        <v>96</v>
      </c>
      <c r="G552" t="s">
        <v>10</v>
      </c>
      <c r="H552" t="s">
        <v>17</v>
      </c>
    </row>
    <row r="553" spans="1:8" x14ac:dyDescent="0.45">
      <c r="A553">
        <v>2688</v>
      </c>
      <c r="B553">
        <v>44949</v>
      </c>
      <c r="C553">
        <v>7</v>
      </c>
      <c r="D553">
        <v>20.97</v>
      </c>
      <c r="E553" t="s">
        <v>8</v>
      </c>
      <c r="F553" t="s">
        <v>96</v>
      </c>
      <c r="G553" t="s">
        <v>10</v>
      </c>
      <c r="H553" t="s">
        <v>17</v>
      </c>
    </row>
    <row r="554" spans="1:8" x14ac:dyDescent="0.45">
      <c r="A554">
        <v>2688</v>
      </c>
      <c r="B554">
        <v>44949</v>
      </c>
      <c r="C554">
        <v>11</v>
      </c>
      <c r="D554">
        <v>155.99</v>
      </c>
      <c r="E554" t="s">
        <v>8</v>
      </c>
      <c r="F554" t="s">
        <v>96</v>
      </c>
      <c r="G554" t="s">
        <v>10</v>
      </c>
      <c r="H554" t="s">
        <v>17</v>
      </c>
    </row>
    <row r="555" spans="1:8" x14ac:dyDescent="0.45">
      <c r="A555">
        <v>2722</v>
      </c>
      <c r="B555">
        <v>43929</v>
      </c>
      <c r="C555">
        <v>46</v>
      </c>
      <c r="D555">
        <v>40.97</v>
      </c>
      <c r="E555" t="s">
        <v>8</v>
      </c>
      <c r="F555" t="s">
        <v>241</v>
      </c>
      <c r="G555" t="s">
        <v>23</v>
      </c>
      <c r="H555" t="s">
        <v>17</v>
      </c>
    </row>
    <row r="556" spans="1:8" x14ac:dyDescent="0.45">
      <c r="A556">
        <v>2752</v>
      </c>
      <c r="B556">
        <v>44518</v>
      </c>
      <c r="C556">
        <v>30</v>
      </c>
      <c r="D556">
        <v>22.98</v>
      </c>
      <c r="E556" t="s">
        <v>8</v>
      </c>
      <c r="F556" t="s">
        <v>199</v>
      </c>
      <c r="G556" t="s">
        <v>10</v>
      </c>
      <c r="H556" t="s">
        <v>17</v>
      </c>
    </row>
    <row r="557" spans="1:8" x14ac:dyDescent="0.45">
      <c r="A557">
        <v>2752</v>
      </c>
      <c r="B557">
        <v>44518</v>
      </c>
      <c r="C557">
        <v>41</v>
      </c>
      <c r="D557">
        <v>3.78</v>
      </c>
      <c r="E557" t="s">
        <v>8</v>
      </c>
      <c r="F557" t="s">
        <v>199</v>
      </c>
      <c r="G557" t="s">
        <v>10</v>
      </c>
      <c r="H557" t="s">
        <v>11</v>
      </c>
    </row>
    <row r="558" spans="1:8" x14ac:dyDescent="0.45">
      <c r="A558">
        <v>2752</v>
      </c>
      <c r="B558">
        <v>44518</v>
      </c>
      <c r="C558">
        <v>10</v>
      </c>
      <c r="D558">
        <v>34.76</v>
      </c>
      <c r="E558" t="s">
        <v>8</v>
      </c>
      <c r="F558" t="s">
        <v>199</v>
      </c>
      <c r="G558" t="s">
        <v>10</v>
      </c>
      <c r="H558" t="s">
        <v>11</v>
      </c>
    </row>
    <row r="559" spans="1:8" x14ac:dyDescent="0.45">
      <c r="A559">
        <v>2752</v>
      </c>
      <c r="B559">
        <v>44518</v>
      </c>
      <c r="C559">
        <v>10</v>
      </c>
      <c r="D559">
        <v>65.989999999999995</v>
      </c>
      <c r="E559" t="s">
        <v>8</v>
      </c>
      <c r="F559" t="s">
        <v>199</v>
      </c>
      <c r="G559" t="s">
        <v>10</v>
      </c>
      <c r="H559" t="s">
        <v>17</v>
      </c>
    </row>
    <row r="560" spans="1:8" x14ac:dyDescent="0.45">
      <c r="A560">
        <v>2754</v>
      </c>
      <c r="B560">
        <v>43923</v>
      </c>
      <c r="C560">
        <v>16</v>
      </c>
      <c r="D560">
        <v>90.24</v>
      </c>
      <c r="E560" t="s">
        <v>8</v>
      </c>
      <c r="F560" t="s">
        <v>242</v>
      </c>
      <c r="G560" t="s">
        <v>20</v>
      </c>
      <c r="H560" t="s">
        <v>11</v>
      </c>
    </row>
    <row r="561" spans="1:8" x14ac:dyDescent="0.45">
      <c r="A561">
        <v>2755</v>
      </c>
      <c r="B561">
        <v>44963</v>
      </c>
      <c r="C561">
        <v>30</v>
      </c>
      <c r="D561">
        <v>24.95</v>
      </c>
      <c r="E561" t="s">
        <v>8</v>
      </c>
      <c r="F561" t="s">
        <v>243</v>
      </c>
      <c r="G561" t="s">
        <v>13</v>
      </c>
      <c r="H561" t="s">
        <v>11</v>
      </c>
    </row>
    <row r="562" spans="1:8" x14ac:dyDescent="0.45">
      <c r="A562">
        <v>2755</v>
      </c>
      <c r="B562">
        <v>44963</v>
      </c>
      <c r="C562">
        <v>50</v>
      </c>
      <c r="D562">
        <v>6.48</v>
      </c>
      <c r="E562" t="s">
        <v>8</v>
      </c>
      <c r="F562" t="s">
        <v>243</v>
      </c>
      <c r="G562" t="s">
        <v>13</v>
      </c>
      <c r="H562" t="s">
        <v>11</v>
      </c>
    </row>
    <row r="563" spans="1:8" x14ac:dyDescent="0.45">
      <c r="A563">
        <v>2756</v>
      </c>
      <c r="B563">
        <v>43938</v>
      </c>
      <c r="C563">
        <v>25</v>
      </c>
      <c r="D563">
        <v>55.94</v>
      </c>
      <c r="E563" t="s">
        <v>8</v>
      </c>
      <c r="F563" t="s">
        <v>244</v>
      </c>
      <c r="G563" t="s">
        <v>10</v>
      </c>
      <c r="H563" t="s">
        <v>17</v>
      </c>
    </row>
    <row r="564" spans="1:8" x14ac:dyDescent="0.45">
      <c r="A564">
        <v>2756</v>
      </c>
      <c r="B564">
        <v>43938</v>
      </c>
      <c r="C564">
        <v>42</v>
      </c>
      <c r="D564">
        <v>6.3</v>
      </c>
      <c r="E564" t="s">
        <v>8</v>
      </c>
      <c r="F564" t="s">
        <v>244</v>
      </c>
      <c r="G564" t="s">
        <v>10</v>
      </c>
      <c r="H564" t="s">
        <v>11</v>
      </c>
    </row>
    <row r="565" spans="1:8" x14ac:dyDescent="0.45">
      <c r="A565">
        <v>2759</v>
      </c>
      <c r="B565">
        <v>44524</v>
      </c>
      <c r="C565">
        <v>25</v>
      </c>
      <c r="D565">
        <v>30.98</v>
      </c>
      <c r="E565" t="s">
        <v>8</v>
      </c>
      <c r="F565" t="s">
        <v>230</v>
      </c>
      <c r="G565" t="s">
        <v>10</v>
      </c>
      <c r="H565" t="s">
        <v>17</v>
      </c>
    </row>
    <row r="566" spans="1:8" x14ac:dyDescent="0.45">
      <c r="A566">
        <v>2790</v>
      </c>
      <c r="B566">
        <v>44061</v>
      </c>
      <c r="C566">
        <v>7</v>
      </c>
      <c r="D566">
        <v>5.44</v>
      </c>
      <c r="E566" t="s">
        <v>8</v>
      </c>
      <c r="F566" t="s">
        <v>213</v>
      </c>
      <c r="G566" t="s">
        <v>20</v>
      </c>
      <c r="H566" t="s">
        <v>11</v>
      </c>
    </row>
    <row r="567" spans="1:8" x14ac:dyDescent="0.45">
      <c r="A567">
        <v>2790</v>
      </c>
      <c r="B567">
        <v>44061</v>
      </c>
      <c r="C567">
        <v>15</v>
      </c>
      <c r="D567">
        <v>34.76</v>
      </c>
      <c r="E567" t="s">
        <v>8</v>
      </c>
      <c r="F567" t="s">
        <v>213</v>
      </c>
      <c r="G567" t="s">
        <v>20</v>
      </c>
      <c r="H567" t="s">
        <v>11</v>
      </c>
    </row>
    <row r="568" spans="1:8" x14ac:dyDescent="0.45">
      <c r="A568">
        <v>2791</v>
      </c>
      <c r="B568">
        <v>44113</v>
      </c>
      <c r="C568">
        <v>47</v>
      </c>
      <c r="D568">
        <v>3.89</v>
      </c>
      <c r="E568" t="s">
        <v>8</v>
      </c>
      <c r="F568" t="s">
        <v>247</v>
      </c>
      <c r="G568" t="s">
        <v>13</v>
      </c>
      <c r="H568" t="s">
        <v>11</v>
      </c>
    </row>
    <row r="569" spans="1:8" x14ac:dyDescent="0.45">
      <c r="A569">
        <v>2791</v>
      </c>
      <c r="B569">
        <v>44113</v>
      </c>
      <c r="C569">
        <v>18</v>
      </c>
      <c r="D569">
        <v>30.98</v>
      </c>
      <c r="E569" t="s">
        <v>8</v>
      </c>
      <c r="F569" t="s">
        <v>247</v>
      </c>
      <c r="G569" t="s">
        <v>13</v>
      </c>
      <c r="H569" t="s">
        <v>11</v>
      </c>
    </row>
    <row r="570" spans="1:8" x14ac:dyDescent="0.45">
      <c r="A570">
        <v>2816</v>
      </c>
      <c r="B570">
        <v>44093</v>
      </c>
      <c r="C570">
        <v>35</v>
      </c>
      <c r="D570">
        <v>21.98</v>
      </c>
      <c r="E570" t="s">
        <v>8</v>
      </c>
      <c r="F570" t="s">
        <v>248</v>
      </c>
      <c r="G570" t="s">
        <v>13</v>
      </c>
      <c r="H570" t="s">
        <v>11</v>
      </c>
    </row>
    <row r="571" spans="1:8" x14ac:dyDescent="0.45">
      <c r="A571">
        <v>2817</v>
      </c>
      <c r="B571">
        <v>43939</v>
      </c>
      <c r="C571">
        <v>14</v>
      </c>
      <c r="D571">
        <v>300.97000000000003</v>
      </c>
      <c r="E571" t="s">
        <v>8</v>
      </c>
      <c r="F571" t="s">
        <v>249</v>
      </c>
      <c r="G571" t="s">
        <v>20</v>
      </c>
      <c r="H571" t="s">
        <v>17</v>
      </c>
    </row>
    <row r="572" spans="1:8" x14ac:dyDescent="0.45">
      <c r="A572">
        <v>2817</v>
      </c>
      <c r="B572">
        <v>43939</v>
      </c>
      <c r="C572">
        <v>40</v>
      </c>
      <c r="D572">
        <v>39.89</v>
      </c>
      <c r="E572" t="s">
        <v>8</v>
      </c>
      <c r="F572" t="s">
        <v>249</v>
      </c>
      <c r="G572" t="s">
        <v>20</v>
      </c>
      <c r="H572" t="s">
        <v>15</v>
      </c>
    </row>
    <row r="573" spans="1:8" x14ac:dyDescent="0.45">
      <c r="A573">
        <v>2818</v>
      </c>
      <c r="B573">
        <v>44176</v>
      </c>
      <c r="C573">
        <v>37</v>
      </c>
      <c r="D573">
        <v>15.68</v>
      </c>
      <c r="E573" t="s">
        <v>8</v>
      </c>
      <c r="F573" t="s">
        <v>248</v>
      </c>
      <c r="G573" t="s">
        <v>13</v>
      </c>
      <c r="H573" t="s">
        <v>15</v>
      </c>
    </row>
    <row r="574" spans="1:8" x14ac:dyDescent="0.45">
      <c r="A574">
        <v>2818</v>
      </c>
      <c r="B574">
        <v>44176</v>
      </c>
      <c r="C574">
        <v>39</v>
      </c>
      <c r="D574">
        <v>14.98</v>
      </c>
      <c r="E574" t="s">
        <v>8</v>
      </c>
      <c r="F574" t="s">
        <v>248</v>
      </c>
      <c r="G574" t="s">
        <v>13</v>
      </c>
      <c r="H574" t="s">
        <v>15</v>
      </c>
    </row>
    <row r="575" spans="1:8" x14ac:dyDescent="0.45">
      <c r="A575">
        <v>2818</v>
      </c>
      <c r="B575">
        <v>44176</v>
      </c>
      <c r="C575">
        <v>2</v>
      </c>
      <c r="D575">
        <v>38.76</v>
      </c>
      <c r="E575" t="s">
        <v>8</v>
      </c>
      <c r="F575" t="s">
        <v>248</v>
      </c>
      <c r="G575" t="s">
        <v>13</v>
      </c>
      <c r="H575" t="s">
        <v>11</v>
      </c>
    </row>
    <row r="576" spans="1:8" x14ac:dyDescent="0.45">
      <c r="A576">
        <v>2823</v>
      </c>
      <c r="B576">
        <v>44812</v>
      </c>
      <c r="C576">
        <v>17</v>
      </c>
      <c r="D576">
        <v>20.97</v>
      </c>
      <c r="E576" t="s">
        <v>8</v>
      </c>
      <c r="F576" t="s">
        <v>250</v>
      </c>
      <c r="G576" t="s">
        <v>20</v>
      </c>
      <c r="H576" t="s">
        <v>17</v>
      </c>
    </row>
    <row r="577" spans="1:8" x14ac:dyDescent="0.45">
      <c r="A577">
        <v>2848</v>
      </c>
      <c r="B577">
        <v>44994</v>
      </c>
      <c r="C577">
        <v>8</v>
      </c>
      <c r="D577">
        <v>125.99</v>
      </c>
      <c r="E577" t="s">
        <v>8</v>
      </c>
      <c r="F577" t="s">
        <v>139</v>
      </c>
      <c r="G577" t="s">
        <v>20</v>
      </c>
      <c r="H577" t="s">
        <v>17</v>
      </c>
    </row>
    <row r="578" spans="1:8" x14ac:dyDescent="0.45">
      <c r="A578">
        <v>2852</v>
      </c>
      <c r="B578">
        <v>44211</v>
      </c>
      <c r="C578">
        <v>10</v>
      </c>
      <c r="D578">
        <v>6.48</v>
      </c>
      <c r="E578" t="s">
        <v>8</v>
      </c>
      <c r="F578" t="s">
        <v>249</v>
      </c>
      <c r="G578" t="s">
        <v>20</v>
      </c>
      <c r="H578" t="s">
        <v>11</v>
      </c>
    </row>
    <row r="579" spans="1:8" x14ac:dyDescent="0.45">
      <c r="A579">
        <v>2852</v>
      </c>
      <c r="B579">
        <v>44211</v>
      </c>
      <c r="C579">
        <v>42</v>
      </c>
      <c r="D579">
        <v>115.99</v>
      </c>
      <c r="E579" t="s">
        <v>8</v>
      </c>
      <c r="F579" t="s">
        <v>249</v>
      </c>
      <c r="G579" t="s">
        <v>20</v>
      </c>
      <c r="H579" t="s">
        <v>17</v>
      </c>
    </row>
    <row r="580" spans="1:8" x14ac:dyDescent="0.45">
      <c r="A580">
        <v>2882</v>
      </c>
      <c r="B580">
        <v>44794</v>
      </c>
      <c r="C580">
        <v>9</v>
      </c>
      <c r="D580">
        <v>40.98</v>
      </c>
      <c r="E580" t="s">
        <v>8</v>
      </c>
      <c r="F580" t="s">
        <v>252</v>
      </c>
      <c r="G580" t="s">
        <v>23</v>
      </c>
      <c r="H580" t="s">
        <v>17</v>
      </c>
    </row>
    <row r="581" spans="1:8" x14ac:dyDescent="0.45">
      <c r="A581">
        <v>2883</v>
      </c>
      <c r="B581">
        <v>44583</v>
      </c>
      <c r="C581">
        <v>34</v>
      </c>
      <c r="D581">
        <v>64.98</v>
      </c>
      <c r="E581" t="s">
        <v>8</v>
      </c>
      <c r="F581" t="s">
        <v>212</v>
      </c>
      <c r="G581" t="s">
        <v>23</v>
      </c>
      <c r="H581" t="s">
        <v>11</v>
      </c>
    </row>
    <row r="582" spans="1:8" x14ac:dyDescent="0.45">
      <c r="A582">
        <v>2885</v>
      </c>
      <c r="B582">
        <v>45187</v>
      </c>
      <c r="C582">
        <v>29</v>
      </c>
      <c r="D582">
        <v>6.48</v>
      </c>
      <c r="E582" t="s">
        <v>8</v>
      </c>
      <c r="F582" t="s">
        <v>253</v>
      </c>
      <c r="G582" t="s">
        <v>20</v>
      </c>
      <c r="H582" t="s">
        <v>11</v>
      </c>
    </row>
    <row r="583" spans="1:8" x14ac:dyDescent="0.45">
      <c r="A583">
        <v>2885</v>
      </c>
      <c r="B583">
        <v>45187</v>
      </c>
      <c r="C583">
        <v>46</v>
      </c>
      <c r="D583">
        <v>15.42</v>
      </c>
      <c r="E583" t="s">
        <v>8</v>
      </c>
      <c r="F583" t="s">
        <v>253</v>
      </c>
      <c r="G583" t="s">
        <v>20</v>
      </c>
      <c r="H583" t="s">
        <v>11</v>
      </c>
    </row>
    <row r="584" spans="1:8" x14ac:dyDescent="0.45">
      <c r="A584">
        <v>2914</v>
      </c>
      <c r="B584">
        <v>44257</v>
      </c>
      <c r="C584">
        <v>3</v>
      </c>
      <c r="D584">
        <v>18.97</v>
      </c>
      <c r="E584" t="s">
        <v>8</v>
      </c>
      <c r="F584" t="s">
        <v>118</v>
      </c>
      <c r="G584" t="s">
        <v>23</v>
      </c>
      <c r="H584" t="s">
        <v>11</v>
      </c>
    </row>
    <row r="585" spans="1:8" x14ac:dyDescent="0.45">
      <c r="A585">
        <v>2915</v>
      </c>
      <c r="B585">
        <v>43920</v>
      </c>
      <c r="C585">
        <v>41</v>
      </c>
      <c r="D585">
        <v>5.98</v>
      </c>
      <c r="E585" t="s">
        <v>8</v>
      </c>
      <c r="F585" t="s">
        <v>254</v>
      </c>
      <c r="G585" t="s">
        <v>23</v>
      </c>
      <c r="H585" t="s">
        <v>11</v>
      </c>
    </row>
    <row r="586" spans="1:8" x14ac:dyDescent="0.45">
      <c r="A586">
        <v>2915</v>
      </c>
      <c r="B586">
        <v>43920</v>
      </c>
      <c r="C586">
        <v>23</v>
      </c>
      <c r="D586">
        <v>39.979999999999997</v>
      </c>
      <c r="E586" t="s">
        <v>8</v>
      </c>
      <c r="F586" t="s">
        <v>254</v>
      </c>
      <c r="G586" t="s">
        <v>23</v>
      </c>
      <c r="H586" t="s">
        <v>17</v>
      </c>
    </row>
    <row r="587" spans="1:8" x14ac:dyDescent="0.45">
      <c r="A587">
        <v>2947</v>
      </c>
      <c r="B587">
        <v>44676</v>
      </c>
      <c r="C587">
        <v>8</v>
      </c>
      <c r="D587">
        <v>6.48</v>
      </c>
      <c r="E587" t="s">
        <v>8</v>
      </c>
      <c r="F587" t="s">
        <v>206</v>
      </c>
      <c r="G587" t="s">
        <v>23</v>
      </c>
      <c r="H587" t="s">
        <v>11</v>
      </c>
    </row>
    <row r="588" spans="1:8" x14ac:dyDescent="0.45">
      <c r="A588">
        <v>2978</v>
      </c>
      <c r="B588">
        <v>44683</v>
      </c>
      <c r="C588">
        <v>34</v>
      </c>
      <c r="D588">
        <v>205.99</v>
      </c>
      <c r="E588" t="s">
        <v>8</v>
      </c>
      <c r="F588" t="s">
        <v>256</v>
      </c>
      <c r="G588" t="s">
        <v>13</v>
      </c>
      <c r="H588" t="s">
        <v>17</v>
      </c>
    </row>
    <row r="589" spans="1:8" x14ac:dyDescent="0.45">
      <c r="A589">
        <v>2978</v>
      </c>
      <c r="B589">
        <v>44683</v>
      </c>
      <c r="C589">
        <v>36</v>
      </c>
      <c r="D589">
        <v>162.93</v>
      </c>
      <c r="E589" t="s">
        <v>8</v>
      </c>
      <c r="F589" t="s">
        <v>256</v>
      </c>
      <c r="G589" t="s">
        <v>13</v>
      </c>
      <c r="H589" t="s">
        <v>11</v>
      </c>
    </row>
    <row r="590" spans="1:8" x14ac:dyDescent="0.45">
      <c r="A590">
        <v>2978</v>
      </c>
      <c r="B590">
        <v>44683</v>
      </c>
      <c r="C590">
        <v>28</v>
      </c>
      <c r="D590">
        <v>200.99</v>
      </c>
      <c r="E590" t="s">
        <v>8</v>
      </c>
      <c r="F590" t="s">
        <v>256</v>
      </c>
      <c r="G590" t="s">
        <v>13</v>
      </c>
      <c r="H590" t="s">
        <v>17</v>
      </c>
    </row>
    <row r="591" spans="1:8" x14ac:dyDescent="0.45">
      <c r="A591">
        <v>3008</v>
      </c>
      <c r="B591">
        <v>44872</v>
      </c>
      <c r="C591">
        <v>41</v>
      </c>
      <c r="D591">
        <v>162.93</v>
      </c>
      <c r="E591" t="s">
        <v>8</v>
      </c>
      <c r="F591" t="s">
        <v>257</v>
      </c>
      <c r="G591" t="s">
        <v>23</v>
      </c>
      <c r="H591" t="s">
        <v>11</v>
      </c>
    </row>
    <row r="592" spans="1:8" x14ac:dyDescent="0.45">
      <c r="A592">
        <v>3012</v>
      </c>
      <c r="B592">
        <v>44320</v>
      </c>
      <c r="C592">
        <v>41</v>
      </c>
      <c r="D592">
        <v>2.78</v>
      </c>
      <c r="E592" t="s">
        <v>8</v>
      </c>
      <c r="F592" t="s">
        <v>258</v>
      </c>
      <c r="G592" t="s">
        <v>13</v>
      </c>
      <c r="H592" t="s">
        <v>11</v>
      </c>
    </row>
    <row r="593" spans="1:8" x14ac:dyDescent="0.45">
      <c r="A593">
        <v>3014</v>
      </c>
      <c r="B593">
        <v>45228</v>
      </c>
      <c r="C593">
        <v>13</v>
      </c>
      <c r="D593">
        <v>304.99</v>
      </c>
      <c r="E593" t="s">
        <v>8</v>
      </c>
      <c r="F593" t="s">
        <v>92</v>
      </c>
      <c r="G593" t="s">
        <v>23</v>
      </c>
      <c r="H593" t="s">
        <v>11</v>
      </c>
    </row>
    <row r="594" spans="1:8" x14ac:dyDescent="0.45">
      <c r="A594">
        <v>3042</v>
      </c>
      <c r="B594">
        <v>44155</v>
      </c>
      <c r="C594">
        <v>26</v>
      </c>
      <c r="D594">
        <v>4.26</v>
      </c>
      <c r="E594" t="s">
        <v>8</v>
      </c>
      <c r="F594" t="s">
        <v>260</v>
      </c>
      <c r="G594" t="s">
        <v>23</v>
      </c>
      <c r="H594" t="s">
        <v>11</v>
      </c>
    </row>
    <row r="595" spans="1:8" x14ac:dyDescent="0.45">
      <c r="A595">
        <v>3046</v>
      </c>
      <c r="B595">
        <v>44894</v>
      </c>
      <c r="C595">
        <v>24</v>
      </c>
      <c r="D595">
        <v>420.98</v>
      </c>
      <c r="E595" t="s">
        <v>8</v>
      </c>
      <c r="F595" t="s">
        <v>184</v>
      </c>
      <c r="G595" t="s">
        <v>10</v>
      </c>
      <c r="H595" t="s">
        <v>11</v>
      </c>
    </row>
    <row r="596" spans="1:8" x14ac:dyDescent="0.45">
      <c r="A596">
        <v>3073</v>
      </c>
      <c r="B596">
        <v>43837</v>
      </c>
      <c r="C596">
        <v>3</v>
      </c>
      <c r="D596">
        <v>1.98</v>
      </c>
      <c r="E596" t="s">
        <v>8</v>
      </c>
      <c r="F596" t="s">
        <v>261</v>
      </c>
      <c r="G596" t="s">
        <v>20</v>
      </c>
      <c r="H596" t="s">
        <v>11</v>
      </c>
    </row>
    <row r="597" spans="1:8" x14ac:dyDescent="0.45">
      <c r="A597">
        <v>3073</v>
      </c>
      <c r="B597">
        <v>43837</v>
      </c>
      <c r="C597">
        <v>7</v>
      </c>
      <c r="D597">
        <v>6783.02</v>
      </c>
      <c r="E597" t="s">
        <v>8</v>
      </c>
      <c r="F597" t="s">
        <v>261</v>
      </c>
      <c r="G597" t="s">
        <v>20</v>
      </c>
      <c r="H597" t="s">
        <v>17</v>
      </c>
    </row>
    <row r="598" spans="1:8" x14ac:dyDescent="0.45">
      <c r="A598">
        <v>3078</v>
      </c>
      <c r="B598">
        <v>44238</v>
      </c>
      <c r="C598">
        <v>12</v>
      </c>
      <c r="D598">
        <v>2.88</v>
      </c>
      <c r="E598" t="s">
        <v>8</v>
      </c>
      <c r="F598" t="s">
        <v>47</v>
      </c>
      <c r="G598" t="s">
        <v>13</v>
      </c>
      <c r="H598" t="s">
        <v>11</v>
      </c>
    </row>
    <row r="599" spans="1:8" x14ac:dyDescent="0.45">
      <c r="A599">
        <v>3104</v>
      </c>
      <c r="B599">
        <v>44454</v>
      </c>
      <c r="C599">
        <v>50</v>
      </c>
      <c r="D599">
        <v>6.48</v>
      </c>
      <c r="E599" t="s">
        <v>8</v>
      </c>
      <c r="F599" t="s">
        <v>262</v>
      </c>
      <c r="G599" t="s">
        <v>23</v>
      </c>
      <c r="H599" t="s">
        <v>11</v>
      </c>
    </row>
    <row r="600" spans="1:8" x14ac:dyDescent="0.45">
      <c r="A600">
        <v>3108</v>
      </c>
      <c r="B600">
        <v>44412</v>
      </c>
      <c r="C600">
        <v>36</v>
      </c>
      <c r="D600">
        <v>1.82</v>
      </c>
      <c r="E600" t="s">
        <v>8</v>
      </c>
      <c r="F600" t="s">
        <v>236</v>
      </c>
      <c r="G600" t="s">
        <v>13</v>
      </c>
      <c r="H600" t="s">
        <v>11</v>
      </c>
    </row>
    <row r="601" spans="1:8" x14ac:dyDescent="0.45">
      <c r="A601">
        <v>3109</v>
      </c>
      <c r="B601">
        <v>44400</v>
      </c>
      <c r="C601">
        <v>47</v>
      </c>
      <c r="D601">
        <v>22.23</v>
      </c>
      <c r="E601" t="s">
        <v>8</v>
      </c>
      <c r="F601" t="s">
        <v>165</v>
      </c>
      <c r="G601" t="s">
        <v>13</v>
      </c>
      <c r="H601" t="s">
        <v>15</v>
      </c>
    </row>
    <row r="602" spans="1:8" x14ac:dyDescent="0.45">
      <c r="A602">
        <v>3109</v>
      </c>
      <c r="B602">
        <v>44400</v>
      </c>
      <c r="C602">
        <v>37</v>
      </c>
      <c r="D602">
        <v>205.99</v>
      </c>
      <c r="E602" t="s">
        <v>8</v>
      </c>
      <c r="F602" t="s">
        <v>165</v>
      </c>
      <c r="G602" t="s">
        <v>13</v>
      </c>
      <c r="H602" t="s">
        <v>17</v>
      </c>
    </row>
    <row r="603" spans="1:8" x14ac:dyDescent="0.45">
      <c r="A603">
        <v>3136</v>
      </c>
      <c r="B603">
        <v>44052</v>
      </c>
      <c r="C603">
        <v>8</v>
      </c>
      <c r="D603">
        <v>30.98</v>
      </c>
      <c r="E603" t="s">
        <v>8</v>
      </c>
      <c r="F603" t="s">
        <v>264</v>
      </c>
      <c r="G603" t="s">
        <v>13</v>
      </c>
      <c r="H603" t="s">
        <v>11</v>
      </c>
    </row>
    <row r="604" spans="1:8" x14ac:dyDescent="0.45">
      <c r="A604">
        <v>3141</v>
      </c>
      <c r="B604">
        <v>44874</v>
      </c>
      <c r="C604">
        <v>30</v>
      </c>
      <c r="D604">
        <v>18.89</v>
      </c>
      <c r="E604" t="s">
        <v>8</v>
      </c>
      <c r="F604" t="s">
        <v>266</v>
      </c>
      <c r="G604" t="s">
        <v>20</v>
      </c>
      <c r="H604" t="s">
        <v>17</v>
      </c>
    </row>
    <row r="605" spans="1:8" x14ac:dyDescent="0.45">
      <c r="A605">
        <v>3168</v>
      </c>
      <c r="B605">
        <v>44955</v>
      </c>
      <c r="C605">
        <v>14</v>
      </c>
      <c r="D605">
        <v>5.28</v>
      </c>
      <c r="E605" t="s">
        <v>8</v>
      </c>
      <c r="F605" t="s">
        <v>261</v>
      </c>
      <c r="G605" t="s">
        <v>20</v>
      </c>
      <c r="H605" t="s">
        <v>15</v>
      </c>
    </row>
    <row r="606" spans="1:8" x14ac:dyDescent="0.45">
      <c r="A606">
        <v>3169</v>
      </c>
      <c r="B606">
        <v>44550</v>
      </c>
      <c r="C606">
        <v>7</v>
      </c>
      <c r="D606">
        <v>4.42</v>
      </c>
      <c r="E606" t="s">
        <v>8</v>
      </c>
      <c r="F606" t="s">
        <v>267</v>
      </c>
      <c r="G606" t="s">
        <v>13</v>
      </c>
      <c r="H606" t="s">
        <v>11</v>
      </c>
    </row>
    <row r="607" spans="1:8" x14ac:dyDescent="0.45">
      <c r="A607">
        <v>3172</v>
      </c>
      <c r="B607">
        <v>45079</v>
      </c>
      <c r="C607">
        <v>33</v>
      </c>
      <c r="D607">
        <v>20.99</v>
      </c>
      <c r="E607" t="s">
        <v>8</v>
      </c>
      <c r="F607" t="s">
        <v>268</v>
      </c>
      <c r="G607" t="s">
        <v>23</v>
      </c>
      <c r="H607" t="s">
        <v>17</v>
      </c>
    </row>
    <row r="608" spans="1:8" x14ac:dyDescent="0.45">
      <c r="A608">
        <v>3175</v>
      </c>
      <c r="B608">
        <v>44026</v>
      </c>
      <c r="C608">
        <v>23</v>
      </c>
      <c r="D608">
        <v>165.2</v>
      </c>
      <c r="E608" t="s">
        <v>8</v>
      </c>
      <c r="F608" t="s">
        <v>269</v>
      </c>
      <c r="G608" t="s">
        <v>10</v>
      </c>
      <c r="H608" t="s">
        <v>11</v>
      </c>
    </row>
    <row r="609" spans="1:8" x14ac:dyDescent="0.45">
      <c r="A609">
        <v>3202</v>
      </c>
      <c r="B609">
        <v>45283</v>
      </c>
      <c r="C609">
        <v>10</v>
      </c>
      <c r="D609">
        <v>53.98</v>
      </c>
      <c r="E609" t="s">
        <v>8</v>
      </c>
      <c r="F609" t="s">
        <v>270</v>
      </c>
      <c r="G609" t="s">
        <v>23</v>
      </c>
      <c r="H609" t="s">
        <v>17</v>
      </c>
    </row>
    <row r="610" spans="1:8" x14ac:dyDescent="0.45">
      <c r="A610">
        <v>3205</v>
      </c>
      <c r="B610">
        <v>45026</v>
      </c>
      <c r="C610">
        <v>8</v>
      </c>
      <c r="D610">
        <v>15.68</v>
      </c>
      <c r="E610" t="s">
        <v>8</v>
      </c>
      <c r="F610" t="s">
        <v>271</v>
      </c>
      <c r="G610" t="s">
        <v>23</v>
      </c>
      <c r="H610" t="s">
        <v>15</v>
      </c>
    </row>
    <row r="611" spans="1:8" x14ac:dyDescent="0.45">
      <c r="A611">
        <v>3232</v>
      </c>
      <c r="B611">
        <v>45207</v>
      </c>
      <c r="C611">
        <v>5</v>
      </c>
      <c r="D611">
        <v>7.84</v>
      </c>
      <c r="E611" t="s">
        <v>8</v>
      </c>
      <c r="F611" t="s">
        <v>272</v>
      </c>
      <c r="G611" t="s">
        <v>10</v>
      </c>
      <c r="H611" t="s">
        <v>11</v>
      </c>
    </row>
    <row r="612" spans="1:8" x14ac:dyDescent="0.45">
      <c r="A612">
        <v>3266</v>
      </c>
      <c r="B612">
        <v>44636</v>
      </c>
      <c r="C612">
        <v>4</v>
      </c>
      <c r="D612">
        <v>3.8</v>
      </c>
      <c r="E612" t="s">
        <v>8</v>
      </c>
      <c r="F612" t="s">
        <v>274</v>
      </c>
      <c r="G612" t="s">
        <v>13</v>
      </c>
      <c r="H612" t="s">
        <v>11</v>
      </c>
    </row>
    <row r="613" spans="1:8" x14ac:dyDescent="0.45">
      <c r="A613">
        <v>3297</v>
      </c>
      <c r="B613">
        <v>45232</v>
      </c>
      <c r="C613">
        <v>40</v>
      </c>
      <c r="D613">
        <v>3.75</v>
      </c>
      <c r="E613" t="s">
        <v>8</v>
      </c>
      <c r="F613" t="s">
        <v>275</v>
      </c>
      <c r="G613" t="s">
        <v>23</v>
      </c>
      <c r="H613" t="s">
        <v>11</v>
      </c>
    </row>
    <row r="614" spans="1:8" x14ac:dyDescent="0.45">
      <c r="A614">
        <v>3300</v>
      </c>
      <c r="B614">
        <v>44756</v>
      </c>
      <c r="C614">
        <v>6</v>
      </c>
      <c r="D614">
        <v>15.98</v>
      </c>
      <c r="E614" t="s">
        <v>8</v>
      </c>
      <c r="F614" t="s">
        <v>276</v>
      </c>
      <c r="G614" t="s">
        <v>20</v>
      </c>
      <c r="H614" t="s">
        <v>17</v>
      </c>
    </row>
    <row r="615" spans="1:8" x14ac:dyDescent="0.45">
      <c r="A615">
        <v>3331</v>
      </c>
      <c r="B615">
        <v>44336</v>
      </c>
      <c r="C615">
        <v>31</v>
      </c>
      <c r="D615">
        <v>4.91</v>
      </c>
      <c r="E615" t="s">
        <v>8</v>
      </c>
      <c r="F615" t="s">
        <v>277</v>
      </c>
      <c r="G615" t="s">
        <v>13</v>
      </c>
      <c r="H615" t="s">
        <v>11</v>
      </c>
    </row>
    <row r="616" spans="1:8" x14ac:dyDescent="0.45">
      <c r="A616">
        <v>3332</v>
      </c>
      <c r="B616">
        <v>44139</v>
      </c>
      <c r="C616">
        <v>6</v>
      </c>
      <c r="D616">
        <v>3.26</v>
      </c>
      <c r="E616" t="s">
        <v>8</v>
      </c>
      <c r="F616" t="s">
        <v>278</v>
      </c>
      <c r="G616" t="s">
        <v>13</v>
      </c>
      <c r="H616" t="s">
        <v>11</v>
      </c>
    </row>
    <row r="617" spans="1:8" x14ac:dyDescent="0.45">
      <c r="A617">
        <v>3333</v>
      </c>
      <c r="B617">
        <v>45184</v>
      </c>
      <c r="C617">
        <v>42</v>
      </c>
      <c r="D617">
        <v>22.98</v>
      </c>
      <c r="E617" t="s">
        <v>8</v>
      </c>
      <c r="F617" t="s">
        <v>279</v>
      </c>
      <c r="G617" t="s">
        <v>20</v>
      </c>
      <c r="H617" t="s">
        <v>11</v>
      </c>
    </row>
    <row r="618" spans="1:8" x14ac:dyDescent="0.45">
      <c r="A618">
        <v>3333</v>
      </c>
      <c r="B618">
        <v>45184</v>
      </c>
      <c r="C618">
        <v>9</v>
      </c>
      <c r="D618">
        <v>6.48</v>
      </c>
      <c r="E618" t="s">
        <v>8</v>
      </c>
      <c r="F618" t="s">
        <v>279</v>
      </c>
      <c r="G618" t="s">
        <v>20</v>
      </c>
      <c r="H618" t="s">
        <v>11</v>
      </c>
    </row>
    <row r="619" spans="1:8" x14ac:dyDescent="0.45">
      <c r="A619">
        <v>3361</v>
      </c>
      <c r="B619">
        <v>45160</v>
      </c>
      <c r="C619">
        <v>49</v>
      </c>
      <c r="D619">
        <v>4.28</v>
      </c>
      <c r="E619" t="s">
        <v>8</v>
      </c>
      <c r="F619" t="s">
        <v>280</v>
      </c>
      <c r="G619" t="s">
        <v>13</v>
      </c>
      <c r="H619" t="s">
        <v>11</v>
      </c>
    </row>
    <row r="620" spans="1:8" x14ac:dyDescent="0.45">
      <c r="A620">
        <v>3361</v>
      </c>
      <c r="B620">
        <v>45160</v>
      </c>
      <c r="C620">
        <v>23</v>
      </c>
      <c r="D620">
        <v>5.85</v>
      </c>
      <c r="E620" t="s">
        <v>8</v>
      </c>
      <c r="F620" t="s">
        <v>280</v>
      </c>
      <c r="G620" t="s">
        <v>13</v>
      </c>
      <c r="H620" t="s">
        <v>11</v>
      </c>
    </row>
    <row r="621" spans="1:8" x14ac:dyDescent="0.45">
      <c r="A621">
        <v>3362</v>
      </c>
      <c r="B621">
        <v>44770</v>
      </c>
      <c r="C621">
        <v>40</v>
      </c>
      <c r="D621">
        <v>40.98</v>
      </c>
      <c r="E621" t="s">
        <v>8</v>
      </c>
      <c r="F621" t="s">
        <v>281</v>
      </c>
      <c r="G621" t="s">
        <v>10</v>
      </c>
      <c r="H621" t="s">
        <v>17</v>
      </c>
    </row>
    <row r="622" spans="1:8" x14ac:dyDescent="0.45">
      <c r="A622">
        <v>3362</v>
      </c>
      <c r="B622">
        <v>44770</v>
      </c>
      <c r="C622">
        <v>50</v>
      </c>
      <c r="D622">
        <v>15.14</v>
      </c>
      <c r="E622" t="s">
        <v>8</v>
      </c>
      <c r="F622" t="s">
        <v>281</v>
      </c>
      <c r="G622" t="s">
        <v>10</v>
      </c>
      <c r="H622" t="s">
        <v>11</v>
      </c>
    </row>
    <row r="623" spans="1:8" x14ac:dyDescent="0.45">
      <c r="A623">
        <v>3363</v>
      </c>
      <c r="B623">
        <v>44826</v>
      </c>
      <c r="C623">
        <v>21</v>
      </c>
      <c r="D623">
        <v>415.88</v>
      </c>
      <c r="E623" t="s">
        <v>8</v>
      </c>
      <c r="F623" t="s">
        <v>282</v>
      </c>
      <c r="G623" t="s">
        <v>20</v>
      </c>
      <c r="H623" t="s">
        <v>11</v>
      </c>
    </row>
    <row r="624" spans="1:8" x14ac:dyDescent="0.45">
      <c r="A624">
        <v>3393</v>
      </c>
      <c r="B624">
        <v>44745</v>
      </c>
      <c r="C624">
        <v>33</v>
      </c>
      <c r="D624">
        <v>9.48</v>
      </c>
      <c r="E624" t="s">
        <v>8</v>
      </c>
      <c r="F624" t="s">
        <v>283</v>
      </c>
      <c r="G624" t="s">
        <v>23</v>
      </c>
      <c r="H624" t="s">
        <v>15</v>
      </c>
    </row>
    <row r="625" spans="1:8" x14ac:dyDescent="0.45">
      <c r="A625">
        <v>3395</v>
      </c>
      <c r="B625">
        <v>44133</v>
      </c>
      <c r="C625">
        <v>1</v>
      </c>
      <c r="D625">
        <v>7.35</v>
      </c>
      <c r="E625" t="s">
        <v>8</v>
      </c>
      <c r="F625" t="s">
        <v>284</v>
      </c>
      <c r="G625" t="s">
        <v>23</v>
      </c>
      <c r="H625" t="s">
        <v>11</v>
      </c>
    </row>
    <row r="626" spans="1:8" x14ac:dyDescent="0.45">
      <c r="A626">
        <v>3395</v>
      </c>
      <c r="B626">
        <v>44133</v>
      </c>
      <c r="C626">
        <v>7</v>
      </c>
      <c r="D626">
        <v>15.57</v>
      </c>
      <c r="E626" t="s">
        <v>8</v>
      </c>
      <c r="F626" t="s">
        <v>284</v>
      </c>
      <c r="G626" t="s">
        <v>23</v>
      </c>
      <c r="H626" t="s">
        <v>11</v>
      </c>
    </row>
    <row r="627" spans="1:8" x14ac:dyDescent="0.45">
      <c r="A627">
        <v>3395</v>
      </c>
      <c r="B627">
        <v>44133</v>
      </c>
      <c r="C627">
        <v>29</v>
      </c>
      <c r="D627">
        <v>20.89</v>
      </c>
      <c r="E627" t="s">
        <v>8</v>
      </c>
      <c r="F627" t="s">
        <v>284</v>
      </c>
      <c r="G627" t="s">
        <v>23</v>
      </c>
      <c r="H627" t="s">
        <v>11</v>
      </c>
    </row>
    <row r="628" spans="1:8" x14ac:dyDescent="0.45">
      <c r="A628">
        <v>3397</v>
      </c>
      <c r="B628">
        <v>44004</v>
      </c>
      <c r="C628">
        <v>43</v>
      </c>
      <c r="D628">
        <v>19.98</v>
      </c>
      <c r="E628" t="s">
        <v>8</v>
      </c>
      <c r="F628" t="s">
        <v>285</v>
      </c>
      <c r="G628" t="s">
        <v>23</v>
      </c>
      <c r="H628" t="s">
        <v>17</v>
      </c>
    </row>
    <row r="629" spans="1:8" x14ac:dyDescent="0.45">
      <c r="A629">
        <v>3397</v>
      </c>
      <c r="B629">
        <v>44004</v>
      </c>
      <c r="C629">
        <v>11</v>
      </c>
      <c r="D629">
        <v>2.88</v>
      </c>
      <c r="E629" t="s">
        <v>8</v>
      </c>
      <c r="F629" t="s">
        <v>285</v>
      </c>
      <c r="G629" t="s">
        <v>23</v>
      </c>
      <c r="H629" t="s">
        <v>11</v>
      </c>
    </row>
    <row r="630" spans="1:8" x14ac:dyDescent="0.45">
      <c r="A630">
        <v>3458</v>
      </c>
      <c r="B630">
        <v>44186</v>
      </c>
      <c r="C630">
        <v>41</v>
      </c>
      <c r="D630">
        <v>15.28</v>
      </c>
      <c r="E630" t="s">
        <v>8</v>
      </c>
      <c r="F630" t="s">
        <v>287</v>
      </c>
      <c r="G630" t="s">
        <v>13</v>
      </c>
      <c r="H630" t="s">
        <v>17</v>
      </c>
    </row>
    <row r="631" spans="1:8" x14ac:dyDescent="0.45">
      <c r="A631">
        <v>3458</v>
      </c>
      <c r="B631">
        <v>44186</v>
      </c>
      <c r="C631">
        <v>28</v>
      </c>
      <c r="D631">
        <v>1.76</v>
      </c>
      <c r="E631" t="s">
        <v>8</v>
      </c>
      <c r="F631" t="s">
        <v>287</v>
      </c>
      <c r="G631" t="s">
        <v>13</v>
      </c>
      <c r="H631" t="s">
        <v>11</v>
      </c>
    </row>
    <row r="632" spans="1:8" x14ac:dyDescent="0.45">
      <c r="A632">
        <v>3460</v>
      </c>
      <c r="B632">
        <v>44836</v>
      </c>
      <c r="C632">
        <v>27</v>
      </c>
      <c r="D632">
        <v>5.98</v>
      </c>
      <c r="E632" t="s">
        <v>8</v>
      </c>
      <c r="F632" t="s">
        <v>289</v>
      </c>
      <c r="G632" t="s">
        <v>23</v>
      </c>
      <c r="H632" t="s">
        <v>11</v>
      </c>
    </row>
    <row r="633" spans="1:8" x14ac:dyDescent="0.45">
      <c r="A633">
        <v>3461</v>
      </c>
      <c r="B633">
        <v>44226</v>
      </c>
      <c r="C633">
        <v>47</v>
      </c>
      <c r="D633">
        <v>55.99</v>
      </c>
      <c r="E633" t="s">
        <v>8</v>
      </c>
      <c r="F633" t="s">
        <v>290</v>
      </c>
      <c r="G633" t="s">
        <v>20</v>
      </c>
      <c r="H633" t="s">
        <v>17</v>
      </c>
    </row>
    <row r="634" spans="1:8" x14ac:dyDescent="0.45">
      <c r="A634">
        <v>3461</v>
      </c>
      <c r="B634">
        <v>44226</v>
      </c>
      <c r="C634">
        <v>35</v>
      </c>
      <c r="D634">
        <v>115.99</v>
      </c>
      <c r="E634" t="s">
        <v>8</v>
      </c>
      <c r="F634" t="s">
        <v>290</v>
      </c>
      <c r="G634" t="s">
        <v>20</v>
      </c>
      <c r="H634" t="s">
        <v>17</v>
      </c>
    </row>
    <row r="635" spans="1:8" x14ac:dyDescent="0.45">
      <c r="A635">
        <v>3463</v>
      </c>
      <c r="B635">
        <v>44425</v>
      </c>
      <c r="C635">
        <v>43</v>
      </c>
      <c r="D635">
        <v>6.48</v>
      </c>
      <c r="E635" t="s">
        <v>8</v>
      </c>
      <c r="F635" t="s">
        <v>291</v>
      </c>
      <c r="G635" t="s">
        <v>23</v>
      </c>
      <c r="H635" t="s">
        <v>11</v>
      </c>
    </row>
    <row r="636" spans="1:8" x14ac:dyDescent="0.45">
      <c r="A636">
        <v>3488</v>
      </c>
      <c r="B636">
        <v>44568</v>
      </c>
      <c r="C636">
        <v>6</v>
      </c>
      <c r="D636">
        <v>21.98</v>
      </c>
      <c r="E636" t="s">
        <v>8</v>
      </c>
      <c r="F636" t="s">
        <v>292</v>
      </c>
      <c r="G636" t="s">
        <v>20</v>
      </c>
      <c r="H636" t="s">
        <v>11</v>
      </c>
    </row>
    <row r="637" spans="1:8" x14ac:dyDescent="0.45">
      <c r="A637">
        <v>3492</v>
      </c>
      <c r="B637">
        <v>44158</v>
      </c>
      <c r="C637">
        <v>35</v>
      </c>
      <c r="D637">
        <v>67.28</v>
      </c>
      <c r="E637" t="s">
        <v>8</v>
      </c>
      <c r="F637" t="s">
        <v>293</v>
      </c>
      <c r="G637" t="s">
        <v>13</v>
      </c>
      <c r="H637" t="s">
        <v>11</v>
      </c>
    </row>
    <row r="638" spans="1:8" x14ac:dyDescent="0.45">
      <c r="A638">
        <v>3492</v>
      </c>
      <c r="B638">
        <v>44158</v>
      </c>
      <c r="C638">
        <v>33</v>
      </c>
      <c r="D638">
        <v>2.78</v>
      </c>
      <c r="E638" t="s">
        <v>8</v>
      </c>
      <c r="F638" t="s">
        <v>293</v>
      </c>
      <c r="G638" t="s">
        <v>13</v>
      </c>
      <c r="H638" t="s">
        <v>11</v>
      </c>
    </row>
    <row r="639" spans="1:8" x14ac:dyDescent="0.45">
      <c r="A639">
        <v>3493</v>
      </c>
      <c r="B639">
        <v>44431</v>
      </c>
      <c r="C639">
        <v>48</v>
      </c>
      <c r="D639">
        <v>152.47999999999999</v>
      </c>
      <c r="E639" t="s">
        <v>8</v>
      </c>
      <c r="F639" t="s">
        <v>294</v>
      </c>
      <c r="G639" t="s">
        <v>20</v>
      </c>
      <c r="H639" t="s">
        <v>17</v>
      </c>
    </row>
    <row r="640" spans="1:8" x14ac:dyDescent="0.45">
      <c r="A640">
        <v>3521</v>
      </c>
      <c r="B640">
        <v>45224</v>
      </c>
      <c r="C640">
        <v>50</v>
      </c>
      <c r="D640">
        <v>4.28</v>
      </c>
      <c r="E640" t="s">
        <v>8</v>
      </c>
      <c r="F640" t="s">
        <v>295</v>
      </c>
      <c r="G640" t="s">
        <v>20</v>
      </c>
      <c r="H640" t="s">
        <v>11</v>
      </c>
    </row>
    <row r="641" spans="1:8" x14ac:dyDescent="0.45">
      <c r="A641">
        <v>3522</v>
      </c>
      <c r="B641">
        <v>44099</v>
      </c>
      <c r="C641">
        <v>33</v>
      </c>
      <c r="D641">
        <v>60.98</v>
      </c>
      <c r="E641" t="s">
        <v>8</v>
      </c>
      <c r="F641" t="s">
        <v>197</v>
      </c>
      <c r="G641" t="s">
        <v>23</v>
      </c>
      <c r="H641" t="s">
        <v>11</v>
      </c>
    </row>
    <row r="642" spans="1:8" x14ac:dyDescent="0.45">
      <c r="A642">
        <v>3522</v>
      </c>
      <c r="B642">
        <v>44099</v>
      </c>
      <c r="C642">
        <v>27</v>
      </c>
      <c r="D642">
        <v>29.89</v>
      </c>
      <c r="E642" t="s">
        <v>8</v>
      </c>
      <c r="F642" t="s">
        <v>197</v>
      </c>
      <c r="G642" t="s">
        <v>23</v>
      </c>
      <c r="H642" t="s">
        <v>17</v>
      </c>
    </row>
    <row r="643" spans="1:8" x14ac:dyDescent="0.45">
      <c r="A643">
        <v>3524</v>
      </c>
      <c r="B643">
        <v>45048</v>
      </c>
      <c r="C643">
        <v>21</v>
      </c>
      <c r="D643">
        <v>18.97</v>
      </c>
      <c r="E643" t="s">
        <v>8</v>
      </c>
      <c r="F643" t="s">
        <v>296</v>
      </c>
      <c r="G643" t="s">
        <v>10</v>
      </c>
      <c r="H643" t="s">
        <v>11</v>
      </c>
    </row>
    <row r="644" spans="1:8" x14ac:dyDescent="0.45">
      <c r="A644">
        <v>3525</v>
      </c>
      <c r="B644">
        <v>44916</v>
      </c>
      <c r="C644">
        <v>38</v>
      </c>
      <c r="D644">
        <v>2.78</v>
      </c>
      <c r="E644" t="s">
        <v>8</v>
      </c>
      <c r="F644" t="s">
        <v>276</v>
      </c>
      <c r="G644" t="s">
        <v>20</v>
      </c>
      <c r="H644" t="s">
        <v>11</v>
      </c>
    </row>
    <row r="645" spans="1:8" x14ac:dyDescent="0.45">
      <c r="A645">
        <v>3526</v>
      </c>
      <c r="B645">
        <v>44635</v>
      </c>
      <c r="C645">
        <v>20</v>
      </c>
      <c r="D645">
        <v>12.07</v>
      </c>
      <c r="E645" t="s">
        <v>8</v>
      </c>
      <c r="F645" t="s">
        <v>297</v>
      </c>
      <c r="G645" t="s">
        <v>10</v>
      </c>
      <c r="H645" t="s">
        <v>15</v>
      </c>
    </row>
    <row r="646" spans="1:8" x14ac:dyDescent="0.45">
      <c r="A646">
        <v>3553</v>
      </c>
      <c r="B646">
        <v>43968</v>
      </c>
      <c r="C646">
        <v>7</v>
      </c>
      <c r="D646">
        <v>2.94</v>
      </c>
      <c r="E646" t="s">
        <v>8</v>
      </c>
      <c r="F646" t="s">
        <v>293</v>
      </c>
      <c r="G646" t="s">
        <v>13</v>
      </c>
      <c r="H646" t="s">
        <v>11</v>
      </c>
    </row>
    <row r="647" spans="1:8" x14ac:dyDescent="0.45">
      <c r="A647">
        <v>3554</v>
      </c>
      <c r="B647">
        <v>44728</v>
      </c>
      <c r="C647">
        <v>25</v>
      </c>
      <c r="D647">
        <v>12.28</v>
      </c>
      <c r="E647" t="s">
        <v>8</v>
      </c>
      <c r="F647" t="s">
        <v>298</v>
      </c>
      <c r="G647" t="s">
        <v>13</v>
      </c>
      <c r="H647" t="s">
        <v>11</v>
      </c>
    </row>
    <row r="648" spans="1:8" x14ac:dyDescent="0.45">
      <c r="A648">
        <v>3556</v>
      </c>
      <c r="B648">
        <v>45191</v>
      </c>
      <c r="C648">
        <v>48</v>
      </c>
      <c r="D648">
        <v>5.74</v>
      </c>
      <c r="E648" t="s">
        <v>8</v>
      </c>
      <c r="F648" t="s">
        <v>286</v>
      </c>
      <c r="G648" t="s">
        <v>20</v>
      </c>
      <c r="H648" t="s">
        <v>11</v>
      </c>
    </row>
    <row r="649" spans="1:8" x14ac:dyDescent="0.45">
      <c r="A649">
        <v>3556</v>
      </c>
      <c r="B649">
        <v>45191</v>
      </c>
      <c r="C649">
        <v>41</v>
      </c>
      <c r="D649">
        <v>128.24</v>
      </c>
      <c r="E649" t="s">
        <v>8</v>
      </c>
      <c r="F649" t="s">
        <v>286</v>
      </c>
      <c r="G649" t="s">
        <v>20</v>
      </c>
      <c r="H649" t="s">
        <v>15</v>
      </c>
    </row>
    <row r="650" spans="1:8" x14ac:dyDescent="0.45">
      <c r="A650">
        <v>3585</v>
      </c>
      <c r="B650">
        <v>44157</v>
      </c>
      <c r="C650">
        <v>27</v>
      </c>
      <c r="D650">
        <v>10.06</v>
      </c>
      <c r="E650" t="s">
        <v>8</v>
      </c>
      <c r="F650" t="s">
        <v>300</v>
      </c>
      <c r="G650" t="s">
        <v>13</v>
      </c>
      <c r="H650" t="s">
        <v>11</v>
      </c>
    </row>
    <row r="651" spans="1:8" x14ac:dyDescent="0.45">
      <c r="A651">
        <v>3585</v>
      </c>
      <c r="B651">
        <v>44157</v>
      </c>
      <c r="C651">
        <v>34</v>
      </c>
      <c r="D651">
        <v>1.68</v>
      </c>
      <c r="E651" t="s">
        <v>8</v>
      </c>
      <c r="F651" t="s">
        <v>300</v>
      </c>
      <c r="G651" t="s">
        <v>13</v>
      </c>
      <c r="H651" t="s">
        <v>11</v>
      </c>
    </row>
    <row r="652" spans="1:8" x14ac:dyDescent="0.45">
      <c r="A652">
        <v>3586</v>
      </c>
      <c r="B652">
        <v>44534</v>
      </c>
      <c r="C652">
        <v>32</v>
      </c>
      <c r="D652">
        <v>12.58</v>
      </c>
      <c r="E652" t="s">
        <v>8</v>
      </c>
      <c r="F652" t="s">
        <v>301</v>
      </c>
      <c r="G652" t="s">
        <v>20</v>
      </c>
      <c r="H652" t="s">
        <v>15</v>
      </c>
    </row>
    <row r="653" spans="1:8" x14ac:dyDescent="0.45">
      <c r="A653">
        <v>3586</v>
      </c>
      <c r="B653">
        <v>44534</v>
      </c>
      <c r="C653">
        <v>31</v>
      </c>
      <c r="D653">
        <v>14.34</v>
      </c>
      <c r="E653" t="s">
        <v>8</v>
      </c>
      <c r="F653" t="s">
        <v>301</v>
      </c>
      <c r="G653" t="s">
        <v>20</v>
      </c>
      <c r="H653" t="s">
        <v>15</v>
      </c>
    </row>
    <row r="654" spans="1:8" x14ac:dyDescent="0.45">
      <c r="A654">
        <v>3588</v>
      </c>
      <c r="B654">
        <v>44638</v>
      </c>
      <c r="C654">
        <v>42</v>
      </c>
      <c r="D654">
        <v>8.67</v>
      </c>
      <c r="E654" t="s">
        <v>8</v>
      </c>
      <c r="F654" t="s">
        <v>294</v>
      </c>
      <c r="G654" t="s">
        <v>20</v>
      </c>
      <c r="H654" t="s">
        <v>11</v>
      </c>
    </row>
    <row r="655" spans="1:8" x14ac:dyDescent="0.45">
      <c r="A655">
        <v>3588</v>
      </c>
      <c r="B655">
        <v>44638</v>
      </c>
      <c r="C655">
        <v>21</v>
      </c>
      <c r="D655">
        <v>73.98</v>
      </c>
      <c r="E655" t="s">
        <v>8</v>
      </c>
      <c r="F655" t="s">
        <v>294</v>
      </c>
      <c r="G655" t="s">
        <v>20</v>
      </c>
      <c r="H655" t="s">
        <v>17</v>
      </c>
    </row>
    <row r="656" spans="1:8" x14ac:dyDescent="0.45">
      <c r="A656">
        <v>3588</v>
      </c>
      <c r="B656">
        <v>44638</v>
      </c>
      <c r="C656">
        <v>14</v>
      </c>
      <c r="D656">
        <v>30.93</v>
      </c>
      <c r="E656" t="s">
        <v>8</v>
      </c>
      <c r="F656" t="s">
        <v>294</v>
      </c>
      <c r="G656" t="s">
        <v>20</v>
      </c>
      <c r="H656" t="s">
        <v>15</v>
      </c>
    </row>
    <row r="657" spans="1:8" x14ac:dyDescent="0.45">
      <c r="A657">
        <v>3589</v>
      </c>
      <c r="B657">
        <v>43976</v>
      </c>
      <c r="C657">
        <v>23</v>
      </c>
      <c r="D657">
        <v>3.15</v>
      </c>
      <c r="E657" t="s">
        <v>8</v>
      </c>
      <c r="F657" t="s">
        <v>302</v>
      </c>
      <c r="G657" t="s">
        <v>20</v>
      </c>
      <c r="H657" t="s">
        <v>11</v>
      </c>
    </row>
    <row r="658" spans="1:8" x14ac:dyDescent="0.45">
      <c r="A658">
        <v>3621</v>
      </c>
      <c r="B658">
        <v>44321</v>
      </c>
      <c r="C658">
        <v>14</v>
      </c>
      <c r="D658">
        <v>5.58</v>
      </c>
      <c r="E658" t="s">
        <v>8</v>
      </c>
      <c r="F658" t="s">
        <v>216</v>
      </c>
      <c r="G658" t="s">
        <v>10</v>
      </c>
      <c r="H658" t="s">
        <v>11</v>
      </c>
    </row>
    <row r="659" spans="1:8" x14ac:dyDescent="0.45">
      <c r="A659">
        <v>3622</v>
      </c>
      <c r="B659">
        <v>44891</v>
      </c>
      <c r="C659">
        <v>16</v>
      </c>
      <c r="D659">
        <v>4.24</v>
      </c>
      <c r="E659" t="s">
        <v>8</v>
      </c>
      <c r="F659" t="s">
        <v>304</v>
      </c>
      <c r="G659" t="s">
        <v>23</v>
      </c>
      <c r="H659" t="s">
        <v>11</v>
      </c>
    </row>
    <row r="660" spans="1:8" x14ac:dyDescent="0.45">
      <c r="A660">
        <v>3648</v>
      </c>
      <c r="B660">
        <v>44363</v>
      </c>
      <c r="C660">
        <v>46</v>
      </c>
      <c r="D660">
        <v>3.15</v>
      </c>
      <c r="E660" t="s">
        <v>8</v>
      </c>
      <c r="F660" t="s">
        <v>242</v>
      </c>
      <c r="G660" t="s">
        <v>20</v>
      </c>
      <c r="H660" t="s">
        <v>11</v>
      </c>
    </row>
    <row r="661" spans="1:8" x14ac:dyDescent="0.45">
      <c r="A661">
        <v>3648</v>
      </c>
      <c r="B661">
        <v>44363</v>
      </c>
      <c r="C661">
        <v>34</v>
      </c>
      <c r="D661">
        <v>195.99</v>
      </c>
      <c r="E661" t="s">
        <v>8</v>
      </c>
      <c r="F661" t="s">
        <v>242</v>
      </c>
      <c r="G661" t="s">
        <v>20</v>
      </c>
      <c r="H661" t="s">
        <v>17</v>
      </c>
    </row>
    <row r="662" spans="1:8" x14ac:dyDescent="0.45">
      <c r="A662">
        <v>3649</v>
      </c>
      <c r="B662">
        <v>44017</v>
      </c>
      <c r="C662">
        <v>8</v>
      </c>
      <c r="D662">
        <v>8.8800000000000008</v>
      </c>
      <c r="E662" t="s">
        <v>8</v>
      </c>
      <c r="F662" t="s">
        <v>37</v>
      </c>
      <c r="G662" t="s">
        <v>20</v>
      </c>
      <c r="H662" t="s">
        <v>11</v>
      </c>
    </row>
    <row r="663" spans="1:8" x14ac:dyDescent="0.45">
      <c r="A663">
        <v>3649</v>
      </c>
      <c r="B663">
        <v>44017</v>
      </c>
      <c r="C663">
        <v>26</v>
      </c>
      <c r="D663">
        <v>2.88</v>
      </c>
      <c r="E663" t="s">
        <v>8</v>
      </c>
      <c r="F663" t="s">
        <v>37</v>
      </c>
      <c r="G663" t="s">
        <v>20</v>
      </c>
      <c r="H663" t="s">
        <v>11</v>
      </c>
    </row>
    <row r="664" spans="1:8" x14ac:dyDescent="0.45">
      <c r="A664">
        <v>3653</v>
      </c>
      <c r="B664">
        <v>43916</v>
      </c>
      <c r="C664">
        <v>41</v>
      </c>
      <c r="D664">
        <v>6.68</v>
      </c>
      <c r="E664" t="s">
        <v>8</v>
      </c>
      <c r="F664" t="s">
        <v>306</v>
      </c>
      <c r="G664" t="s">
        <v>13</v>
      </c>
      <c r="H664" t="s">
        <v>11</v>
      </c>
    </row>
    <row r="665" spans="1:8" x14ac:dyDescent="0.45">
      <c r="A665">
        <v>3654</v>
      </c>
      <c r="B665">
        <v>45079</v>
      </c>
      <c r="C665">
        <v>41</v>
      </c>
      <c r="D665">
        <v>2.08</v>
      </c>
      <c r="E665" t="s">
        <v>8</v>
      </c>
      <c r="F665" t="s">
        <v>133</v>
      </c>
      <c r="G665" t="s">
        <v>13</v>
      </c>
      <c r="H665" t="s">
        <v>15</v>
      </c>
    </row>
    <row r="666" spans="1:8" x14ac:dyDescent="0.45">
      <c r="A666">
        <v>3654</v>
      </c>
      <c r="B666">
        <v>45079</v>
      </c>
      <c r="C666">
        <v>39</v>
      </c>
      <c r="D666">
        <v>204.1</v>
      </c>
      <c r="E666" t="s">
        <v>8</v>
      </c>
      <c r="F666" t="s">
        <v>133</v>
      </c>
      <c r="G666" t="s">
        <v>13</v>
      </c>
      <c r="H666" t="s">
        <v>17</v>
      </c>
    </row>
    <row r="667" spans="1:8" x14ac:dyDescent="0.45">
      <c r="A667">
        <v>3655</v>
      </c>
      <c r="B667">
        <v>45204</v>
      </c>
      <c r="C667">
        <v>3</v>
      </c>
      <c r="D667">
        <v>15.99</v>
      </c>
      <c r="E667" t="s">
        <v>8</v>
      </c>
      <c r="F667" t="s">
        <v>64</v>
      </c>
      <c r="G667" t="s">
        <v>10</v>
      </c>
      <c r="H667" t="s">
        <v>11</v>
      </c>
    </row>
    <row r="668" spans="1:8" x14ac:dyDescent="0.45">
      <c r="A668">
        <v>3655</v>
      </c>
      <c r="B668">
        <v>45204</v>
      </c>
      <c r="C668">
        <v>24</v>
      </c>
      <c r="D668">
        <v>125.99</v>
      </c>
      <c r="E668" t="s">
        <v>8</v>
      </c>
      <c r="F668" t="s">
        <v>64</v>
      </c>
      <c r="G668" t="s">
        <v>10</v>
      </c>
      <c r="H668" t="s">
        <v>17</v>
      </c>
    </row>
    <row r="669" spans="1:8" x14ac:dyDescent="0.45">
      <c r="A669">
        <v>3680</v>
      </c>
      <c r="B669">
        <v>45269</v>
      </c>
      <c r="C669">
        <v>27</v>
      </c>
      <c r="D669">
        <v>6.48</v>
      </c>
      <c r="E669" t="s">
        <v>8</v>
      </c>
      <c r="F669" t="s">
        <v>307</v>
      </c>
      <c r="G669" t="s">
        <v>13</v>
      </c>
      <c r="H669" t="s">
        <v>11</v>
      </c>
    </row>
    <row r="670" spans="1:8" x14ac:dyDescent="0.45">
      <c r="A670">
        <v>3685</v>
      </c>
      <c r="B670">
        <v>44942</v>
      </c>
      <c r="C670">
        <v>29</v>
      </c>
      <c r="D670">
        <v>3.28</v>
      </c>
      <c r="E670" t="s">
        <v>8</v>
      </c>
      <c r="F670" t="s">
        <v>115</v>
      </c>
      <c r="G670" t="s">
        <v>10</v>
      </c>
      <c r="H670" t="s">
        <v>11</v>
      </c>
    </row>
    <row r="671" spans="1:8" x14ac:dyDescent="0.45">
      <c r="A671">
        <v>3687</v>
      </c>
      <c r="B671">
        <v>44229</v>
      </c>
      <c r="C671">
        <v>25</v>
      </c>
      <c r="D671">
        <v>3.29</v>
      </c>
      <c r="E671" t="s">
        <v>8</v>
      </c>
      <c r="F671" t="s">
        <v>308</v>
      </c>
      <c r="G671" t="s">
        <v>20</v>
      </c>
      <c r="H671" t="s">
        <v>11</v>
      </c>
    </row>
    <row r="672" spans="1:8" x14ac:dyDescent="0.45">
      <c r="A672">
        <v>3746</v>
      </c>
      <c r="B672">
        <v>44084</v>
      </c>
      <c r="C672">
        <v>14</v>
      </c>
      <c r="D672">
        <v>115.99</v>
      </c>
      <c r="E672" t="s">
        <v>8</v>
      </c>
      <c r="F672" t="s">
        <v>310</v>
      </c>
      <c r="G672" t="s">
        <v>13</v>
      </c>
      <c r="H672" t="s">
        <v>17</v>
      </c>
    </row>
    <row r="673" spans="1:8" x14ac:dyDescent="0.45">
      <c r="A673">
        <v>3746</v>
      </c>
      <c r="B673">
        <v>44084</v>
      </c>
      <c r="C673">
        <v>38</v>
      </c>
      <c r="D673">
        <v>5.98</v>
      </c>
      <c r="E673" t="s">
        <v>8</v>
      </c>
      <c r="F673" t="s">
        <v>310</v>
      </c>
      <c r="G673" t="s">
        <v>13</v>
      </c>
      <c r="H673" t="s">
        <v>11</v>
      </c>
    </row>
    <row r="674" spans="1:8" x14ac:dyDescent="0.45">
      <c r="A674">
        <v>3749</v>
      </c>
      <c r="B674">
        <v>44615</v>
      </c>
      <c r="C674">
        <v>27</v>
      </c>
      <c r="D674">
        <v>12.97</v>
      </c>
      <c r="E674" t="s">
        <v>8</v>
      </c>
      <c r="F674" t="s">
        <v>311</v>
      </c>
      <c r="G674" t="s">
        <v>23</v>
      </c>
      <c r="H674" t="s">
        <v>11</v>
      </c>
    </row>
    <row r="675" spans="1:8" x14ac:dyDescent="0.45">
      <c r="A675">
        <v>3750</v>
      </c>
      <c r="B675">
        <v>44680</v>
      </c>
      <c r="C675">
        <v>12</v>
      </c>
      <c r="D675">
        <v>5.98</v>
      </c>
      <c r="E675" t="s">
        <v>8</v>
      </c>
      <c r="F675" t="s">
        <v>132</v>
      </c>
      <c r="G675" t="s">
        <v>10</v>
      </c>
      <c r="H675" t="s">
        <v>11</v>
      </c>
    </row>
    <row r="676" spans="1:8" x14ac:dyDescent="0.45">
      <c r="A676">
        <v>3778</v>
      </c>
      <c r="B676">
        <v>44341</v>
      </c>
      <c r="C676">
        <v>34</v>
      </c>
      <c r="D676">
        <v>8.32</v>
      </c>
      <c r="E676" t="s">
        <v>8</v>
      </c>
      <c r="F676" t="s">
        <v>312</v>
      </c>
      <c r="G676" t="s">
        <v>20</v>
      </c>
      <c r="H676" t="s">
        <v>17</v>
      </c>
    </row>
    <row r="677" spans="1:8" x14ac:dyDescent="0.45">
      <c r="A677">
        <v>3778</v>
      </c>
      <c r="B677">
        <v>44341</v>
      </c>
      <c r="C677">
        <v>12</v>
      </c>
      <c r="D677">
        <v>45.19</v>
      </c>
      <c r="E677" t="s">
        <v>8</v>
      </c>
      <c r="F677" t="s">
        <v>312</v>
      </c>
      <c r="G677" t="s">
        <v>20</v>
      </c>
      <c r="H677" t="s">
        <v>17</v>
      </c>
    </row>
    <row r="678" spans="1:8" x14ac:dyDescent="0.45">
      <c r="A678">
        <v>3778</v>
      </c>
      <c r="B678">
        <v>44341</v>
      </c>
      <c r="C678">
        <v>3</v>
      </c>
      <c r="D678">
        <v>6.68</v>
      </c>
      <c r="E678" t="s">
        <v>8</v>
      </c>
      <c r="F678" t="s">
        <v>312</v>
      </c>
      <c r="G678" t="s">
        <v>20</v>
      </c>
      <c r="H678" t="s">
        <v>11</v>
      </c>
    </row>
    <row r="679" spans="1:8" x14ac:dyDescent="0.45">
      <c r="A679">
        <v>3778</v>
      </c>
      <c r="B679">
        <v>44341</v>
      </c>
      <c r="C679">
        <v>34</v>
      </c>
      <c r="D679">
        <v>175.99</v>
      </c>
      <c r="E679" t="s">
        <v>8</v>
      </c>
      <c r="F679" t="s">
        <v>312</v>
      </c>
      <c r="G679" t="s">
        <v>20</v>
      </c>
      <c r="H679" t="s">
        <v>17</v>
      </c>
    </row>
    <row r="680" spans="1:8" x14ac:dyDescent="0.45">
      <c r="A680">
        <v>3783</v>
      </c>
      <c r="B680">
        <v>44535</v>
      </c>
      <c r="C680">
        <v>11</v>
      </c>
      <c r="D680">
        <v>8.1199999999999992</v>
      </c>
      <c r="E680" t="s">
        <v>8</v>
      </c>
      <c r="F680" t="s">
        <v>24</v>
      </c>
      <c r="G680" t="s">
        <v>13</v>
      </c>
      <c r="H680" t="s">
        <v>17</v>
      </c>
    </row>
    <row r="681" spans="1:8" x14ac:dyDescent="0.45">
      <c r="A681">
        <v>3783</v>
      </c>
      <c r="B681">
        <v>44535</v>
      </c>
      <c r="C681">
        <v>40</v>
      </c>
      <c r="D681">
        <v>6.48</v>
      </c>
      <c r="E681" t="s">
        <v>8</v>
      </c>
      <c r="F681" t="s">
        <v>24</v>
      </c>
      <c r="G681" t="s">
        <v>13</v>
      </c>
      <c r="H681" t="s">
        <v>11</v>
      </c>
    </row>
    <row r="682" spans="1:8" x14ac:dyDescent="0.45">
      <c r="A682">
        <v>3808</v>
      </c>
      <c r="B682">
        <v>43944</v>
      </c>
      <c r="C682">
        <v>2</v>
      </c>
      <c r="D682">
        <v>2.89</v>
      </c>
      <c r="E682" t="s">
        <v>8</v>
      </c>
      <c r="F682" t="s">
        <v>306</v>
      </c>
      <c r="G682" t="s">
        <v>13</v>
      </c>
      <c r="H682" t="s">
        <v>11</v>
      </c>
    </row>
    <row r="683" spans="1:8" x14ac:dyDescent="0.45">
      <c r="A683">
        <v>3810</v>
      </c>
      <c r="B683">
        <v>45185</v>
      </c>
      <c r="C683">
        <v>40</v>
      </c>
      <c r="D683">
        <v>4.4800000000000004</v>
      </c>
      <c r="E683" t="s">
        <v>8</v>
      </c>
      <c r="F683" t="s">
        <v>138</v>
      </c>
      <c r="G683" t="s">
        <v>13</v>
      </c>
      <c r="H683" t="s">
        <v>11</v>
      </c>
    </row>
    <row r="684" spans="1:8" x14ac:dyDescent="0.45">
      <c r="A684">
        <v>3841</v>
      </c>
      <c r="B684">
        <v>44108</v>
      </c>
      <c r="C684">
        <v>19</v>
      </c>
      <c r="D684">
        <v>60.98</v>
      </c>
      <c r="E684" t="s">
        <v>8</v>
      </c>
      <c r="F684" t="s">
        <v>314</v>
      </c>
      <c r="G684" t="s">
        <v>10</v>
      </c>
      <c r="H684" t="s">
        <v>11</v>
      </c>
    </row>
    <row r="685" spans="1:8" x14ac:dyDescent="0.45">
      <c r="A685">
        <v>3841</v>
      </c>
      <c r="B685">
        <v>44108</v>
      </c>
      <c r="C685">
        <v>20</v>
      </c>
      <c r="D685">
        <v>1270.99</v>
      </c>
      <c r="E685" t="s">
        <v>8</v>
      </c>
      <c r="F685" t="s">
        <v>314</v>
      </c>
      <c r="G685" t="s">
        <v>10</v>
      </c>
      <c r="H685" t="s">
        <v>11</v>
      </c>
    </row>
    <row r="686" spans="1:8" x14ac:dyDescent="0.45">
      <c r="A686">
        <v>3845</v>
      </c>
      <c r="B686">
        <v>45041</v>
      </c>
      <c r="C686">
        <v>9</v>
      </c>
      <c r="D686">
        <v>363.25</v>
      </c>
      <c r="E686" t="s">
        <v>8</v>
      </c>
      <c r="F686" t="s">
        <v>315</v>
      </c>
      <c r="G686" t="s">
        <v>23</v>
      </c>
      <c r="H686" t="s">
        <v>11</v>
      </c>
    </row>
    <row r="687" spans="1:8" x14ac:dyDescent="0.45">
      <c r="A687">
        <v>3845</v>
      </c>
      <c r="B687">
        <v>45041</v>
      </c>
      <c r="C687">
        <v>22</v>
      </c>
      <c r="D687">
        <v>19.98</v>
      </c>
      <c r="E687" t="s">
        <v>8</v>
      </c>
      <c r="F687" t="s">
        <v>315</v>
      </c>
      <c r="G687" t="s">
        <v>23</v>
      </c>
      <c r="H687" t="s">
        <v>15</v>
      </c>
    </row>
    <row r="688" spans="1:8" x14ac:dyDescent="0.45">
      <c r="A688">
        <v>3845</v>
      </c>
      <c r="B688">
        <v>45041</v>
      </c>
      <c r="C688">
        <v>15</v>
      </c>
      <c r="D688">
        <v>8.34</v>
      </c>
      <c r="E688" t="s">
        <v>8</v>
      </c>
      <c r="F688" t="s">
        <v>315</v>
      </c>
      <c r="G688" t="s">
        <v>23</v>
      </c>
      <c r="H688" t="s">
        <v>15</v>
      </c>
    </row>
    <row r="689" spans="1:8" x14ac:dyDescent="0.45">
      <c r="A689">
        <v>3907</v>
      </c>
      <c r="B689">
        <v>45156</v>
      </c>
      <c r="C689">
        <v>36</v>
      </c>
      <c r="D689">
        <v>4.4800000000000004</v>
      </c>
      <c r="E689" t="s">
        <v>8</v>
      </c>
      <c r="F689" t="s">
        <v>240</v>
      </c>
      <c r="G689" t="s">
        <v>10</v>
      </c>
      <c r="H689" t="s">
        <v>11</v>
      </c>
    </row>
    <row r="690" spans="1:8" x14ac:dyDescent="0.45">
      <c r="A690">
        <v>3907</v>
      </c>
      <c r="B690">
        <v>45156</v>
      </c>
      <c r="C690">
        <v>34</v>
      </c>
      <c r="D690">
        <v>22.38</v>
      </c>
      <c r="E690" t="s">
        <v>8</v>
      </c>
      <c r="F690" t="s">
        <v>240</v>
      </c>
      <c r="G690" t="s">
        <v>10</v>
      </c>
      <c r="H690" t="s">
        <v>11</v>
      </c>
    </row>
    <row r="691" spans="1:8" x14ac:dyDescent="0.45">
      <c r="A691">
        <v>3908</v>
      </c>
      <c r="B691">
        <v>44263</v>
      </c>
      <c r="C691">
        <v>8</v>
      </c>
      <c r="D691">
        <v>115.99</v>
      </c>
      <c r="E691" t="s">
        <v>8</v>
      </c>
      <c r="F691" t="s">
        <v>317</v>
      </c>
      <c r="G691" t="s">
        <v>13</v>
      </c>
      <c r="H691" t="s">
        <v>17</v>
      </c>
    </row>
    <row r="692" spans="1:8" x14ac:dyDescent="0.45">
      <c r="A692">
        <v>3911</v>
      </c>
      <c r="B692">
        <v>44636</v>
      </c>
      <c r="C692">
        <v>24</v>
      </c>
      <c r="D692">
        <v>15.7</v>
      </c>
      <c r="E692" t="s">
        <v>8</v>
      </c>
      <c r="F692" t="s">
        <v>226</v>
      </c>
      <c r="G692" t="s">
        <v>10</v>
      </c>
      <c r="H692" t="s">
        <v>11</v>
      </c>
    </row>
    <row r="693" spans="1:8" x14ac:dyDescent="0.45">
      <c r="A693">
        <v>3942</v>
      </c>
      <c r="B693">
        <v>44374</v>
      </c>
      <c r="C693">
        <v>11</v>
      </c>
      <c r="D693">
        <v>20.149999999999999</v>
      </c>
      <c r="E693" t="s">
        <v>8</v>
      </c>
      <c r="F693" t="s">
        <v>318</v>
      </c>
      <c r="G693" t="s">
        <v>10</v>
      </c>
      <c r="H693" t="s">
        <v>11</v>
      </c>
    </row>
    <row r="694" spans="1:8" x14ac:dyDescent="0.45">
      <c r="A694">
        <v>3942</v>
      </c>
      <c r="B694">
        <v>44374</v>
      </c>
      <c r="C694">
        <v>22</v>
      </c>
      <c r="D694">
        <v>85.99</v>
      </c>
      <c r="E694" t="s">
        <v>8</v>
      </c>
      <c r="F694" t="s">
        <v>318</v>
      </c>
      <c r="G694" t="s">
        <v>10</v>
      </c>
      <c r="H694" t="s">
        <v>17</v>
      </c>
    </row>
    <row r="695" spans="1:8" x14ac:dyDescent="0.45">
      <c r="A695">
        <v>3970</v>
      </c>
      <c r="B695">
        <v>45011</v>
      </c>
      <c r="C695">
        <v>39</v>
      </c>
      <c r="D695">
        <v>28.48</v>
      </c>
      <c r="E695" t="s">
        <v>8</v>
      </c>
      <c r="F695" t="s">
        <v>319</v>
      </c>
      <c r="G695" t="s">
        <v>20</v>
      </c>
      <c r="H695" t="s">
        <v>17</v>
      </c>
    </row>
    <row r="696" spans="1:8" x14ac:dyDescent="0.45">
      <c r="A696">
        <v>3973</v>
      </c>
      <c r="B696">
        <v>45008</v>
      </c>
      <c r="C696">
        <v>21</v>
      </c>
      <c r="D696">
        <v>15.68</v>
      </c>
      <c r="E696" t="s">
        <v>8</v>
      </c>
      <c r="F696" t="s">
        <v>320</v>
      </c>
      <c r="G696" t="s">
        <v>13</v>
      </c>
      <c r="H696" t="s">
        <v>15</v>
      </c>
    </row>
    <row r="697" spans="1:8" x14ac:dyDescent="0.45">
      <c r="A697">
        <v>4004</v>
      </c>
      <c r="B697">
        <v>44322</v>
      </c>
      <c r="C697">
        <v>14</v>
      </c>
      <c r="D697">
        <v>4.84</v>
      </c>
      <c r="E697" t="s">
        <v>8</v>
      </c>
      <c r="F697" t="s">
        <v>77</v>
      </c>
      <c r="G697" t="s">
        <v>13</v>
      </c>
      <c r="H697" t="s">
        <v>11</v>
      </c>
    </row>
    <row r="698" spans="1:8" x14ac:dyDescent="0.45">
      <c r="A698">
        <v>4004</v>
      </c>
      <c r="B698">
        <v>44322</v>
      </c>
      <c r="C698">
        <v>44</v>
      </c>
      <c r="D698">
        <v>34.58</v>
      </c>
      <c r="E698" t="s">
        <v>8</v>
      </c>
      <c r="F698" t="s">
        <v>77</v>
      </c>
      <c r="G698" t="s">
        <v>13</v>
      </c>
      <c r="H698" t="s">
        <v>11</v>
      </c>
    </row>
    <row r="699" spans="1:8" x14ac:dyDescent="0.45">
      <c r="A699">
        <v>4006</v>
      </c>
      <c r="B699">
        <v>44564</v>
      </c>
      <c r="C699">
        <v>38</v>
      </c>
      <c r="D699">
        <v>37.94</v>
      </c>
      <c r="E699" t="s">
        <v>8</v>
      </c>
      <c r="F699" t="s">
        <v>117</v>
      </c>
      <c r="G699" t="s">
        <v>13</v>
      </c>
      <c r="H699" t="s">
        <v>11</v>
      </c>
    </row>
    <row r="700" spans="1:8" x14ac:dyDescent="0.45">
      <c r="A700">
        <v>4007</v>
      </c>
      <c r="B700">
        <v>44364</v>
      </c>
      <c r="C700">
        <v>18</v>
      </c>
      <c r="D700">
        <v>56.96</v>
      </c>
      <c r="E700" t="s">
        <v>8</v>
      </c>
      <c r="F700" t="s">
        <v>321</v>
      </c>
      <c r="G700" t="s">
        <v>13</v>
      </c>
      <c r="H700" t="s">
        <v>11</v>
      </c>
    </row>
    <row r="701" spans="1:8" x14ac:dyDescent="0.45">
      <c r="A701">
        <v>4007</v>
      </c>
      <c r="B701">
        <v>44364</v>
      </c>
      <c r="C701">
        <v>1</v>
      </c>
      <c r="D701">
        <v>279.48</v>
      </c>
      <c r="E701" t="s">
        <v>8</v>
      </c>
      <c r="F701" t="s">
        <v>321</v>
      </c>
      <c r="G701" t="s">
        <v>13</v>
      </c>
      <c r="H701" t="s">
        <v>11</v>
      </c>
    </row>
    <row r="702" spans="1:8" x14ac:dyDescent="0.45">
      <c r="A702">
        <v>4033</v>
      </c>
      <c r="B702">
        <v>44348</v>
      </c>
      <c r="C702">
        <v>21</v>
      </c>
      <c r="D702">
        <v>34.76</v>
      </c>
      <c r="E702" t="s">
        <v>8</v>
      </c>
      <c r="F702" t="s">
        <v>251</v>
      </c>
      <c r="G702" t="s">
        <v>23</v>
      </c>
      <c r="H702" t="s">
        <v>11</v>
      </c>
    </row>
    <row r="703" spans="1:8" x14ac:dyDescent="0.45">
      <c r="A703">
        <v>4034</v>
      </c>
      <c r="B703">
        <v>44513</v>
      </c>
      <c r="C703">
        <v>44</v>
      </c>
      <c r="D703">
        <v>79.52</v>
      </c>
      <c r="E703" t="s">
        <v>8</v>
      </c>
      <c r="F703" t="s">
        <v>322</v>
      </c>
      <c r="G703" t="s">
        <v>10</v>
      </c>
      <c r="H703" t="s">
        <v>15</v>
      </c>
    </row>
    <row r="704" spans="1:8" x14ac:dyDescent="0.45">
      <c r="A704">
        <v>4037</v>
      </c>
      <c r="B704">
        <v>44278</v>
      </c>
      <c r="C704">
        <v>27</v>
      </c>
      <c r="D704">
        <v>6.48</v>
      </c>
      <c r="E704" t="s">
        <v>8</v>
      </c>
      <c r="F704" t="s">
        <v>323</v>
      </c>
      <c r="G704" t="s">
        <v>13</v>
      </c>
      <c r="H704" t="s">
        <v>11</v>
      </c>
    </row>
    <row r="705" spans="1:8" x14ac:dyDescent="0.45">
      <c r="A705">
        <v>4067</v>
      </c>
      <c r="B705">
        <v>45205</v>
      </c>
      <c r="C705">
        <v>16</v>
      </c>
      <c r="D705">
        <v>7.1</v>
      </c>
      <c r="E705" t="s">
        <v>8</v>
      </c>
      <c r="F705" t="s">
        <v>154</v>
      </c>
      <c r="G705" t="s">
        <v>13</v>
      </c>
      <c r="H705" t="s">
        <v>11</v>
      </c>
    </row>
    <row r="706" spans="1:8" x14ac:dyDescent="0.45">
      <c r="A706">
        <v>4069</v>
      </c>
      <c r="B706">
        <v>45058</v>
      </c>
      <c r="C706">
        <v>8</v>
      </c>
      <c r="D706">
        <v>6.48</v>
      </c>
      <c r="E706" t="s">
        <v>8</v>
      </c>
      <c r="F706" t="s">
        <v>125</v>
      </c>
      <c r="G706" t="s">
        <v>23</v>
      </c>
      <c r="H706" t="s">
        <v>11</v>
      </c>
    </row>
    <row r="707" spans="1:8" x14ac:dyDescent="0.45">
      <c r="A707">
        <v>4069</v>
      </c>
      <c r="B707">
        <v>45058</v>
      </c>
      <c r="C707">
        <v>30</v>
      </c>
      <c r="D707">
        <v>2.62</v>
      </c>
      <c r="E707" t="s">
        <v>8</v>
      </c>
      <c r="F707" t="s">
        <v>125</v>
      </c>
      <c r="G707" t="s">
        <v>23</v>
      </c>
      <c r="H707" t="s">
        <v>11</v>
      </c>
    </row>
    <row r="708" spans="1:8" x14ac:dyDescent="0.45">
      <c r="A708">
        <v>4096</v>
      </c>
      <c r="B708">
        <v>45109</v>
      </c>
      <c r="C708">
        <v>21</v>
      </c>
      <c r="D708">
        <v>6.3</v>
      </c>
      <c r="E708" t="s">
        <v>8</v>
      </c>
      <c r="F708" t="s">
        <v>82</v>
      </c>
      <c r="G708" t="s">
        <v>13</v>
      </c>
      <c r="H708" t="s">
        <v>11</v>
      </c>
    </row>
    <row r="709" spans="1:8" x14ac:dyDescent="0.45">
      <c r="A709">
        <v>4099</v>
      </c>
      <c r="B709">
        <v>45158</v>
      </c>
      <c r="C709">
        <v>42</v>
      </c>
      <c r="D709">
        <v>42.76</v>
      </c>
      <c r="E709" t="s">
        <v>8</v>
      </c>
      <c r="F709" t="s">
        <v>127</v>
      </c>
      <c r="G709" t="s">
        <v>23</v>
      </c>
      <c r="H709" t="s">
        <v>11</v>
      </c>
    </row>
    <row r="710" spans="1:8" x14ac:dyDescent="0.45">
      <c r="A710">
        <v>4099</v>
      </c>
      <c r="B710">
        <v>45158</v>
      </c>
      <c r="C710">
        <v>12</v>
      </c>
      <c r="D710">
        <v>9.7799999999999994</v>
      </c>
      <c r="E710" t="s">
        <v>8</v>
      </c>
      <c r="F710" t="s">
        <v>127</v>
      </c>
      <c r="G710" t="s">
        <v>23</v>
      </c>
      <c r="H710" t="s">
        <v>11</v>
      </c>
    </row>
    <row r="711" spans="1:8" x14ac:dyDescent="0.45">
      <c r="A711">
        <v>4099</v>
      </c>
      <c r="B711">
        <v>45158</v>
      </c>
      <c r="C711">
        <v>4</v>
      </c>
      <c r="D711">
        <v>9.48</v>
      </c>
      <c r="E711" t="s">
        <v>8</v>
      </c>
      <c r="F711" t="s">
        <v>127</v>
      </c>
      <c r="G711" t="s">
        <v>23</v>
      </c>
      <c r="H711" t="s">
        <v>15</v>
      </c>
    </row>
    <row r="712" spans="1:8" x14ac:dyDescent="0.45">
      <c r="A712">
        <v>4099</v>
      </c>
      <c r="B712">
        <v>45158</v>
      </c>
      <c r="C712">
        <v>39</v>
      </c>
      <c r="D712">
        <v>110.99</v>
      </c>
      <c r="E712" t="s">
        <v>8</v>
      </c>
      <c r="F712" t="s">
        <v>127</v>
      </c>
      <c r="G712" t="s">
        <v>23</v>
      </c>
      <c r="H712" t="s">
        <v>17</v>
      </c>
    </row>
    <row r="713" spans="1:8" x14ac:dyDescent="0.45">
      <c r="A713">
        <v>4103</v>
      </c>
      <c r="B713">
        <v>45109</v>
      </c>
      <c r="C713">
        <v>3</v>
      </c>
      <c r="D713">
        <v>11.66</v>
      </c>
      <c r="E713" t="s">
        <v>8</v>
      </c>
      <c r="F713" t="s">
        <v>302</v>
      </c>
      <c r="G713" t="s">
        <v>20</v>
      </c>
      <c r="H713" t="s">
        <v>11</v>
      </c>
    </row>
    <row r="714" spans="1:8" x14ac:dyDescent="0.45">
      <c r="A714">
        <v>4128</v>
      </c>
      <c r="B714">
        <v>44840</v>
      </c>
      <c r="C714">
        <v>38</v>
      </c>
      <c r="D714">
        <v>9.99</v>
      </c>
      <c r="E714" t="s">
        <v>8</v>
      </c>
      <c r="F714" t="s">
        <v>324</v>
      </c>
      <c r="G714" t="s">
        <v>23</v>
      </c>
      <c r="H714" t="s">
        <v>11</v>
      </c>
    </row>
    <row r="715" spans="1:8" x14ac:dyDescent="0.45">
      <c r="A715">
        <v>4132</v>
      </c>
      <c r="B715">
        <v>44709</v>
      </c>
      <c r="C715">
        <v>5</v>
      </c>
      <c r="D715">
        <v>2.88</v>
      </c>
      <c r="E715" t="s">
        <v>8</v>
      </c>
      <c r="F715" t="s">
        <v>325</v>
      </c>
      <c r="G715" t="s">
        <v>13</v>
      </c>
      <c r="H715" t="s">
        <v>11</v>
      </c>
    </row>
    <row r="716" spans="1:8" x14ac:dyDescent="0.45">
      <c r="A716">
        <v>4134</v>
      </c>
      <c r="B716">
        <v>44572</v>
      </c>
      <c r="C716">
        <v>23</v>
      </c>
      <c r="D716">
        <v>30.97</v>
      </c>
      <c r="E716" t="s">
        <v>8</v>
      </c>
      <c r="F716" t="s">
        <v>326</v>
      </c>
      <c r="G716" t="s">
        <v>10</v>
      </c>
      <c r="H716" t="s">
        <v>17</v>
      </c>
    </row>
    <row r="717" spans="1:8" x14ac:dyDescent="0.45">
      <c r="A717">
        <v>4162</v>
      </c>
      <c r="B717">
        <v>44966</v>
      </c>
      <c r="C717">
        <v>2</v>
      </c>
      <c r="D717">
        <v>193.17</v>
      </c>
      <c r="E717" t="s">
        <v>8</v>
      </c>
      <c r="F717" t="s">
        <v>327</v>
      </c>
      <c r="G717" t="s">
        <v>10</v>
      </c>
      <c r="H717" t="s">
        <v>11</v>
      </c>
    </row>
    <row r="718" spans="1:8" x14ac:dyDescent="0.45">
      <c r="A718">
        <v>4166</v>
      </c>
      <c r="B718">
        <v>44254</v>
      </c>
      <c r="C718">
        <v>19</v>
      </c>
      <c r="D718">
        <v>7.1</v>
      </c>
      <c r="E718" t="s">
        <v>8</v>
      </c>
      <c r="F718" t="s">
        <v>235</v>
      </c>
      <c r="G718" t="s">
        <v>13</v>
      </c>
      <c r="H718" t="s">
        <v>11</v>
      </c>
    </row>
    <row r="719" spans="1:8" x14ac:dyDescent="0.45">
      <c r="A719">
        <v>4193</v>
      </c>
      <c r="B719">
        <v>43838</v>
      </c>
      <c r="C719">
        <v>16</v>
      </c>
      <c r="D719">
        <v>4.13</v>
      </c>
      <c r="E719" t="s">
        <v>8</v>
      </c>
      <c r="F719" t="s">
        <v>279</v>
      </c>
      <c r="G719" t="s">
        <v>20</v>
      </c>
      <c r="H719" t="s">
        <v>11</v>
      </c>
    </row>
    <row r="720" spans="1:8" x14ac:dyDescent="0.45">
      <c r="A720">
        <v>4193</v>
      </c>
      <c r="B720">
        <v>43838</v>
      </c>
      <c r="C720">
        <v>3</v>
      </c>
      <c r="D720">
        <v>22.72</v>
      </c>
      <c r="E720" t="s">
        <v>8</v>
      </c>
      <c r="F720" t="s">
        <v>279</v>
      </c>
      <c r="G720" t="s">
        <v>20</v>
      </c>
      <c r="H720" t="s">
        <v>15</v>
      </c>
    </row>
    <row r="721" spans="1:8" x14ac:dyDescent="0.45">
      <c r="A721">
        <v>4195</v>
      </c>
      <c r="B721">
        <v>44344</v>
      </c>
      <c r="C721">
        <v>30</v>
      </c>
      <c r="D721">
        <v>8.5</v>
      </c>
      <c r="E721" t="s">
        <v>8</v>
      </c>
      <c r="F721" t="s">
        <v>232</v>
      </c>
      <c r="G721" t="s">
        <v>13</v>
      </c>
      <c r="H721" t="s">
        <v>17</v>
      </c>
    </row>
    <row r="722" spans="1:8" x14ac:dyDescent="0.45">
      <c r="A722">
        <v>4230</v>
      </c>
      <c r="B722">
        <v>44988</v>
      </c>
      <c r="C722">
        <v>18</v>
      </c>
      <c r="D722">
        <v>22.72</v>
      </c>
      <c r="E722" t="s">
        <v>8</v>
      </c>
      <c r="F722" t="s">
        <v>329</v>
      </c>
      <c r="G722" t="s">
        <v>13</v>
      </c>
      <c r="H722" t="s">
        <v>15</v>
      </c>
    </row>
    <row r="723" spans="1:8" x14ac:dyDescent="0.45">
      <c r="A723">
        <v>4257</v>
      </c>
      <c r="B723">
        <v>44644</v>
      </c>
      <c r="C723">
        <v>45</v>
      </c>
      <c r="D723">
        <v>5.58</v>
      </c>
      <c r="E723" t="s">
        <v>8</v>
      </c>
      <c r="F723" t="s">
        <v>330</v>
      </c>
      <c r="G723" t="s">
        <v>23</v>
      </c>
      <c r="H723" t="s">
        <v>11</v>
      </c>
    </row>
    <row r="724" spans="1:8" x14ac:dyDescent="0.45">
      <c r="A724">
        <v>4261</v>
      </c>
      <c r="B724">
        <v>45201</v>
      </c>
      <c r="C724">
        <v>33</v>
      </c>
      <c r="D724">
        <v>5.98</v>
      </c>
      <c r="E724" t="s">
        <v>8</v>
      </c>
      <c r="F724" t="s">
        <v>136</v>
      </c>
      <c r="G724" t="s">
        <v>13</v>
      </c>
      <c r="H724" t="s">
        <v>11</v>
      </c>
    </row>
    <row r="725" spans="1:8" x14ac:dyDescent="0.45">
      <c r="A725">
        <v>4261</v>
      </c>
      <c r="B725">
        <v>45201</v>
      </c>
      <c r="C725">
        <v>32</v>
      </c>
      <c r="D725">
        <v>300.64999999999998</v>
      </c>
      <c r="E725" t="s">
        <v>8</v>
      </c>
      <c r="F725" t="s">
        <v>136</v>
      </c>
      <c r="G725" t="s">
        <v>13</v>
      </c>
      <c r="H725" t="s">
        <v>11</v>
      </c>
    </row>
    <row r="726" spans="1:8" x14ac:dyDescent="0.45">
      <c r="A726">
        <v>4261</v>
      </c>
      <c r="B726">
        <v>45201</v>
      </c>
      <c r="C726">
        <v>48</v>
      </c>
      <c r="D726">
        <v>5.78</v>
      </c>
      <c r="E726" t="s">
        <v>8</v>
      </c>
      <c r="F726" t="s">
        <v>136</v>
      </c>
      <c r="G726" t="s">
        <v>13</v>
      </c>
      <c r="H726" t="s">
        <v>11</v>
      </c>
    </row>
    <row r="727" spans="1:8" x14ac:dyDescent="0.45">
      <c r="A727">
        <v>4294</v>
      </c>
      <c r="B727">
        <v>45152</v>
      </c>
      <c r="C727">
        <v>8</v>
      </c>
      <c r="D727">
        <v>1.74</v>
      </c>
      <c r="E727" t="s">
        <v>8</v>
      </c>
      <c r="F727" t="s">
        <v>115</v>
      </c>
      <c r="G727" t="s">
        <v>10</v>
      </c>
      <c r="H727" t="s">
        <v>15</v>
      </c>
    </row>
    <row r="728" spans="1:8" x14ac:dyDescent="0.45">
      <c r="A728">
        <v>4324</v>
      </c>
      <c r="B728">
        <v>44758</v>
      </c>
      <c r="C728">
        <v>28</v>
      </c>
      <c r="D728">
        <v>40.97</v>
      </c>
      <c r="E728" t="s">
        <v>8</v>
      </c>
      <c r="F728" t="s">
        <v>331</v>
      </c>
      <c r="G728" t="s">
        <v>10</v>
      </c>
      <c r="H728" t="s">
        <v>11</v>
      </c>
    </row>
    <row r="729" spans="1:8" x14ac:dyDescent="0.45">
      <c r="A729">
        <v>4354</v>
      </c>
      <c r="B729">
        <v>44103</v>
      </c>
      <c r="C729">
        <v>6</v>
      </c>
      <c r="D729">
        <v>7.38</v>
      </c>
      <c r="E729" t="s">
        <v>8</v>
      </c>
      <c r="F729" t="s">
        <v>43</v>
      </c>
      <c r="G729" t="s">
        <v>13</v>
      </c>
      <c r="H729" t="s">
        <v>15</v>
      </c>
    </row>
    <row r="730" spans="1:8" x14ac:dyDescent="0.45">
      <c r="A730">
        <v>4359</v>
      </c>
      <c r="B730">
        <v>44257</v>
      </c>
      <c r="C730">
        <v>21</v>
      </c>
      <c r="D730">
        <v>10.9</v>
      </c>
      <c r="E730" t="s">
        <v>8</v>
      </c>
      <c r="F730" t="s">
        <v>332</v>
      </c>
      <c r="G730" t="s">
        <v>20</v>
      </c>
      <c r="H730" t="s">
        <v>11</v>
      </c>
    </row>
    <row r="731" spans="1:8" x14ac:dyDescent="0.45">
      <c r="A731">
        <v>4389</v>
      </c>
      <c r="B731">
        <v>43955</v>
      </c>
      <c r="C731">
        <v>35</v>
      </c>
      <c r="D731">
        <v>5.34</v>
      </c>
      <c r="E731" t="s">
        <v>8</v>
      </c>
      <c r="F731" t="s">
        <v>333</v>
      </c>
      <c r="G731" t="s">
        <v>13</v>
      </c>
      <c r="H731" t="s">
        <v>11</v>
      </c>
    </row>
    <row r="732" spans="1:8" x14ac:dyDescent="0.45">
      <c r="A732">
        <v>4391</v>
      </c>
      <c r="B732">
        <v>44974</v>
      </c>
      <c r="C732">
        <v>20</v>
      </c>
      <c r="D732">
        <v>155.99</v>
      </c>
      <c r="E732" t="s">
        <v>8</v>
      </c>
      <c r="F732" t="s">
        <v>102</v>
      </c>
      <c r="G732" t="s">
        <v>20</v>
      </c>
      <c r="H732" t="s">
        <v>17</v>
      </c>
    </row>
    <row r="733" spans="1:8" x14ac:dyDescent="0.45">
      <c r="A733">
        <v>4416</v>
      </c>
      <c r="B733">
        <v>45106</v>
      </c>
      <c r="C733">
        <v>46</v>
      </c>
      <c r="D733">
        <v>165.98</v>
      </c>
      <c r="E733" t="s">
        <v>8</v>
      </c>
      <c r="F733" t="s">
        <v>334</v>
      </c>
      <c r="G733" t="s">
        <v>13</v>
      </c>
      <c r="H733" t="s">
        <v>11</v>
      </c>
    </row>
    <row r="734" spans="1:8" x14ac:dyDescent="0.45">
      <c r="A734">
        <v>4422</v>
      </c>
      <c r="B734">
        <v>44702</v>
      </c>
      <c r="C734">
        <v>12</v>
      </c>
      <c r="D734">
        <v>25.38</v>
      </c>
      <c r="E734" t="s">
        <v>8</v>
      </c>
      <c r="F734" t="s">
        <v>335</v>
      </c>
      <c r="G734" t="s">
        <v>23</v>
      </c>
      <c r="H734" t="s">
        <v>15</v>
      </c>
    </row>
    <row r="735" spans="1:8" x14ac:dyDescent="0.45">
      <c r="A735">
        <v>4422</v>
      </c>
      <c r="B735">
        <v>44702</v>
      </c>
      <c r="C735">
        <v>17</v>
      </c>
      <c r="D735">
        <v>21.38</v>
      </c>
      <c r="E735" t="s">
        <v>8</v>
      </c>
      <c r="F735" t="s">
        <v>335</v>
      </c>
      <c r="G735" t="s">
        <v>23</v>
      </c>
      <c r="H735" t="s">
        <v>11</v>
      </c>
    </row>
    <row r="736" spans="1:8" x14ac:dyDescent="0.45">
      <c r="A736">
        <v>4451</v>
      </c>
      <c r="B736">
        <v>44104</v>
      </c>
      <c r="C736">
        <v>47</v>
      </c>
      <c r="D736">
        <v>21.38</v>
      </c>
      <c r="E736" t="s">
        <v>8</v>
      </c>
      <c r="F736" t="s">
        <v>138</v>
      </c>
      <c r="G736" t="s">
        <v>13</v>
      </c>
      <c r="H736" t="s">
        <v>11</v>
      </c>
    </row>
    <row r="737" spans="1:8" x14ac:dyDescent="0.45">
      <c r="A737">
        <v>4454</v>
      </c>
      <c r="B737">
        <v>43862</v>
      </c>
      <c r="C737">
        <v>17</v>
      </c>
      <c r="D737">
        <v>3.08</v>
      </c>
      <c r="E737" t="s">
        <v>8</v>
      </c>
      <c r="F737" t="s">
        <v>334</v>
      </c>
      <c r="G737" t="s">
        <v>13</v>
      </c>
      <c r="H737" t="s">
        <v>11</v>
      </c>
    </row>
    <row r="738" spans="1:8" x14ac:dyDescent="0.45">
      <c r="A738">
        <v>4455</v>
      </c>
      <c r="B738">
        <v>44479</v>
      </c>
      <c r="C738">
        <v>39</v>
      </c>
      <c r="D738">
        <v>7.59</v>
      </c>
      <c r="E738" t="s">
        <v>8</v>
      </c>
      <c r="F738" t="s">
        <v>336</v>
      </c>
      <c r="G738" t="s">
        <v>10</v>
      </c>
      <c r="H738" t="s">
        <v>15</v>
      </c>
    </row>
    <row r="739" spans="1:8" x14ac:dyDescent="0.45">
      <c r="A739">
        <v>4487</v>
      </c>
      <c r="B739">
        <v>44249</v>
      </c>
      <c r="C739">
        <v>50</v>
      </c>
      <c r="D739">
        <v>6.54</v>
      </c>
      <c r="E739" t="s">
        <v>8</v>
      </c>
      <c r="F739" t="s">
        <v>337</v>
      </c>
      <c r="G739" t="s">
        <v>10</v>
      </c>
      <c r="H739" t="s">
        <v>11</v>
      </c>
    </row>
    <row r="740" spans="1:8" x14ac:dyDescent="0.45">
      <c r="A740">
        <v>4514</v>
      </c>
      <c r="B740">
        <v>43950</v>
      </c>
      <c r="C740">
        <v>28</v>
      </c>
      <c r="D740">
        <v>125.99</v>
      </c>
      <c r="E740" t="s">
        <v>8</v>
      </c>
      <c r="F740" t="s">
        <v>252</v>
      </c>
      <c r="G740" t="s">
        <v>23</v>
      </c>
      <c r="H740" t="s">
        <v>17</v>
      </c>
    </row>
    <row r="741" spans="1:8" x14ac:dyDescent="0.45">
      <c r="A741">
        <v>4515</v>
      </c>
      <c r="B741">
        <v>45001</v>
      </c>
      <c r="C741">
        <v>7</v>
      </c>
      <c r="D741">
        <v>120.97</v>
      </c>
      <c r="E741" t="s">
        <v>8</v>
      </c>
      <c r="F741" t="s">
        <v>204</v>
      </c>
      <c r="G741" t="s">
        <v>23</v>
      </c>
      <c r="H741" t="s">
        <v>17</v>
      </c>
    </row>
    <row r="742" spans="1:8" x14ac:dyDescent="0.45">
      <c r="A742">
        <v>4516</v>
      </c>
      <c r="B742">
        <v>43918</v>
      </c>
      <c r="C742">
        <v>42</v>
      </c>
      <c r="D742">
        <v>6.68</v>
      </c>
      <c r="E742" t="s">
        <v>8</v>
      </c>
      <c r="F742" t="s">
        <v>338</v>
      </c>
      <c r="G742" t="s">
        <v>10</v>
      </c>
      <c r="H742" t="s">
        <v>11</v>
      </c>
    </row>
    <row r="743" spans="1:8" x14ac:dyDescent="0.45">
      <c r="A743">
        <v>4545</v>
      </c>
      <c r="B743">
        <v>44212</v>
      </c>
      <c r="C743">
        <v>33</v>
      </c>
      <c r="D743">
        <v>4</v>
      </c>
      <c r="E743" t="s">
        <v>8</v>
      </c>
      <c r="F743" t="s">
        <v>29</v>
      </c>
      <c r="G743" t="s">
        <v>10</v>
      </c>
      <c r="H743" t="s">
        <v>11</v>
      </c>
    </row>
    <row r="744" spans="1:8" x14ac:dyDescent="0.45">
      <c r="A744">
        <v>4545</v>
      </c>
      <c r="B744">
        <v>44212</v>
      </c>
      <c r="C744">
        <v>4</v>
      </c>
      <c r="D744">
        <v>6.48</v>
      </c>
      <c r="E744" t="s">
        <v>8</v>
      </c>
      <c r="F744" t="s">
        <v>29</v>
      </c>
      <c r="G744" t="s">
        <v>10</v>
      </c>
      <c r="H744" t="s">
        <v>11</v>
      </c>
    </row>
    <row r="745" spans="1:8" x14ac:dyDescent="0.45">
      <c r="A745">
        <v>4578</v>
      </c>
      <c r="B745">
        <v>45181</v>
      </c>
      <c r="C745">
        <v>45</v>
      </c>
      <c r="D745">
        <v>6.48</v>
      </c>
      <c r="E745" t="s">
        <v>8</v>
      </c>
      <c r="F745" t="s">
        <v>293</v>
      </c>
      <c r="G745" t="s">
        <v>13</v>
      </c>
      <c r="H745" t="s">
        <v>11</v>
      </c>
    </row>
    <row r="746" spans="1:8" x14ac:dyDescent="0.45">
      <c r="A746">
        <v>4578</v>
      </c>
      <c r="B746">
        <v>45181</v>
      </c>
      <c r="C746">
        <v>48</v>
      </c>
      <c r="D746">
        <v>14.81</v>
      </c>
      <c r="E746" t="s">
        <v>8</v>
      </c>
      <c r="F746" t="s">
        <v>293</v>
      </c>
      <c r="G746" t="s">
        <v>13</v>
      </c>
      <c r="H746" t="s">
        <v>11</v>
      </c>
    </row>
    <row r="747" spans="1:8" x14ac:dyDescent="0.45">
      <c r="A747">
        <v>4578</v>
      </c>
      <c r="B747">
        <v>45181</v>
      </c>
      <c r="C747">
        <v>15</v>
      </c>
      <c r="D747">
        <v>20.239999999999998</v>
      </c>
      <c r="E747" t="s">
        <v>8</v>
      </c>
      <c r="F747" t="s">
        <v>293</v>
      </c>
      <c r="G747" t="s">
        <v>13</v>
      </c>
      <c r="H747" t="s">
        <v>15</v>
      </c>
    </row>
    <row r="748" spans="1:8" x14ac:dyDescent="0.45">
      <c r="A748">
        <v>4579</v>
      </c>
      <c r="B748">
        <v>44895</v>
      </c>
      <c r="C748">
        <v>40</v>
      </c>
      <c r="D748">
        <v>43.41</v>
      </c>
      <c r="E748" t="s">
        <v>8</v>
      </c>
      <c r="F748" t="s">
        <v>339</v>
      </c>
      <c r="G748" t="s">
        <v>10</v>
      </c>
      <c r="H748" t="s">
        <v>11</v>
      </c>
    </row>
    <row r="749" spans="1:8" x14ac:dyDescent="0.45">
      <c r="A749">
        <v>4581</v>
      </c>
      <c r="B749">
        <v>45172</v>
      </c>
      <c r="C749">
        <v>25</v>
      </c>
      <c r="D749">
        <v>90.48</v>
      </c>
      <c r="E749" t="s">
        <v>8</v>
      </c>
      <c r="F749" t="s">
        <v>129</v>
      </c>
      <c r="G749" t="s">
        <v>20</v>
      </c>
      <c r="H749" t="s">
        <v>11</v>
      </c>
    </row>
    <row r="750" spans="1:8" x14ac:dyDescent="0.45">
      <c r="A750">
        <v>4610</v>
      </c>
      <c r="B750">
        <v>44364</v>
      </c>
      <c r="C750">
        <v>8</v>
      </c>
      <c r="D750">
        <v>8.33</v>
      </c>
      <c r="E750" t="s">
        <v>8</v>
      </c>
      <c r="F750" t="s">
        <v>341</v>
      </c>
      <c r="G750" t="s">
        <v>10</v>
      </c>
      <c r="H750" t="s">
        <v>17</v>
      </c>
    </row>
    <row r="751" spans="1:8" x14ac:dyDescent="0.45">
      <c r="A751">
        <v>4610</v>
      </c>
      <c r="B751">
        <v>44364</v>
      </c>
      <c r="C751">
        <v>29</v>
      </c>
      <c r="D751">
        <v>15.67</v>
      </c>
      <c r="E751" t="s">
        <v>8</v>
      </c>
      <c r="F751" t="s">
        <v>341</v>
      </c>
      <c r="G751" t="s">
        <v>10</v>
      </c>
      <c r="H751" t="s">
        <v>11</v>
      </c>
    </row>
    <row r="752" spans="1:8" x14ac:dyDescent="0.45">
      <c r="A752">
        <v>4612</v>
      </c>
      <c r="B752">
        <v>44458</v>
      </c>
      <c r="C752">
        <v>9</v>
      </c>
      <c r="D752">
        <v>4.4800000000000004</v>
      </c>
      <c r="E752" t="s">
        <v>8</v>
      </c>
      <c r="F752" t="s">
        <v>145</v>
      </c>
      <c r="G752" t="s">
        <v>13</v>
      </c>
      <c r="H752" t="s">
        <v>11</v>
      </c>
    </row>
    <row r="753" spans="1:8" x14ac:dyDescent="0.45">
      <c r="A753">
        <v>4642</v>
      </c>
      <c r="B753">
        <v>44618</v>
      </c>
      <c r="C753">
        <v>9</v>
      </c>
      <c r="D753">
        <v>7.28</v>
      </c>
      <c r="E753" t="s">
        <v>8</v>
      </c>
      <c r="F753" t="s">
        <v>154</v>
      </c>
      <c r="G753" t="s">
        <v>13</v>
      </c>
      <c r="H753" t="s">
        <v>17</v>
      </c>
    </row>
    <row r="754" spans="1:8" x14ac:dyDescent="0.45">
      <c r="A754">
        <v>4645</v>
      </c>
      <c r="B754">
        <v>44093</v>
      </c>
      <c r="C754">
        <v>30</v>
      </c>
      <c r="D754">
        <v>30.73</v>
      </c>
      <c r="E754" t="s">
        <v>8</v>
      </c>
      <c r="F754" t="s">
        <v>342</v>
      </c>
      <c r="G754" t="s">
        <v>10</v>
      </c>
      <c r="H754" t="s">
        <v>17</v>
      </c>
    </row>
    <row r="755" spans="1:8" x14ac:dyDescent="0.45">
      <c r="A755">
        <v>4645</v>
      </c>
      <c r="B755">
        <v>44093</v>
      </c>
      <c r="C755">
        <v>7</v>
      </c>
      <c r="D755">
        <v>14.56</v>
      </c>
      <c r="E755" t="s">
        <v>8</v>
      </c>
      <c r="F755" t="s">
        <v>342</v>
      </c>
      <c r="G755" t="s">
        <v>10</v>
      </c>
      <c r="H755" t="s">
        <v>11</v>
      </c>
    </row>
    <row r="756" spans="1:8" x14ac:dyDescent="0.45">
      <c r="A756">
        <v>4645</v>
      </c>
      <c r="B756">
        <v>44093</v>
      </c>
      <c r="C756">
        <v>11</v>
      </c>
      <c r="D756">
        <v>299.99</v>
      </c>
      <c r="E756" t="s">
        <v>8</v>
      </c>
      <c r="F756" t="s">
        <v>342</v>
      </c>
      <c r="G756" t="s">
        <v>10</v>
      </c>
      <c r="H756" t="s">
        <v>17</v>
      </c>
    </row>
    <row r="757" spans="1:8" x14ac:dyDescent="0.45">
      <c r="A757">
        <v>4647</v>
      </c>
      <c r="B757">
        <v>43964</v>
      </c>
      <c r="C757">
        <v>33</v>
      </c>
      <c r="D757">
        <v>55.99</v>
      </c>
      <c r="E757" t="s">
        <v>8</v>
      </c>
      <c r="F757" t="s">
        <v>340</v>
      </c>
      <c r="G757" t="s">
        <v>13</v>
      </c>
      <c r="H757" t="s">
        <v>17</v>
      </c>
    </row>
    <row r="758" spans="1:8" x14ac:dyDescent="0.45">
      <c r="A758">
        <v>4647</v>
      </c>
      <c r="B758">
        <v>43964</v>
      </c>
      <c r="C758">
        <v>34</v>
      </c>
      <c r="D758">
        <v>13.9</v>
      </c>
      <c r="E758" t="s">
        <v>8</v>
      </c>
      <c r="F758" t="s">
        <v>340</v>
      </c>
      <c r="G758" t="s">
        <v>13</v>
      </c>
      <c r="H758" t="s">
        <v>11</v>
      </c>
    </row>
    <row r="759" spans="1:8" x14ac:dyDescent="0.45">
      <c r="A759">
        <v>4647</v>
      </c>
      <c r="B759">
        <v>43964</v>
      </c>
      <c r="C759">
        <v>7</v>
      </c>
      <c r="D759">
        <v>162.93</v>
      </c>
      <c r="E759" t="s">
        <v>8</v>
      </c>
      <c r="F759" t="s">
        <v>340</v>
      </c>
      <c r="G759" t="s">
        <v>13</v>
      </c>
      <c r="H759" t="s">
        <v>11</v>
      </c>
    </row>
    <row r="760" spans="1:8" x14ac:dyDescent="0.45">
      <c r="A760">
        <v>4647</v>
      </c>
      <c r="B760">
        <v>43964</v>
      </c>
      <c r="C760">
        <v>6</v>
      </c>
      <c r="D760">
        <v>11.58</v>
      </c>
      <c r="E760" t="s">
        <v>8</v>
      </c>
      <c r="F760" t="s">
        <v>340</v>
      </c>
      <c r="G760" t="s">
        <v>13</v>
      </c>
      <c r="H760" t="s">
        <v>11</v>
      </c>
    </row>
    <row r="761" spans="1:8" x14ac:dyDescent="0.45">
      <c r="A761">
        <v>4672</v>
      </c>
      <c r="B761">
        <v>44871</v>
      </c>
      <c r="C761">
        <v>20</v>
      </c>
      <c r="D761">
        <v>7.7</v>
      </c>
      <c r="E761" t="s">
        <v>8</v>
      </c>
      <c r="F761" t="s">
        <v>310</v>
      </c>
      <c r="G761" t="s">
        <v>13</v>
      </c>
      <c r="H761" t="s">
        <v>15</v>
      </c>
    </row>
    <row r="762" spans="1:8" x14ac:dyDescent="0.45">
      <c r="A762">
        <v>4675</v>
      </c>
      <c r="B762">
        <v>44524</v>
      </c>
      <c r="C762">
        <v>4</v>
      </c>
      <c r="D762">
        <v>3.98</v>
      </c>
      <c r="E762" t="s">
        <v>8</v>
      </c>
      <c r="F762" t="s">
        <v>166</v>
      </c>
      <c r="G762" t="s">
        <v>23</v>
      </c>
      <c r="H762" t="s">
        <v>11</v>
      </c>
    </row>
    <row r="763" spans="1:8" x14ac:dyDescent="0.45">
      <c r="A763">
        <v>4676</v>
      </c>
      <c r="B763">
        <v>44804</v>
      </c>
      <c r="C763">
        <v>11</v>
      </c>
      <c r="D763">
        <v>125.99</v>
      </c>
      <c r="E763" t="s">
        <v>8</v>
      </c>
      <c r="F763" t="s">
        <v>173</v>
      </c>
      <c r="G763" t="s">
        <v>20</v>
      </c>
      <c r="H763" t="s">
        <v>17</v>
      </c>
    </row>
    <row r="764" spans="1:8" x14ac:dyDescent="0.45">
      <c r="A764">
        <v>4676</v>
      </c>
      <c r="B764">
        <v>44804</v>
      </c>
      <c r="C764">
        <v>50</v>
      </c>
      <c r="D764">
        <v>3.75</v>
      </c>
      <c r="E764" t="s">
        <v>8</v>
      </c>
      <c r="F764" t="s">
        <v>173</v>
      </c>
      <c r="G764" t="s">
        <v>20</v>
      </c>
      <c r="H764" t="s">
        <v>11</v>
      </c>
    </row>
    <row r="765" spans="1:8" x14ac:dyDescent="0.45">
      <c r="A765">
        <v>4676</v>
      </c>
      <c r="B765">
        <v>44804</v>
      </c>
      <c r="C765">
        <v>30</v>
      </c>
      <c r="D765">
        <v>155.99</v>
      </c>
      <c r="E765" t="s">
        <v>8</v>
      </c>
      <c r="F765" t="s">
        <v>173</v>
      </c>
      <c r="G765" t="s">
        <v>20</v>
      </c>
      <c r="H765" t="s">
        <v>17</v>
      </c>
    </row>
    <row r="766" spans="1:8" x14ac:dyDescent="0.45">
      <c r="A766">
        <v>4705</v>
      </c>
      <c r="B766">
        <v>45006</v>
      </c>
      <c r="C766">
        <v>16</v>
      </c>
      <c r="D766">
        <v>7.98</v>
      </c>
      <c r="E766" t="s">
        <v>8</v>
      </c>
      <c r="F766" t="s">
        <v>344</v>
      </c>
      <c r="G766" t="s">
        <v>13</v>
      </c>
      <c r="H766" t="s">
        <v>11</v>
      </c>
    </row>
    <row r="767" spans="1:8" x14ac:dyDescent="0.45">
      <c r="A767">
        <v>4706</v>
      </c>
      <c r="B767">
        <v>45288</v>
      </c>
      <c r="C767">
        <v>30</v>
      </c>
      <c r="D767">
        <v>67.28</v>
      </c>
      <c r="E767" t="s">
        <v>8</v>
      </c>
      <c r="F767" t="s">
        <v>269</v>
      </c>
      <c r="G767" t="s">
        <v>10</v>
      </c>
      <c r="H767" t="s">
        <v>11</v>
      </c>
    </row>
    <row r="768" spans="1:8" x14ac:dyDescent="0.45">
      <c r="A768">
        <v>4708</v>
      </c>
      <c r="B768">
        <v>44104</v>
      </c>
      <c r="C768">
        <v>29</v>
      </c>
      <c r="D768">
        <v>6.48</v>
      </c>
      <c r="E768" t="s">
        <v>8</v>
      </c>
      <c r="F768" t="s">
        <v>54</v>
      </c>
      <c r="G768" t="s">
        <v>13</v>
      </c>
      <c r="H768" t="s">
        <v>11</v>
      </c>
    </row>
    <row r="769" spans="1:8" x14ac:dyDescent="0.45">
      <c r="A769">
        <v>4737</v>
      </c>
      <c r="B769">
        <v>44265</v>
      </c>
      <c r="C769">
        <v>49</v>
      </c>
      <c r="D769">
        <v>5.88</v>
      </c>
      <c r="E769" t="s">
        <v>8</v>
      </c>
      <c r="F769" t="s">
        <v>30</v>
      </c>
      <c r="G769" t="s">
        <v>13</v>
      </c>
      <c r="H769" t="s">
        <v>11</v>
      </c>
    </row>
    <row r="770" spans="1:8" x14ac:dyDescent="0.45">
      <c r="A770">
        <v>4738</v>
      </c>
      <c r="B770">
        <v>45023</v>
      </c>
      <c r="C770">
        <v>2</v>
      </c>
      <c r="D770">
        <v>4.71</v>
      </c>
      <c r="E770" t="s">
        <v>8</v>
      </c>
      <c r="F770" t="s">
        <v>105</v>
      </c>
      <c r="G770" t="s">
        <v>20</v>
      </c>
      <c r="H770" t="s">
        <v>11</v>
      </c>
    </row>
    <row r="771" spans="1:8" x14ac:dyDescent="0.45">
      <c r="A771">
        <v>4739</v>
      </c>
      <c r="B771">
        <v>44247</v>
      </c>
      <c r="C771">
        <v>16</v>
      </c>
      <c r="D771">
        <v>2.94</v>
      </c>
      <c r="E771" t="s">
        <v>8</v>
      </c>
      <c r="F771" t="s">
        <v>306</v>
      </c>
      <c r="G771" t="s">
        <v>13</v>
      </c>
      <c r="H771" t="s">
        <v>11</v>
      </c>
    </row>
    <row r="772" spans="1:8" x14ac:dyDescent="0.45">
      <c r="A772">
        <v>4741</v>
      </c>
      <c r="B772">
        <v>45113</v>
      </c>
      <c r="C772">
        <v>40</v>
      </c>
      <c r="D772">
        <v>8.75</v>
      </c>
      <c r="E772" t="s">
        <v>8</v>
      </c>
      <c r="F772" t="s">
        <v>110</v>
      </c>
      <c r="G772" t="s">
        <v>23</v>
      </c>
      <c r="H772" t="s">
        <v>15</v>
      </c>
    </row>
    <row r="773" spans="1:8" x14ac:dyDescent="0.45">
      <c r="A773">
        <v>4743</v>
      </c>
      <c r="B773">
        <v>44285</v>
      </c>
      <c r="C773">
        <v>29</v>
      </c>
      <c r="D773">
        <v>12.97</v>
      </c>
      <c r="E773" t="s">
        <v>8</v>
      </c>
      <c r="F773" t="s">
        <v>282</v>
      </c>
      <c r="G773" t="s">
        <v>20</v>
      </c>
      <c r="H773" t="s">
        <v>11</v>
      </c>
    </row>
    <row r="774" spans="1:8" x14ac:dyDescent="0.45">
      <c r="A774">
        <v>4743</v>
      </c>
      <c r="B774">
        <v>44285</v>
      </c>
      <c r="C774">
        <v>32</v>
      </c>
      <c r="D774">
        <v>20.89</v>
      </c>
      <c r="E774" t="s">
        <v>8</v>
      </c>
      <c r="F774" t="s">
        <v>282</v>
      </c>
      <c r="G774" t="s">
        <v>20</v>
      </c>
      <c r="H774" t="s">
        <v>11</v>
      </c>
    </row>
    <row r="775" spans="1:8" x14ac:dyDescent="0.45">
      <c r="A775">
        <v>4769</v>
      </c>
      <c r="B775">
        <v>44664</v>
      </c>
      <c r="C775">
        <v>41</v>
      </c>
      <c r="D775">
        <v>2.88</v>
      </c>
      <c r="E775" t="s">
        <v>8</v>
      </c>
      <c r="F775" t="s">
        <v>345</v>
      </c>
      <c r="G775" t="s">
        <v>20</v>
      </c>
      <c r="H775" t="s">
        <v>11</v>
      </c>
    </row>
    <row r="776" spans="1:8" x14ac:dyDescent="0.45">
      <c r="A776">
        <v>4772</v>
      </c>
      <c r="B776">
        <v>44087</v>
      </c>
      <c r="C776">
        <v>28</v>
      </c>
      <c r="D776">
        <v>65.989999999999995</v>
      </c>
      <c r="E776" t="s">
        <v>8</v>
      </c>
      <c r="F776" t="s">
        <v>277</v>
      </c>
      <c r="G776" t="s">
        <v>13</v>
      </c>
      <c r="H776" t="s">
        <v>17</v>
      </c>
    </row>
    <row r="777" spans="1:8" x14ac:dyDescent="0.45">
      <c r="A777">
        <v>4773</v>
      </c>
      <c r="B777">
        <v>44917</v>
      </c>
      <c r="C777">
        <v>26</v>
      </c>
      <c r="D777">
        <v>11.58</v>
      </c>
      <c r="E777" t="s">
        <v>8</v>
      </c>
      <c r="F777" t="s">
        <v>45</v>
      </c>
      <c r="G777" t="s">
        <v>20</v>
      </c>
      <c r="H777" t="s">
        <v>11</v>
      </c>
    </row>
    <row r="778" spans="1:8" x14ac:dyDescent="0.45">
      <c r="A778">
        <v>4774</v>
      </c>
      <c r="B778">
        <v>44305</v>
      </c>
      <c r="C778">
        <v>4</v>
      </c>
      <c r="D778">
        <v>32.979999999999997</v>
      </c>
      <c r="E778" t="s">
        <v>8</v>
      </c>
      <c r="F778" t="s">
        <v>346</v>
      </c>
      <c r="G778" t="s">
        <v>13</v>
      </c>
      <c r="H778" t="s">
        <v>17</v>
      </c>
    </row>
    <row r="779" spans="1:8" x14ac:dyDescent="0.45">
      <c r="A779">
        <v>4800</v>
      </c>
      <c r="B779">
        <v>44931</v>
      </c>
      <c r="C779">
        <v>4</v>
      </c>
      <c r="D779">
        <v>8.0399999999999991</v>
      </c>
      <c r="E779" t="s">
        <v>8</v>
      </c>
      <c r="F779" t="s">
        <v>347</v>
      </c>
      <c r="G779" t="s">
        <v>13</v>
      </c>
      <c r="H779" t="s">
        <v>11</v>
      </c>
    </row>
    <row r="780" spans="1:8" x14ac:dyDescent="0.45">
      <c r="A780">
        <v>4800</v>
      </c>
      <c r="B780">
        <v>44931</v>
      </c>
      <c r="C780">
        <v>17</v>
      </c>
      <c r="D780">
        <v>4.91</v>
      </c>
      <c r="E780" t="s">
        <v>8</v>
      </c>
      <c r="F780" t="s">
        <v>347</v>
      </c>
      <c r="G780" t="s">
        <v>13</v>
      </c>
      <c r="H780" t="s">
        <v>11</v>
      </c>
    </row>
    <row r="781" spans="1:8" x14ac:dyDescent="0.45">
      <c r="A781">
        <v>4800</v>
      </c>
      <c r="B781">
        <v>44931</v>
      </c>
      <c r="C781">
        <v>7</v>
      </c>
      <c r="D781">
        <v>11.55</v>
      </c>
      <c r="E781" t="s">
        <v>8</v>
      </c>
      <c r="F781" t="s">
        <v>347</v>
      </c>
      <c r="G781" t="s">
        <v>13</v>
      </c>
      <c r="H781" t="s">
        <v>11</v>
      </c>
    </row>
    <row r="782" spans="1:8" x14ac:dyDescent="0.45">
      <c r="A782">
        <v>4804</v>
      </c>
      <c r="B782">
        <v>44953</v>
      </c>
      <c r="C782">
        <v>13</v>
      </c>
      <c r="D782">
        <v>33.979999999999997</v>
      </c>
      <c r="E782" t="s">
        <v>8</v>
      </c>
      <c r="F782" t="s">
        <v>185</v>
      </c>
      <c r="G782" t="s">
        <v>13</v>
      </c>
      <c r="H782" t="s">
        <v>17</v>
      </c>
    </row>
    <row r="783" spans="1:8" x14ac:dyDescent="0.45">
      <c r="A783">
        <v>4805</v>
      </c>
      <c r="B783">
        <v>45040</v>
      </c>
      <c r="C783">
        <v>7</v>
      </c>
      <c r="D783">
        <v>6.48</v>
      </c>
      <c r="E783" t="s">
        <v>8</v>
      </c>
      <c r="F783" t="s">
        <v>64</v>
      </c>
      <c r="G783" t="s">
        <v>10</v>
      </c>
      <c r="H783" t="s">
        <v>11</v>
      </c>
    </row>
    <row r="784" spans="1:8" x14ac:dyDescent="0.45">
      <c r="A784">
        <v>4835</v>
      </c>
      <c r="B784">
        <v>44128</v>
      </c>
      <c r="C784">
        <v>3</v>
      </c>
      <c r="D784">
        <v>2.52</v>
      </c>
      <c r="E784" t="s">
        <v>8</v>
      </c>
      <c r="F784" t="s">
        <v>102</v>
      </c>
      <c r="G784" t="s">
        <v>20</v>
      </c>
      <c r="H784" t="s">
        <v>11</v>
      </c>
    </row>
    <row r="785" spans="1:8" x14ac:dyDescent="0.45">
      <c r="A785">
        <v>4839</v>
      </c>
      <c r="B785">
        <v>43960</v>
      </c>
      <c r="C785">
        <v>24</v>
      </c>
      <c r="D785">
        <v>6.48</v>
      </c>
      <c r="E785" t="s">
        <v>8</v>
      </c>
      <c r="F785" t="s">
        <v>220</v>
      </c>
      <c r="G785" t="s">
        <v>23</v>
      </c>
      <c r="H785" t="s">
        <v>11</v>
      </c>
    </row>
    <row r="786" spans="1:8" x14ac:dyDescent="0.45">
      <c r="A786">
        <v>4864</v>
      </c>
      <c r="B786">
        <v>45240</v>
      </c>
      <c r="C786">
        <v>16</v>
      </c>
      <c r="D786">
        <v>315.98</v>
      </c>
      <c r="E786" t="s">
        <v>8</v>
      </c>
      <c r="F786" t="s">
        <v>348</v>
      </c>
      <c r="G786" t="s">
        <v>13</v>
      </c>
      <c r="H786" t="s">
        <v>11</v>
      </c>
    </row>
    <row r="787" spans="1:8" x14ac:dyDescent="0.45">
      <c r="A787">
        <v>4871</v>
      </c>
      <c r="B787">
        <v>44723</v>
      </c>
      <c r="C787">
        <v>26</v>
      </c>
      <c r="D787">
        <v>9.31</v>
      </c>
      <c r="E787" t="s">
        <v>8</v>
      </c>
      <c r="F787" t="s">
        <v>349</v>
      </c>
      <c r="G787" t="s">
        <v>23</v>
      </c>
      <c r="H787" t="s">
        <v>11</v>
      </c>
    </row>
    <row r="788" spans="1:8" x14ac:dyDescent="0.45">
      <c r="A788">
        <v>4896</v>
      </c>
      <c r="B788">
        <v>45159</v>
      </c>
      <c r="C788">
        <v>25</v>
      </c>
      <c r="D788">
        <v>35.409999999999997</v>
      </c>
      <c r="E788" t="s">
        <v>8</v>
      </c>
      <c r="F788" t="s">
        <v>350</v>
      </c>
      <c r="G788" t="s">
        <v>10</v>
      </c>
      <c r="H788" t="s">
        <v>17</v>
      </c>
    </row>
    <row r="789" spans="1:8" x14ac:dyDescent="0.45">
      <c r="A789">
        <v>4896</v>
      </c>
      <c r="B789">
        <v>45159</v>
      </c>
      <c r="C789">
        <v>21</v>
      </c>
      <c r="D789">
        <v>5.8</v>
      </c>
      <c r="E789" t="s">
        <v>8</v>
      </c>
      <c r="F789" t="s">
        <v>350</v>
      </c>
      <c r="G789" t="s">
        <v>10</v>
      </c>
      <c r="H789" t="s">
        <v>11</v>
      </c>
    </row>
    <row r="790" spans="1:8" x14ac:dyDescent="0.45">
      <c r="A790">
        <v>4931</v>
      </c>
      <c r="B790">
        <v>44151</v>
      </c>
      <c r="C790">
        <v>22</v>
      </c>
      <c r="D790">
        <v>8.17</v>
      </c>
      <c r="E790" t="s">
        <v>8</v>
      </c>
      <c r="F790" t="s">
        <v>351</v>
      </c>
      <c r="G790" t="s">
        <v>13</v>
      </c>
      <c r="H790" t="s">
        <v>11</v>
      </c>
    </row>
    <row r="791" spans="1:8" x14ac:dyDescent="0.45">
      <c r="A791">
        <v>4931</v>
      </c>
      <c r="B791">
        <v>44151</v>
      </c>
      <c r="C791">
        <v>45</v>
      </c>
      <c r="D791">
        <v>110.99</v>
      </c>
      <c r="E791" t="s">
        <v>8</v>
      </c>
      <c r="F791" t="s">
        <v>351</v>
      </c>
      <c r="G791" t="s">
        <v>13</v>
      </c>
      <c r="H791" t="s">
        <v>17</v>
      </c>
    </row>
    <row r="792" spans="1:8" x14ac:dyDescent="0.45">
      <c r="A792">
        <v>4932</v>
      </c>
      <c r="B792">
        <v>44417</v>
      </c>
      <c r="C792">
        <v>11</v>
      </c>
      <c r="D792">
        <v>10.31</v>
      </c>
      <c r="E792" t="s">
        <v>8</v>
      </c>
      <c r="F792" t="s">
        <v>320</v>
      </c>
      <c r="G792" t="s">
        <v>13</v>
      </c>
      <c r="H792" t="s">
        <v>11</v>
      </c>
    </row>
    <row r="793" spans="1:8" x14ac:dyDescent="0.45">
      <c r="A793">
        <v>4935</v>
      </c>
      <c r="B793">
        <v>44340</v>
      </c>
      <c r="C793">
        <v>30</v>
      </c>
      <c r="D793">
        <v>3.68</v>
      </c>
      <c r="E793" t="s">
        <v>8</v>
      </c>
      <c r="F793" t="s">
        <v>352</v>
      </c>
      <c r="G793" t="s">
        <v>13</v>
      </c>
      <c r="H793" t="s">
        <v>11</v>
      </c>
    </row>
    <row r="794" spans="1:8" x14ac:dyDescent="0.45">
      <c r="A794">
        <v>4965</v>
      </c>
      <c r="B794">
        <v>44489</v>
      </c>
      <c r="C794">
        <v>14</v>
      </c>
      <c r="D794">
        <v>76.72</v>
      </c>
      <c r="E794" t="s">
        <v>8</v>
      </c>
      <c r="F794" t="s">
        <v>47</v>
      </c>
      <c r="G794" t="s">
        <v>13</v>
      </c>
      <c r="H794" t="s">
        <v>11</v>
      </c>
    </row>
    <row r="795" spans="1:8" x14ac:dyDescent="0.45">
      <c r="A795">
        <v>4965</v>
      </c>
      <c r="B795">
        <v>44489</v>
      </c>
      <c r="C795">
        <v>46</v>
      </c>
      <c r="D795">
        <v>5.78</v>
      </c>
      <c r="E795" t="s">
        <v>8</v>
      </c>
      <c r="F795" t="s">
        <v>47</v>
      </c>
      <c r="G795" t="s">
        <v>13</v>
      </c>
      <c r="H795" t="s">
        <v>11</v>
      </c>
    </row>
    <row r="796" spans="1:8" x14ac:dyDescent="0.45">
      <c r="A796">
        <v>4996</v>
      </c>
      <c r="B796">
        <v>45182</v>
      </c>
      <c r="C796">
        <v>30</v>
      </c>
      <c r="D796">
        <v>142.86000000000001</v>
      </c>
      <c r="E796" t="s">
        <v>8</v>
      </c>
      <c r="F796" t="s">
        <v>354</v>
      </c>
      <c r="G796" t="s">
        <v>13</v>
      </c>
      <c r="H796" t="s">
        <v>11</v>
      </c>
    </row>
    <row r="797" spans="1:8" x14ac:dyDescent="0.45">
      <c r="A797">
        <v>5028</v>
      </c>
      <c r="B797">
        <v>45032</v>
      </c>
      <c r="C797">
        <v>10</v>
      </c>
      <c r="D797">
        <v>7.7</v>
      </c>
      <c r="E797" t="s">
        <v>8</v>
      </c>
      <c r="F797" t="s">
        <v>232</v>
      </c>
      <c r="G797" t="s">
        <v>13</v>
      </c>
      <c r="H797" t="s">
        <v>15</v>
      </c>
    </row>
    <row r="798" spans="1:8" x14ac:dyDescent="0.45">
      <c r="A798">
        <v>5061</v>
      </c>
      <c r="B798">
        <v>44421</v>
      </c>
      <c r="C798">
        <v>4</v>
      </c>
      <c r="D798">
        <v>2.88</v>
      </c>
      <c r="E798" t="s">
        <v>8</v>
      </c>
      <c r="F798" t="s">
        <v>356</v>
      </c>
      <c r="G798" t="s">
        <v>13</v>
      </c>
      <c r="H798" t="s">
        <v>11</v>
      </c>
    </row>
    <row r="799" spans="1:8" x14ac:dyDescent="0.45">
      <c r="A799">
        <v>5092</v>
      </c>
      <c r="B799">
        <v>44863</v>
      </c>
      <c r="C799">
        <v>25</v>
      </c>
      <c r="D799">
        <v>38.76</v>
      </c>
      <c r="E799" t="s">
        <v>8</v>
      </c>
      <c r="F799" t="s">
        <v>357</v>
      </c>
      <c r="G799" t="s">
        <v>23</v>
      </c>
      <c r="H799" t="s">
        <v>11</v>
      </c>
    </row>
    <row r="800" spans="1:8" x14ac:dyDescent="0.45">
      <c r="A800">
        <v>5094</v>
      </c>
      <c r="B800">
        <v>44283</v>
      </c>
      <c r="C800">
        <v>2</v>
      </c>
      <c r="D800">
        <v>37.44</v>
      </c>
      <c r="E800" t="s">
        <v>8</v>
      </c>
      <c r="F800" t="s">
        <v>358</v>
      </c>
      <c r="G800" t="s">
        <v>10</v>
      </c>
      <c r="H800" t="s">
        <v>11</v>
      </c>
    </row>
    <row r="801" spans="1:8" x14ac:dyDescent="0.45">
      <c r="A801">
        <v>5095</v>
      </c>
      <c r="B801">
        <v>45037</v>
      </c>
      <c r="C801">
        <v>7</v>
      </c>
      <c r="D801">
        <v>125.99</v>
      </c>
      <c r="E801" t="s">
        <v>8</v>
      </c>
      <c r="F801" t="s">
        <v>359</v>
      </c>
      <c r="G801" t="s">
        <v>13</v>
      </c>
      <c r="H801" t="s">
        <v>17</v>
      </c>
    </row>
    <row r="802" spans="1:8" x14ac:dyDescent="0.45">
      <c r="A802">
        <v>5121</v>
      </c>
      <c r="B802">
        <v>45056</v>
      </c>
      <c r="C802">
        <v>45</v>
      </c>
      <c r="D802">
        <v>55.99</v>
      </c>
      <c r="E802" t="s">
        <v>8</v>
      </c>
      <c r="F802" t="s">
        <v>348</v>
      </c>
      <c r="G802" t="s">
        <v>13</v>
      </c>
      <c r="H802" t="s">
        <v>17</v>
      </c>
    </row>
    <row r="803" spans="1:8" x14ac:dyDescent="0.45">
      <c r="A803">
        <v>5155</v>
      </c>
      <c r="B803">
        <v>43993</v>
      </c>
      <c r="C803">
        <v>14</v>
      </c>
      <c r="D803">
        <v>39.979999999999997</v>
      </c>
      <c r="E803" t="s">
        <v>8</v>
      </c>
      <c r="F803" t="s">
        <v>360</v>
      </c>
      <c r="G803" t="s">
        <v>13</v>
      </c>
      <c r="H803" t="s">
        <v>17</v>
      </c>
    </row>
    <row r="804" spans="1:8" x14ac:dyDescent="0.45">
      <c r="A804">
        <v>5188</v>
      </c>
      <c r="B804">
        <v>44621</v>
      </c>
      <c r="C804">
        <v>24</v>
      </c>
      <c r="D804">
        <v>8.01</v>
      </c>
      <c r="E804" t="s">
        <v>8</v>
      </c>
      <c r="F804" t="s">
        <v>269</v>
      </c>
      <c r="G804" t="s">
        <v>10</v>
      </c>
      <c r="H804" t="s">
        <v>11</v>
      </c>
    </row>
    <row r="805" spans="1:8" x14ac:dyDescent="0.45">
      <c r="A805">
        <v>5189</v>
      </c>
      <c r="B805">
        <v>44525</v>
      </c>
      <c r="C805">
        <v>12</v>
      </c>
      <c r="D805">
        <v>73.98</v>
      </c>
      <c r="E805" t="s">
        <v>8</v>
      </c>
      <c r="F805" t="s">
        <v>307</v>
      </c>
      <c r="G805" t="s">
        <v>13</v>
      </c>
      <c r="H805" t="s">
        <v>17</v>
      </c>
    </row>
    <row r="806" spans="1:8" x14ac:dyDescent="0.45">
      <c r="A806">
        <v>5189</v>
      </c>
      <c r="B806">
        <v>44525</v>
      </c>
      <c r="C806">
        <v>14</v>
      </c>
      <c r="D806">
        <v>140.85</v>
      </c>
      <c r="E806" t="s">
        <v>8</v>
      </c>
      <c r="F806" t="s">
        <v>307</v>
      </c>
      <c r="G806" t="s">
        <v>13</v>
      </c>
      <c r="H806" t="s">
        <v>11</v>
      </c>
    </row>
    <row r="807" spans="1:8" x14ac:dyDescent="0.45">
      <c r="A807">
        <v>5189</v>
      </c>
      <c r="B807">
        <v>44525</v>
      </c>
      <c r="C807">
        <v>8</v>
      </c>
      <c r="D807">
        <v>2.74</v>
      </c>
      <c r="E807" t="s">
        <v>8</v>
      </c>
      <c r="F807" t="s">
        <v>307</v>
      </c>
      <c r="G807" t="s">
        <v>13</v>
      </c>
      <c r="H807" t="s">
        <v>11</v>
      </c>
    </row>
    <row r="808" spans="1:8" x14ac:dyDescent="0.45">
      <c r="A808">
        <v>5217</v>
      </c>
      <c r="B808">
        <v>44846</v>
      </c>
      <c r="C808">
        <v>11</v>
      </c>
      <c r="D808">
        <v>3.08</v>
      </c>
      <c r="E808" t="s">
        <v>8</v>
      </c>
      <c r="F808" t="s">
        <v>246</v>
      </c>
      <c r="G808" t="s">
        <v>20</v>
      </c>
      <c r="H808" t="s">
        <v>11</v>
      </c>
    </row>
    <row r="809" spans="1:8" x14ac:dyDescent="0.45">
      <c r="A809">
        <v>5221</v>
      </c>
      <c r="B809">
        <v>44720</v>
      </c>
      <c r="C809">
        <v>48</v>
      </c>
      <c r="D809">
        <v>28.48</v>
      </c>
      <c r="E809" t="s">
        <v>8</v>
      </c>
      <c r="F809" t="s">
        <v>361</v>
      </c>
      <c r="G809" t="s">
        <v>13</v>
      </c>
      <c r="H809" t="s">
        <v>17</v>
      </c>
    </row>
    <row r="810" spans="1:8" x14ac:dyDescent="0.45">
      <c r="A810">
        <v>5254</v>
      </c>
      <c r="B810">
        <v>45132</v>
      </c>
      <c r="C810">
        <v>31</v>
      </c>
      <c r="D810">
        <v>65.989999999999995</v>
      </c>
      <c r="E810" t="s">
        <v>8</v>
      </c>
      <c r="F810" t="s">
        <v>363</v>
      </c>
      <c r="G810" t="s">
        <v>13</v>
      </c>
      <c r="H810" t="s">
        <v>17</v>
      </c>
    </row>
    <row r="811" spans="1:8" x14ac:dyDescent="0.45">
      <c r="A811">
        <v>5281</v>
      </c>
      <c r="B811">
        <v>44866</v>
      </c>
      <c r="C811">
        <v>14</v>
      </c>
      <c r="D811">
        <v>209.84</v>
      </c>
      <c r="E811" t="s">
        <v>8</v>
      </c>
      <c r="F811" t="s">
        <v>364</v>
      </c>
      <c r="G811" t="s">
        <v>23</v>
      </c>
      <c r="H811" t="s">
        <v>15</v>
      </c>
    </row>
    <row r="812" spans="1:8" x14ac:dyDescent="0.45">
      <c r="A812">
        <v>5283</v>
      </c>
      <c r="B812">
        <v>43985</v>
      </c>
      <c r="C812">
        <v>23</v>
      </c>
      <c r="D812">
        <v>125.99</v>
      </c>
      <c r="E812" t="s">
        <v>8</v>
      </c>
      <c r="F812" t="s">
        <v>282</v>
      </c>
      <c r="G812" t="s">
        <v>20</v>
      </c>
      <c r="H812" t="s">
        <v>17</v>
      </c>
    </row>
    <row r="813" spans="1:8" x14ac:dyDescent="0.45">
      <c r="A813">
        <v>5284</v>
      </c>
      <c r="B813">
        <v>44750</v>
      </c>
      <c r="C813">
        <v>7</v>
      </c>
      <c r="D813">
        <v>8.69</v>
      </c>
      <c r="E813" t="s">
        <v>8</v>
      </c>
      <c r="F813" t="s">
        <v>173</v>
      </c>
      <c r="G813" t="s">
        <v>20</v>
      </c>
      <c r="H813" t="s">
        <v>11</v>
      </c>
    </row>
    <row r="814" spans="1:8" x14ac:dyDescent="0.45">
      <c r="A814">
        <v>5316</v>
      </c>
      <c r="B814">
        <v>43860</v>
      </c>
      <c r="C814">
        <v>42</v>
      </c>
      <c r="D814">
        <v>31.78</v>
      </c>
      <c r="E814" t="s">
        <v>8</v>
      </c>
      <c r="F814" t="s">
        <v>69</v>
      </c>
      <c r="G814" t="s">
        <v>13</v>
      </c>
      <c r="H814" t="s">
        <v>17</v>
      </c>
    </row>
    <row r="815" spans="1:8" x14ac:dyDescent="0.45">
      <c r="A815">
        <v>5317</v>
      </c>
      <c r="B815">
        <v>44082</v>
      </c>
      <c r="C815">
        <v>25</v>
      </c>
      <c r="D815">
        <v>205.99</v>
      </c>
      <c r="E815" t="s">
        <v>8</v>
      </c>
      <c r="F815" t="s">
        <v>240</v>
      </c>
      <c r="G815" t="s">
        <v>10</v>
      </c>
      <c r="H815" t="s">
        <v>17</v>
      </c>
    </row>
    <row r="816" spans="1:8" x14ac:dyDescent="0.45">
      <c r="A816">
        <v>5318</v>
      </c>
      <c r="B816">
        <v>44289</v>
      </c>
      <c r="C816">
        <v>8</v>
      </c>
      <c r="D816">
        <v>131.12</v>
      </c>
      <c r="E816" t="s">
        <v>8</v>
      </c>
      <c r="F816" t="s">
        <v>66</v>
      </c>
      <c r="G816" t="s">
        <v>23</v>
      </c>
      <c r="H816" t="s">
        <v>11</v>
      </c>
    </row>
    <row r="817" spans="1:8" x14ac:dyDescent="0.45">
      <c r="A817">
        <v>5346</v>
      </c>
      <c r="B817">
        <v>44555</v>
      </c>
      <c r="C817">
        <v>34</v>
      </c>
      <c r="D817">
        <v>90.98</v>
      </c>
      <c r="E817" t="s">
        <v>8</v>
      </c>
      <c r="F817" t="s">
        <v>365</v>
      </c>
      <c r="G817" t="s">
        <v>20</v>
      </c>
      <c r="H817" t="s">
        <v>15</v>
      </c>
    </row>
    <row r="818" spans="1:8" x14ac:dyDescent="0.45">
      <c r="A818">
        <v>5347</v>
      </c>
      <c r="B818">
        <v>44613</v>
      </c>
      <c r="C818">
        <v>7</v>
      </c>
      <c r="D818">
        <v>85.99</v>
      </c>
      <c r="E818" t="s">
        <v>8</v>
      </c>
      <c r="F818" t="s">
        <v>366</v>
      </c>
      <c r="G818" t="s">
        <v>13</v>
      </c>
      <c r="H818" t="s">
        <v>17</v>
      </c>
    </row>
    <row r="819" spans="1:8" x14ac:dyDescent="0.45">
      <c r="A819">
        <v>5347</v>
      </c>
      <c r="B819">
        <v>44613</v>
      </c>
      <c r="C819">
        <v>39</v>
      </c>
      <c r="D819">
        <v>7.99</v>
      </c>
      <c r="E819" t="s">
        <v>8</v>
      </c>
      <c r="F819" t="s">
        <v>366</v>
      </c>
      <c r="G819" t="s">
        <v>13</v>
      </c>
      <c r="H819" t="s">
        <v>17</v>
      </c>
    </row>
    <row r="820" spans="1:8" x14ac:dyDescent="0.45">
      <c r="A820">
        <v>5347</v>
      </c>
      <c r="B820">
        <v>44613</v>
      </c>
      <c r="C820">
        <v>1</v>
      </c>
      <c r="D820">
        <v>205.99</v>
      </c>
      <c r="E820" t="s">
        <v>8</v>
      </c>
      <c r="F820" t="s">
        <v>366</v>
      </c>
      <c r="G820" t="s">
        <v>13</v>
      </c>
      <c r="H820" t="s">
        <v>17</v>
      </c>
    </row>
    <row r="821" spans="1:8" x14ac:dyDescent="0.45">
      <c r="A821">
        <v>5350</v>
      </c>
      <c r="B821">
        <v>44478</v>
      </c>
      <c r="C821">
        <v>39</v>
      </c>
      <c r="D821">
        <v>11.33</v>
      </c>
      <c r="E821" t="s">
        <v>8</v>
      </c>
      <c r="F821" t="s">
        <v>367</v>
      </c>
      <c r="G821" t="s">
        <v>23</v>
      </c>
      <c r="H821" t="s">
        <v>11</v>
      </c>
    </row>
    <row r="822" spans="1:8" x14ac:dyDescent="0.45">
      <c r="A822">
        <v>5350</v>
      </c>
      <c r="B822">
        <v>44478</v>
      </c>
      <c r="C822">
        <v>50</v>
      </c>
      <c r="D822">
        <v>140.85</v>
      </c>
      <c r="E822" t="s">
        <v>8</v>
      </c>
      <c r="F822" t="s">
        <v>367</v>
      </c>
      <c r="G822" t="s">
        <v>23</v>
      </c>
      <c r="H822" t="s">
        <v>11</v>
      </c>
    </row>
    <row r="823" spans="1:8" x14ac:dyDescent="0.45">
      <c r="A823">
        <v>5381</v>
      </c>
      <c r="B823">
        <v>44224</v>
      </c>
      <c r="C823">
        <v>47</v>
      </c>
      <c r="D823">
        <v>107.53</v>
      </c>
      <c r="E823" t="s">
        <v>8</v>
      </c>
      <c r="F823" t="s">
        <v>106</v>
      </c>
      <c r="G823" t="s">
        <v>20</v>
      </c>
      <c r="H823" t="s">
        <v>15</v>
      </c>
    </row>
    <row r="824" spans="1:8" x14ac:dyDescent="0.45">
      <c r="A824">
        <v>5381</v>
      </c>
      <c r="B824">
        <v>44224</v>
      </c>
      <c r="C824">
        <v>27</v>
      </c>
      <c r="D824">
        <v>2.1800000000000002</v>
      </c>
      <c r="E824" t="s">
        <v>8</v>
      </c>
      <c r="F824" t="s">
        <v>106</v>
      </c>
      <c r="G824" t="s">
        <v>20</v>
      </c>
      <c r="H824" t="s">
        <v>11</v>
      </c>
    </row>
    <row r="825" spans="1:8" x14ac:dyDescent="0.45">
      <c r="A825">
        <v>5382</v>
      </c>
      <c r="B825">
        <v>44938</v>
      </c>
      <c r="C825">
        <v>30</v>
      </c>
      <c r="D825">
        <v>8.98</v>
      </c>
      <c r="E825" t="s">
        <v>8</v>
      </c>
      <c r="F825" t="s">
        <v>54</v>
      </c>
      <c r="G825" t="s">
        <v>23</v>
      </c>
      <c r="H825" t="s">
        <v>15</v>
      </c>
    </row>
    <row r="826" spans="1:8" x14ac:dyDescent="0.45">
      <c r="A826">
        <v>5408</v>
      </c>
      <c r="B826">
        <v>45127</v>
      </c>
      <c r="C826">
        <v>20</v>
      </c>
      <c r="D826">
        <v>4.13</v>
      </c>
      <c r="E826" t="s">
        <v>8</v>
      </c>
      <c r="F826" t="s">
        <v>226</v>
      </c>
      <c r="G826" t="s">
        <v>10</v>
      </c>
      <c r="H826" t="s">
        <v>11</v>
      </c>
    </row>
    <row r="827" spans="1:8" x14ac:dyDescent="0.45">
      <c r="A827">
        <v>5408</v>
      </c>
      <c r="B827">
        <v>45127</v>
      </c>
      <c r="C827">
        <v>11</v>
      </c>
      <c r="D827">
        <v>209.84</v>
      </c>
      <c r="E827" t="s">
        <v>8</v>
      </c>
      <c r="F827" t="s">
        <v>226</v>
      </c>
      <c r="G827" t="s">
        <v>10</v>
      </c>
      <c r="H827" t="s">
        <v>15</v>
      </c>
    </row>
    <row r="828" spans="1:8" x14ac:dyDescent="0.45">
      <c r="A828">
        <v>5409</v>
      </c>
      <c r="B828">
        <v>44934</v>
      </c>
      <c r="C828">
        <v>11</v>
      </c>
      <c r="D828">
        <v>3.98</v>
      </c>
      <c r="E828" t="s">
        <v>8</v>
      </c>
      <c r="F828" t="s">
        <v>369</v>
      </c>
      <c r="G828" t="s">
        <v>13</v>
      </c>
      <c r="H828" t="s">
        <v>11</v>
      </c>
    </row>
    <row r="829" spans="1:8" x14ac:dyDescent="0.45">
      <c r="A829">
        <v>5441</v>
      </c>
      <c r="B829">
        <v>44032</v>
      </c>
      <c r="C829">
        <v>34</v>
      </c>
      <c r="D829">
        <v>6.48</v>
      </c>
      <c r="E829" t="s">
        <v>8</v>
      </c>
      <c r="F829" t="s">
        <v>370</v>
      </c>
      <c r="G829" t="s">
        <v>23</v>
      </c>
      <c r="H829" t="s">
        <v>11</v>
      </c>
    </row>
    <row r="830" spans="1:8" x14ac:dyDescent="0.45">
      <c r="A830">
        <v>5441</v>
      </c>
      <c r="B830">
        <v>44032</v>
      </c>
      <c r="C830">
        <v>16</v>
      </c>
      <c r="D830">
        <v>17.149999999999999</v>
      </c>
      <c r="E830" t="s">
        <v>8</v>
      </c>
      <c r="F830" t="s">
        <v>370</v>
      </c>
      <c r="G830" t="s">
        <v>23</v>
      </c>
      <c r="H830" t="s">
        <v>11</v>
      </c>
    </row>
    <row r="831" spans="1:8" x14ac:dyDescent="0.45">
      <c r="A831">
        <v>5444</v>
      </c>
      <c r="B831">
        <v>44637</v>
      </c>
      <c r="C831">
        <v>2</v>
      </c>
      <c r="D831">
        <v>449.99</v>
      </c>
      <c r="E831" t="s">
        <v>8</v>
      </c>
      <c r="F831" t="s">
        <v>371</v>
      </c>
      <c r="G831" t="s">
        <v>10</v>
      </c>
      <c r="H831" t="s">
        <v>17</v>
      </c>
    </row>
    <row r="832" spans="1:8" x14ac:dyDescent="0.45">
      <c r="A832">
        <v>5445</v>
      </c>
      <c r="B832">
        <v>44402</v>
      </c>
      <c r="C832">
        <v>9</v>
      </c>
      <c r="D832">
        <v>4.63</v>
      </c>
      <c r="E832" t="s">
        <v>8</v>
      </c>
      <c r="F832" t="s">
        <v>32</v>
      </c>
      <c r="G832" t="s">
        <v>20</v>
      </c>
      <c r="H832" t="s">
        <v>11</v>
      </c>
    </row>
    <row r="833" spans="1:8" x14ac:dyDescent="0.45">
      <c r="A833">
        <v>5446</v>
      </c>
      <c r="B833">
        <v>44002</v>
      </c>
      <c r="C833">
        <v>42</v>
      </c>
      <c r="D833">
        <v>10.98</v>
      </c>
      <c r="E833" t="s">
        <v>8</v>
      </c>
      <c r="F833" t="s">
        <v>131</v>
      </c>
      <c r="G833" t="s">
        <v>13</v>
      </c>
      <c r="H833" t="s">
        <v>11</v>
      </c>
    </row>
    <row r="834" spans="1:8" x14ac:dyDescent="0.45">
      <c r="A834">
        <v>5472</v>
      </c>
      <c r="B834">
        <v>44296</v>
      </c>
      <c r="C834">
        <v>32</v>
      </c>
      <c r="D834">
        <v>6.48</v>
      </c>
      <c r="E834" t="s">
        <v>8</v>
      </c>
      <c r="F834" t="s">
        <v>133</v>
      </c>
      <c r="G834" t="s">
        <v>13</v>
      </c>
      <c r="H834" t="s">
        <v>11</v>
      </c>
    </row>
    <row r="835" spans="1:8" x14ac:dyDescent="0.45">
      <c r="A835">
        <v>5472</v>
      </c>
      <c r="B835">
        <v>44296</v>
      </c>
      <c r="C835">
        <v>27</v>
      </c>
      <c r="D835">
        <v>13.48</v>
      </c>
      <c r="E835" t="s">
        <v>8</v>
      </c>
      <c r="F835" t="s">
        <v>133</v>
      </c>
      <c r="G835" t="s">
        <v>13</v>
      </c>
      <c r="H835" t="s">
        <v>11</v>
      </c>
    </row>
    <row r="836" spans="1:8" x14ac:dyDescent="0.45">
      <c r="A836">
        <v>5472</v>
      </c>
      <c r="B836">
        <v>44296</v>
      </c>
      <c r="C836">
        <v>12</v>
      </c>
      <c r="D836">
        <v>115.99</v>
      </c>
      <c r="E836" t="s">
        <v>8</v>
      </c>
      <c r="F836" t="s">
        <v>133</v>
      </c>
      <c r="G836" t="s">
        <v>13</v>
      </c>
      <c r="H836" t="s">
        <v>17</v>
      </c>
    </row>
    <row r="837" spans="1:8" x14ac:dyDescent="0.45">
      <c r="A837">
        <v>5473</v>
      </c>
      <c r="B837">
        <v>45009</v>
      </c>
      <c r="C837">
        <v>42</v>
      </c>
      <c r="D837">
        <v>8.74</v>
      </c>
      <c r="E837" t="s">
        <v>8</v>
      </c>
      <c r="F837" t="s">
        <v>372</v>
      </c>
      <c r="G837" t="s">
        <v>10</v>
      </c>
      <c r="H837" t="s">
        <v>11</v>
      </c>
    </row>
    <row r="838" spans="1:8" x14ac:dyDescent="0.45">
      <c r="A838">
        <v>5504</v>
      </c>
      <c r="B838">
        <v>44201</v>
      </c>
      <c r="C838">
        <v>15</v>
      </c>
      <c r="D838">
        <v>45.99</v>
      </c>
      <c r="E838" t="s">
        <v>8</v>
      </c>
      <c r="F838" t="s">
        <v>373</v>
      </c>
      <c r="G838" t="s">
        <v>10</v>
      </c>
      <c r="H838" t="s">
        <v>17</v>
      </c>
    </row>
    <row r="839" spans="1:8" x14ac:dyDescent="0.45">
      <c r="A839">
        <v>5506</v>
      </c>
      <c r="B839">
        <v>44507</v>
      </c>
      <c r="C839">
        <v>22</v>
      </c>
      <c r="D839">
        <v>5.88</v>
      </c>
      <c r="E839" t="s">
        <v>8</v>
      </c>
      <c r="F839" t="s">
        <v>374</v>
      </c>
      <c r="G839" t="s">
        <v>13</v>
      </c>
      <c r="H839" t="s">
        <v>11</v>
      </c>
    </row>
    <row r="840" spans="1:8" x14ac:dyDescent="0.45">
      <c r="A840">
        <v>5509</v>
      </c>
      <c r="B840">
        <v>43928</v>
      </c>
      <c r="C840">
        <v>11</v>
      </c>
      <c r="D840">
        <v>5.58</v>
      </c>
      <c r="E840" t="s">
        <v>8</v>
      </c>
      <c r="F840" t="s">
        <v>375</v>
      </c>
      <c r="G840" t="s">
        <v>20</v>
      </c>
      <c r="H840" t="s">
        <v>11</v>
      </c>
    </row>
    <row r="841" spans="1:8" x14ac:dyDescent="0.45">
      <c r="A841">
        <v>5509</v>
      </c>
      <c r="B841">
        <v>43928</v>
      </c>
      <c r="C841">
        <v>21</v>
      </c>
      <c r="D841">
        <v>40.89</v>
      </c>
      <c r="E841" t="s">
        <v>8</v>
      </c>
      <c r="F841" t="s">
        <v>375</v>
      </c>
      <c r="G841" t="s">
        <v>20</v>
      </c>
      <c r="H841" t="s">
        <v>15</v>
      </c>
    </row>
    <row r="842" spans="1:8" x14ac:dyDescent="0.45">
      <c r="A842">
        <v>5510</v>
      </c>
      <c r="B842">
        <v>44203</v>
      </c>
      <c r="C842">
        <v>12</v>
      </c>
      <c r="D842">
        <v>9.68</v>
      </c>
      <c r="E842" t="s">
        <v>8</v>
      </c>
      <c r="F842" t="s">
        <v>302</v>
      </c>
      <c r="G842" t="s">
        <v>20</v>
      </c>
      <c r="H842" t="s">
        <v>11</v>
      </c>
    </row>
    <row r="843" spans="1:8" x14ac:dyDescent="0.45">
      <c r="A843">
        <v>5511</v>
      </c>
      <c r="B843">
        <v>44163</v>
      </c>
      <c r="C843">
        <v>32</v>
      </c>
      <c r="D843">
        <v>65.989999999999995</v>
      </c>
      <c r="E843" t="s">
        <v>8</v>
      </c>
      <c r="F843" t="s">
        <v>171</v>
      </c>
      <c r="G843" t="s">
        <v>13</v>
      </c>
      <c r="H843" t="s">
        <v>17</v>
      </c>
    </row>
    <row r="844" spans="1:8" x14ac:dyDescent="0.45">
      <c r="A844">
        <v>5538</v>
      </c>
      <c r="B844">
        <v>44554</v>
      </c>
      <c r="C844">
        <v>43</v>
      </c>
      <c r="D844">
        <v>29.17</v>
      </c>
      <c r="E844" t="s">
        <v>8</v>
      </c>
      <c r="F844" t="s">
        <v>291</v>
      </c>
      <c r="G844" t="s">
        <v>23</v>
      </c>
      <c r="H844" t="s">
        <v>11</v>
      </c>
    </row>
    <row r="845" spans="1:8" x14ac:dyDescent="0.45">
      <c r="A845">
        <v>5538</v>
      </c>
      <c r="B845">
        <v>44554</v>
      </c>
      <c r="C845">
        <v>4</v>
      </c>
      <c r="D845">
        <v>125.99</v>
      </c>
      <c r="E845" t="s">
        <v>8</v>
      </c>
      <c r="F845" t="s">
        <v>291</v>
      </c>
      <c r="G845" t="s">
        <v>23</v>
      </c>
      <c r="H845" t="s">
        <v>17</v>
      </c>
    </row>
    <row r="846" spans="1:8" x14ac:dyDescent="0.45">
      <c r="A846">
        <v>5543</v>
      </c>
      <c r="B846">
        <v>44463</v>
      </c>
      <c r="C846">
        <v>15</v>
      </c>
      <c r="D846">
        <v>48.58</v>
      </c>
      <c r="E846" t="s">
        <v>8</v>
      </c>
      <c r="F846" t="s">
        <v>376</v>
      </c>
      <c r="G846" t="s">
        <v>13</v>
      </c>
      <c r="H846" t="s">
        <v>11</v>
      </c>
    </row>
    <row r="847" spans="1:8" x14ac:dyDescent="0.45">
      <c r="A847">
        <v>5543</v>
      </c>
      <c r="B847">
        <v>44463</v>
      </c>
      <c r="C847">
        <v>6</v>
      </c>
      <c r="D847">
        <v>10.31</v>
      </c>
      <c r="E847" t="s">
        <v>8</v>
      </c>
      <c r="F847" t="s">
        <v>376</v>
      </c>
      <c r="G847" t="s">
        <v>13</v>
      </c>
      <c r="H847" t="s">
        <v>11</v>
      </c>
    </row>
    <row r="848" spans="1:8" x14ac:dyDescent="0.45">
      <c r="A848">
        <v>5543</v>
      </c>
      <c r="B848">
        <v>44463</v>
      </c>
      <c r="C848">
        <v>27</v>
      </c>
      <c r="D848">
        <v>2.1800000000000002</v>
      </c>
      <c r="E848" t="s">
        <v>8</v>
      </c>
      <c r="F848" t="s">
        <v>376</v>
      </c>
      <c r="G848" t="s">
        <v>13</v>
      </c>
      <c r="H848" t="s">
        <v>11</v>
      </c>
    </row>
    <row r="849" spans="1:8" x14ac:dyDescent="0.45">
      <c r="A849">
        <v>5568</v>
      </c>
      <c r="B849">
        <v>44718</v>
      </c>
      <c r="C849">
        <v>8</v>
      </c>
      <c r="D849">
        <v>14.34</v>
      </c>
      <c r="E849" t="s">
        <v>8</v>
      </c>
      <c r="F849" t="s">
        <v>377</v>
      </c>
      <c r="G849" t="s">
        <v>20</v>
      </c>
      <c r="H849" t="s">
        <v>15</v>
      </c>
    </row>
    <row r="850" spans="1:8" x14ac:dyDescent="0.45">
      <c r="A850">
        <v>5569</v>
      </c>
      <c r="B850">
        <v>44315</v>
      </c>
      <c r="C850">
        <v>12</v>
      </c>
      <c r="D850">
        <v>9.65</v>
      </c>
      <c r="E850" t="s">
        <v>8</v>
      </c>
      <c r="F850" t="s">
        <v>378</v>
      </c>
      <c r="G850" t="s">
        <v>13</v>
      </c>
      <c r="H850" t="s">
        <v>15</v>
      </c>
    </row>
    <row r="851" spans="1:8" x14ac:dyDescent="0.45">
      <c r="A851">
        <v>5572</v>
      </c>
      <c r="B851">
        <v>44028</v>
      </c>
      <c r="C851">
        <v>37</v>
      </c>
      <c r="D851">
        <v>7.37</v>
      </c>
      <c r="E851" t="s">
        <v>8</v>
      </c>
      <c r="F851" t="s">
        <v>379</v>
      </c>
      <c r="G851" t="s">
        <v>13</v>
      </c>
      <c r="H851" t="s">
        <v>17</v>
      </c>
    </row>
    <row r="852" spans="1:8" x14ac:dyDescent="0.45">
      <c r="A852">
        <v>5575</v>
      </c>
      <c r="B852">
        <v>44765</v>
      </c>
      <c r="C852">
        <v>41</v>
      </c>
      <c r="D852">
        <v>5.98</v>
      </c>
      <c r="E852" t="s">
        <v>8</v>
      </c>
      <c r="F852" t="s">
        <v>380</v>
      </c>
      <c r="G852" t="s">
        <v>13</v>
      </c>
      <c r="H852" t="s">
        <v>11</v>
      </c>
    </row>
    <row r="853" spans="1:8" x14ac:dyDescent="0.45">
      <c r="A853">
        <v>5601</v>
      </c>
      <c r="B853">
        <v>44931</v>
      </c>
      <c r="C853">
        <v>10</v>
      </c>
      <c r="D853">
        <v>12.22</v>
      </c>
      <c r="E853" t="s">
        <v>8</v>
      </c>
      <c r="F853" t="s">
        <v>381</v>
      </c>
      <c r="G853" t="s">
        <v>23</v>
      </c>
      <c r="H853" t="s">
        <v>15</v>
      </c>
    </row>
    <row r="854" spans="1:8" x14ac:dyDescent="0.45">
      <c r="A854">
        <v>5607</v>
      </c>
      <c r="B854">
        <v>44926</v>
      </c>
      <c r="C854">
        <v>8</v>
      </c>
      <c r="D854">
        <v>7.99</v>
      </c>
      <c r="E854" t="s">
        <v>8</v>
      </c>
      <c r="F854" t="s">
        <v>382</v>
      </c>
      <c r="G854" t="s">
        <v>20</v>
      </c>
      <c r="H854" t="s">
        <v>17</v>
      </c>
    </row>
    <row r="855" spans="1:8" x14ac:dyDescent="0.45">
      <c r="A855">
        <v>5635</v>
      </c>
      <c r="B855">
        <v>45153</v>
      </c>
      <c r="C855">
        <v>17</v>
      </c>
      <c r="D855">
        <v>11.5</v>
      </c>
      <c r="E855" t="s">
        <v>8</v>
      </c>
      <c r="F855" t="s">
        <v>383</v>
      </c>
      <c r="G855" t="s">
        <v>13</v>
      </c>
      <c r="H855" t="s">
        <v>11</v>
      </c>
    </row>
    <row r="856" spans="1:8" x14ac:dyDescent="0.45">
      <c r="A856">
        <v>5635</v>
      </c>
      <c r="B856">
        <v>45153</v>
      </c>
      <c r="C856">
        <v>50</v>
      </c>
      <c r="D856">
        <v>5.77</v>
      </c>
      <c r="E856" t="s">
        <v>8</v>
      </c>
      <c r="F856" t="s">
        <v>383</v>
      </c>
      <c r="G856" t="s">
        <v>13</v>
      </c>
      <c r="H856" t="s">
        <v>15</v>
      </c>
    </row>
    <row r="857" spans="1:8" x14ac:dyDescent="0.45">
      <c r="A857">
        <v>5636</v>
      </c>
      <c r="B857">
        <v>44607</v>
      </c>
      <c r="C857">
        <v>23</v>
      </c>
      <c r="D857">
        <v>5.85</v>
      </c>
      <c r="E857" t="s">
        <v>8</v>
      </c>
      <c r="F857" t="s">
        <v>384</v>
      </c>
      <c r="G857" t="s">
        <v>10</v>
      </c>
      <c r="H857" t="s">
        <v>11</v>
      </c>
    </row>
    <row r="858" spans="1:8" x14ac:dyDescent="0.45">
      <c r="A858">
        <v>5639</v>
      </c>
      <c r="B858">
        <v>43983</v>
      </c>
      <c r="C858">
        <v>31</v>
      </c>
      <c r="D858">
        <v>15.31</v>
      </c>
      <c r="E858" t="s">
        <v>8</v>
      </c>
      <c r="F858" t="s">
        <v>385</v>
      </c>
      <c r="G858" t="s">
        <v>10</v>
      </c>
      <c r="H858" t="s">
        <v>11</v>
      </c>
    </row>
    <row r="859" spans="1:8" x14ac:dyDescent="0.45">
      <c r="A859">
        <v>5696</v>
      </c>
      <c r="B859">
        <v>44684</v>
      </c>
      <c r="C859">
        <v>4</v>
      </c>
      <c r="D859">
        <v>525.98</v>
      </c>
      <c r="E859" t="s">
        <v>8</v>
      </c>
      <c r="F859" t="s">
        <v>386</v>
      </c>
      <c r="G859" t="s">
        <v>23</v>
      </c>
      <c r="H859" t="s">
        <v>11</v>
      </c>
    </row>
    <row r="860" spans="1:8" x14ac:dyDescent="0.45">
      <c r="A860">
        <v>5696</v>
      </c>
      <c r="B860">
        <v>44684</v>
      </c>
      <c r="C860">
        <v>40</v>
      </c>
      <c r="D860">
        <v>16.510000000000002</v>
      </c>
      <c r="E860" t="s">
        <v>8</v>
      </c>
      <c r="F860" t="s">
        <v>386</v>
      </c>
      <c r="G860" t="s">
        <v>23</v>
      </c>
      <c r="H860" t="s">
        <v>11</v>
      </c>
    </row>
    <row r="861" spans="1:8" x14ac:dyDescent="0.45">
      <c r="A861">
        <v>5696</v>
      </c>
      <c r="B861">
        <v>44684</v>
      </c>
      <c r="C861">
        <v>31</v>
      </c>
      <c r="D861">
        <v>5.98</v>
      </c>
      <c r="E861" t="s">
        <v>8</v>
      </c>
      <c r="F861" t="s">
        <v>386</v>
      </c>
      <c r="G861" t="s">
        <v>23</v>
      </c>
      <c r="H861" t="s">
        <v>17</v>
      </c>
    </row>
    <row r="862" spans="1:8" x14ac:dyDescent="0.45">
      <c r="A862">
        <v>5697</v>
      </c>
      <c r="B862">
        <v>45203</v>
      </c>
      <c r="C862">
        <v>31</v>
      </c>
      <c r="D862">
        <v>11.29</v>
      </c>
      <c r="E862" t="s">
        <v>8</v>
      </c>
      <c r="F862" t="s">
        <v>121</v>
      </c>
      <c r="G862" t="s">
        <v>20</v>
      </c>
      <c r="H862" t="s">
        <v>11</v>
      </c>
    </row>
    <row r="863" spans="1:8" x14ac:dyDescent="0.45">
      <c r="A863">
        <v>5698</v>
      </c>
      <c r="B863">
        <v>43971</v>
      </c>
      <c r="C863">
        <v>15</v>
      </c>
      <c r="D863">
        <v>20.48</v>
      </c>
      <c r="E863" t="s">
        <v>8</v>
      </c>
      <c r="F863" t="s">
        <v>387</v>
      </c>
      <c r="G863" t="s">
        <v>23</v>
      </c>
      <c r="H863" t="s">
        <v>11</v>
      </c>
    </row>
    <row r="864" spans="1:8" x14ac:dyDescent="0.45">
      <c r="A864">
        <v>5698</v>
      </c>
      <c r="B864">
        <v>43971</v>
      </c>
      <c r="C864">
        <v>7</v>
      </c>
      <c r="D864">
        <v>15.67</v>
      </c>
      <c r="E864" t="s">
        <v>8</v>
      </c>
      <c r="F864" t="s">
        <v>387</v>
      </c>
      <c r="G864" t="s">
        <v>23</v>
      </c>
      <c r="H864" t="s">
        <v>11</v>
      </c>
    </row>
    <row r="865" spans="1:8" x14ac:dyDescent="0.45">
      <c r="A865">
        <v>5699</v>
      </c>
      <c r="B865">
        <v>45136</v>
      </c>
      <c r="C865">
        <v>2</v>
      </c>
      <c r="D865">
        <v>4.13</v>
      </c>
      <c r="E865" t="s">
        <v>8</v>
      </c>
      <c r="F865" t="s">
        <v>388</v>
      </c>
      <c r="G865" t="s">
        <v>10</v>
      </c>
      <c r="H865" t="s">
        <v>11</v>
      </c>
    </row>
    <row r="866" spans="1:8" x14ac:dyDescent="0.45">
      <c r="A866">
        <v>5702</v>
      </c>
      <c r="B866">
        <v>44445</v>
      </c>
      <c r="C866">
        <v>20</v>
      </c>
      <c r="D866">
        <v>99.99</v>
      </c>
      <c r="E866" t="s">
        <v>8</v>
      </c>
      <c r="F866" t="s">
        <v>158</v>
      </c>
      <c r="G866" t="s">
        <v>13</v>
      </c>
      <c r="H866" t="s">
        <v>17</v>
      </c>
    </row>
    <row r="867" spans="1:8" x14ac:dyDescent="0.45">
      <c r="A867">
        <v>5703</v>
      </c>
      <c r="B867">
        <v>44331</v>
      </c>
      <c r="C867">
        <v>29</v>
      </c>
      <c r="D867">
        <v>12.28</v>
      </c>
      <c r="E867" t="s">
        <v>8</v>
      </c>
      <c r="F867" t="s">
        <v>176</v>
      </c>
      <c r="G867" t="s">
        <v>23</v>
      </c>
      <c r="H867" t="s">
        <v>11</v>
      </c>
    </row>
    <row r="868" spans="1:8" x14ac:dyDescent="0.45">
      <c r="A868">
        <v>5764</v>
      </c>
      <c r="B868">
        <v>44471</v>
      </c>
      <c r="C868">
        <v>23</v>
      </c>
      <c r="D868">
        <v>8.0399999999999991</v>
      </c>
      <c r="E868" t="s">
        <v>8</v>
      </c>
      <c r="F868" t="s">
        <v>390</v>
      </c>
      <c r="G868" t="s">
        <v>10</v>
      </c>
      <c r="H868" t="s">
        <v>11</v>
      </c>
    </row>
    <row r="869" spans="1:8" x14ac:dyDescent="0.45">
      <c r="A869">
        <v>5765</v>
      </c>
      <c r="B869">
        <v>44179</v>
      </c>
      <c r="C869">
        <v>23</v>
      </c>
      <c r="D869">
        <v>35.44</v>
      </c>
      <c r="E869" t="s">
        <v>8</v>
      </c>
      <c r="F869" t="s">
        <v>24</v>
      </c>
      <c r="G869" t="s">
        <v>13</v>
      </c>
      <c r="H869" t="s">
        <v>11</v>
      </c>
    </row>
    <row r="870" spans="1:8" x14ac:dyDescent="0.45">
      <c r="A870">
        <v>5767</v>
      </c>
      <c r="B870">
        <v>45044</v>
      </c>
      <c r="C870">
        <v>31</v>
      </c>
      <c r="D870">
        <v>82.99</v>
      </c>
      <c r="E870" t="s">
        <v>8</v>
      </c>
      <c r="F870" t="s">
        <v>391</v>
      </c>
      <c r="G870" t="s">
        <v>10</v>
      </c>
      <c r="H870" t="s">
        <v>17</v>
      </c>
    </row>
    <row r="871" spans="1:8" x14ac:dyDescent="0.45">
      <c r="A871">
        <v>5830</v>
      </c>
      <c r="B871">
        <v>44279</v>
      </c>
      <c r="C871">
        <v>49</v>
      </c>
      <c r="D871">
        <v>40.97</v>
      </c>
      <c r="E871" t="s">
        <v>8</v>
      </c>
      <c r="F871" t="s">
        <v>392</v>
      </c>
      <c r="G871" t="s">
        <v>13</v>
      </c>
      <c r="H871" t="s">
        <v>15</v>
      </c>
    </row>
    <row r="872" spans="1:8" x14ac:dyDescent="0.45">
      <c r="A872">
        <v>5858</v>
      </c>
      <c r="B872">
        <v>45120</v>
      </c>
      <c r="C872">
        <v>48</v>
      </c>
      <c r="D872">
        <v>50.98</v>
      </c>
      <c r="E872" t="s">
        <v>8</v>
      </c>
      <c r="F872" t="s">
        <v>94</v>
      </c>
      <c r="G872" t="s">
        <v>10</v>
      </c>
      <c r="H872" t="s">
        <v>11</v>
      </c>
    </row>
    <row r="873" spans="1:8" x14ac:dyDescent="0.45">
      <c r="A873">
        <v>5858</v>
      </c>
      <c r="B873">
        <v>45120</v>
      </c>
      <c r="C873">
        <v>29</v>
      </c>
      <c r="D873">
        <v>205.99</v>
      </c>
      <c r="E873" t="s">
        <v>8</v>
      </c>
      <c r="F873" t="s">
        <v>94</v>
      </c>
      <c r="G873" t="s">
        <v>10</v>
      </c>
      <c r="H873" t="s">
        <v>17</v>
      </c>
    </row>
    <row r="874" spans="1:8" x14ac:dyDescent="0.45">
      <c r="A874">
        <v>5860</v>
      </c>
      <c r="B874">
        <v>44976</v>
      </c>
      <c r="C874">
        <v>12</v>
      </c>
      <c r="D874">
        <v>4.84</v>
      </c>
      <c r="E874" t="s">
        <v>8</v>
      </c>
      <c r="F874" t="s">
        <v>268</v>
      </c>
      <c r="G874" t="s">
        <v>23</v>
      </c>
      <c r="H874" t="s">
        <v>11</v>
      </c>
    </row>
    <row r="875" spans="1:8" x14ac:dyDescent="0.45">
      <c r="A875">
        <v>5863</v>
      </c>
      <c r="B875">
        <v>44521</v>
      </c>
      <c r="C875">
        <v>40</v>
      </c>
      <c r="D875">
        <v>22.98</v>
      </c>
      <c r="E875" t="s">
        <v>8</v>
      </c>
      <c r="F875" t="s">
        <v>393</v>
      </c>
      <c r="G875" t="s">
        <v>13</v>
      </c>
      <c r="H875" t="s">
        <v>15</v>
      </c>
    </row>
    <row r="876" spans="1:8" x14ac:dyDescent="0.45">
      <c r="A876">
        <v>5891</v>
      </c>
      <c r="B876">
        <v>45288</v>
      </c>
      <c r="C876">
        <v>2</v>
      </c>
      <c r="D876">
        <v>20.98</v>
      </c>
      <c r="E876" t="s">
        <v>8</v>
      </c>
      <c r="F876" t="s">
        <v>68</v>
      </c>
      <c r="G876" t="s">
        <v>20</v>
      </c>
      <c r="H876" t="s">
        <v>11</v>
      </c>
    </row>
    <row r="877" spans="1:8" x14ac:dyDescent="0.45">
      <c r="A877">
        <v>5894</v>
      </c>
      <c r="B877">
        <v>44055</v>
      </c>
      <c r="C877">
        <v>7</v>
      </c>
      <c r="D877">
        <v>58.1</v>
      </c>
      <c r="E877" t="s">
        <v>8</v>
      </c>
      <c r="F877" t="s">
        <v>395</v>
      </c>
      <c r="G877" t="s">
        <v>13</v>
      </c>
      <c r="H877" t="s">
        <v>11</v>
      </c>
    </row>
    <row r="878" spans="1:8" x14ac:dyDescent="0.45">
      <c r="A878">
        <v>5894</v>
      </c>
      <c r="B878">
        <v>44055</v>
      </c>
      <c r="C878">
        <v>3</v>
      </c>
      <c r="D878">
        <v>80.48</v>
      </c>
      <c r="E878" t="s">
        <v>8</v>
      </c>
      <c r="F878" t="s">
        <v>395</v>
      </c>
      <c r="G878" t="s">
        <v>13</v>
      </c>
      <c r="H878" t="s">
        <v>11</v>
      </c>
    </row>
    <row r="879" spans="1:8" x14ac:dyDescent="0.45">
      <c r="A879">
        <v>5920</v>
      </c>
      <c r="B879">
        <v>44154</v>
      </c>
      <c r="C879">
        <v>4</v>
      </c>
      <c r="D879">
        <v>155.06</v>
      </c>
      <c r="E879" t="s">
        <v>8</v>
      </c>
      <c r="F879" t="s">
        <v>396</v>
      </c>
      <c r="G879" t="s">
        <v>23</v>
      </c>
      <c r="H879" t="s">
        <v>11</v>
      </c>
    </row>
    <row r="880" spans="1:8" x14ac:dyDescent="0.45">
      <c r="A880">
        <v>5925</v>
      </c>
      <c r="B880">
        <v>44877</v>
      </c>
      <c r="C880">
        <v>44</v>
      </c>
      <c r="D880">
        <v>92.23</v>
      </c>
      <c r="E880" t="s">
        <v>8</v>
      </c>
      <c r="F880" t="s">
        <v>398</v>
      </c>
      <c r="G880" t="s">
        <v>20</v>
      </c>
      <c r="H880" t="s">
        <v>15</v>
      </c>
    </row>
    <row r="881" spans="1:8" x14ac:dyDescent="0.45">
      <c r="A881">
        <v>5925</v>
      </c>
      <c r="B881">
        <v>44877</v>
      </c>
      <c r="C881">
        <v>25</v>
      </c>
      <c r="D881">
        <v>85.99</v>
      </c>
      <c r="E881" t="s">
        <v>8</v>
      </c>
      <c r="F881" t="s">
        <v>398</v>
      </c>
      <c r="G881" t="s">
        <v>20</v>
      </c>
      <c r="H881" t="s">
        <v>17</v>
      </c>
    </row>
    <row r="882" spans="1:8" x14ac:dyDescent="0.45">
      <c r="A882">
        <v>5957</v>
      </c>
      <c r="B882">
        <v>44556</v>
      </c>
      <c r="C882">
        <v>15</v>
      </c>
      <c r="D882">
        <v>4.28</v>
      </c>
      <c r="E882" t="s">
        <v>8</v>
      </c>
      <c r="F882" t="s">
        <v>130</v>
      </c>
      <c r="G882" t="s">
        <v>10</v>
      </c>
      <c r="H882" t="s">
        <v>11</v>
      </c>
    </row>
    <row r="883" spans="1:8" x14ac:dyDescent="0.45">
      <c r="A883">
        <v>5957</v>
      </c>
      <c r="B883">
        <v>44556</v>
      </c>
      <c r="C883">
        <v>23</v>
      </c>
      <c r="D883">
        <v>20.99</v>
      </c>
      <c r="E883" t="s">
        <v>8</v>
      </c>
      <c r="F883" t="s">
        <v>130</v>
      </c>
      <c r="G883" t="s">
        <v>10</v>
      </c>
      <c r="H883" t="s">
        <v>17</v>
      </c>
    </row>
    <row r="884" spans="1:8" x14ac:dyDescent="0.45">
      <c r="A884">
        <v>5958</v>
      </c>
      <c r="B884">
        <v>44819</v>
      </c>
      <c r="C884">
        <v>3</v>
      </c>
      <c r="D884">
        <v>699.99</v>
      </c>
      <c r="E884" t="s">
        <v>8</v>
      </c>
      <c r="F884" t="s">
        <v>351</v>
      </c>
      <c r="G884" t="s">
        <v>10</v>
      </c>
      <c r="H884" t="s">
        <v>17</v>
      </c>
    </row>
    <row r="885" spans="1:8" x14ac:dyDescent="0.45">
      <c r="A885">
        <v>5984</v>
      </c>
      <c r="B885">
        <v>43999</v>
      </c>
      <c r="C885">
        <v>37</v>
      </c>
      <c r="D885">
        <v>10.89</v>
      </c>
      <c r="E885" t="s">
        <v>8</v>
      </c>
      <c r="F885" t="s">
        <v>216</v>
      </c>
      <c r="G885" t="s">
        <v>23</v>
      </c>
      <c r="H885" t="s">
        <v>11</v>
      </c>
    </row>
    <row r="886" spans="1:8" x14ac:dyDescent="0.45">
      <c r="A886">
        <v>5984</v>
      </c>
      <c r="B886">
        <v>43999</v>
      </c>
      <c r="C886">
        <v>42</v>
      </c>
      <c r="D886">
        <v>10.64</v>
      </c>
      <c r="E886" t="s">
        <v>8</v>
      </c>
      <c r="F886" t="s">
        <v>216</v>
      </c>
      <c r="G886" t="s">
        <v>23</v>
      </c>
      <c r="H886" t="s">
        <v>15</v>
      </c>
    </row>
    <row r="887" spans="1:8" x14ac:dyDescent="0.45">
      <c r="A887">
        <v>5984</v>
      </c>
      <c r="B887">
        <v>43999</v>
      </c>
      <c r="C887">
        <v>11</v>
      </c>
      <c r="D887">
        <v>7.96</v>
      </c>
      <c r="E887" t="s">
        <v>8</v>
      </c>
      <c r="F887" t="s">
        <v>216</v>
      </c>
      <c r="G887" t="s">
        <v>23</v>
      </c>
      <c r="H887" t="s">
        <v>15</v>
      </c>
    </row>
    <row r="888" spans="1:8" x14ac:dyDescent="0.45">
      <c r="A888">
        <v>5986</v>
      </c>
      <c r="B888">
        <v>45037</v>
      </c>
      <c r="C888">
        <v>48</v>
      </c>
      <c r="D888">
        <v>120.98</v>
      </c>
      <c r="E888" t="s">
        <v>8</v>
      </c>
      <c r="F888" t="s">
        <v>399</v>
      </c>
      <c r="G888" t="s">
        <v>10</v>
      </c>
      <c r="H888" t="s">
        <v>11</v>
      </c>
    </row>
    <row r="889" spans="1:8" x14ac:dyDescent="0.45">
      <c r="A889">
        <v>5986</v>
      </c>
      <c r="B889">
        <v>45037</v>
      </c>
      <c r="C889">
        <v>41</v>
      </c>
      <c r="D889">
        <v>4.8899999999999997</v>
      </c>
      <c r="E889" t="s">
        <v>8</v>
      </c>
      <c r="F889" t="s">
        <v>399</v>
      </c>
      <c r="G889" t="s">
        <v>10</v>
      </c>
      <c r="H889" t="s">
        <v>17</v>
      </c>
    </row>
    <row r="890" spans="1:8" x14ac:dyDescent="0.45">
      <c r="A890">
        <v>5989</v>
      </c>
      <c r="B890">
        <v>44848</v>
      </c>
      <c r="C890">
        <v>6</v>
      </c>
      <c r="D890">
        <v>25.98</v>
      </c>
      <c r="E890" t="s">
        <v>8</v>
      </c>
      <c r="F890" t="s">
        <v>400</v>
      </c>
      <c r="G890" t="s">
        <v>13</v>
      </c>
      <c r="H890" t="s">
        <v>11</v>
      </c>
    </row>
    <row r="891" spans="1:8" x14ac:dyDescent="0.45">
      <c r="A891">
        <v>5989</v>
      </c>
      <c r="B891">
        <v>44848</v>
      </c>
      <c r="C891">
        <v>21</v>
      </c>
      <c r="D891">
        <v>2.78</v>
      </c>
      <c r="E891" t="s">
        <v>8</v>
      </c>
      <c r="F891" t="s">
        <v>400</v>
      </c>
      <c r="G891" t="s">
        <v>13</v>
      </c>
      <c r="H891" t="s">
        <v>11</v>
      </c>
    </row>
    <row r="892" spans="1:8" x14ac:dyDescent="0.45">
      <c r="A892">
        <v>5990</v>
      </c>
      <c r="B892">
        <v>44293</v>
      </c>
      <c r="C892">
        <v>9</v>
      </c>
      <c r="D892">
        <v>6.48</v>
      </c>
      <c r="E892" t="s">
        <v>8</v>
      </c>
      <c r="F892" t="s">
        <v>401</v>
      </c>
      <c r="G892" t="s">
        <v>20</v>
      </c>
      <c r="H892" t="s">
        <v>11</v>
      </c>
    </row>
    <row r="893" spans="1:8" x14ac:dyDescent="0.45">
      <c r="A893">
        <v>6016</v>
      </c>
      <c r="B893">
        <v>44946</v>
      </c>
      <c r="C893">
        <v>19</v>
      </c>
      <c r="D893">
        <v>11.48</v>
      </c>
      <c r="E893" t="s">
        <v>8</v>
      </c>
      <c r="F893" t="s">
        <v>402</v>
      </c>
      <c r="G893" t="s">
        <v>20</v>
      </c>
      <c r="H893" t="s">
        <v>11</v>
      </c>
    </row>
    <row r="894" spans="1:8" x14ac:dyDescent="0.45">
      <c r="A894">
        <v>6018</v>
      </c>
      <c r="B894">
        <v>45156</v>
      </c>
      <c r="C894">
        <v>39</v>
      </c>
      <c r="D894">
        <v>5.08</v>
      </c>
      <c r="E894" t="s">
        <v>8</v>
      </c>
      <c r="F894" t="s">
        <v>403</v>
      </c>
      <c r="G894" t="s">
        <v>20</v>
      </c>
      <c r="H894" t="s">
        <v>15</v>
      </c>
    </row>
    <row r="895" spans="1:8" x14ac:dyDescent="0.45">
      <c r="A895">
        <v>6018</v>
      </c>
      <c r="B895">
        <v>45156</v>
      </c>
      <c r="C895">
        <v>2</v>
      </c>
      <c r="D895">
        <v>55.98</v>
      </c>
      <c r="E895" t="s">
        <v>8</v>
      </c>
      <c r="F895" t="s">
        <v>403</v>
      </c>
      <c r="G895" t="s">
        <v>20</v>
      </c>
      <c r="H895" t="s">
        <v>11</v>
      </c>
    </row>
    <row r="896" spans="1:8" x14ac:dyDescent="0.45">
      <c r="A896">
        <v>6020</v>
      </c>
      <c r="B896">
        <v>44095</v>
      </c>
      <c r="C896">
        <v>23</v>
      </c>
      <c r="D896">
        <v>2.88</v>
      </c>
      <c r="E896" t="s">
        <v>8</v>
      </c>
      <c r="F896" t="s">
        <v>404</v>
      </c>
      <c r="G896" t="s">
        <v>13</v>
      </c>
      <c r="H896" t="s">
        <v>11</v>
      </c>
    </row>
    <row r="897" spans="1:8" x14ac:dyDescent="0.45">
      <c r="A897">
        <v>6050</v>
      </c>
      <c r="B897">
        <v>44283</v>
      </c>
      <c r="C897">
        <v>47</v>
      </c>
      <c r="D897">
        <v>209.37</v>
      </c>
      <c r="E897" t="s">
        <v>8</v>
      </c>
      <c r="F897" t="s">
        <v>405</v>
      </c>
      <c r="G897" t="s">
        <v>10</v>
      </c>
      <c r="H897" t="s">
        <v>15</v>
      </c>
    </row>
    <row r="898" spans="1:8" x14ac:dyDescent="0.45">
      <c r="A898">
        <v>6053</v>
      </c>
      <c r="B898">
        <v>44541</v>
      </c>
      <c r="C898">
        <v>4</v>
      </c>
      <c r="D898">
        <v>3.8</v>
      </c>
      <c r="E898" t="s">
        <v>8</v>
      </c>
      <c r="F898" t="s">
        <v>406</v>
      </c>
      <c r="G898" t="s">
        <v>13</v>
      </c>
      <c r="H898" t="s">
        <v>11</v>
      </c>
    </row>
    <row r="899" spans="1:8" x14ac:dyDescent="0.45">
      <c r="A899">
        <v>6086</v>
      </c>
      <c r="B899">
        <v>44826</v>
      </c>
      <c r="C899">
        <v>48</v>
      </c>
      <c r="D899">
        <v>35.44</v>
      </c>
      <c r="E899" t="s">
        <v>8</v>
      </c>
      <c r="F899" t="s">
        <v>407</v>
      </c>
      <c r="G899" t="s">
        <v>13</v>
      </c>
      <c r="H899" t="s">
        <v>11</v>
      </c>
    </row>
    <row r="900" spans="1:8" x14ac:dyDescent="0.45">
      <c r="A900">
        <v>6112</v>
      </c>
      <c r="B900">
        <v>44066</v>
      </c>
      <c r="C900">
        <v>31</v>
      </c>
      <c r="D900">
        <v>65.989999999999995</v>
      </c>
      <c r="E900" t="s">
        <v>8</v>
      </c>
      <c r="F900" t="s">
        <v>404</v>
      </c>
      <c r="G900" t="s">
        <v>13</v>
      </c>
      <c r="H900" t="s">
        <v>17</v>
      </c>
    </row>
    <row r="901" spans="1:8" x14ac:dyDescent="0.45">
      <c r="A901">
        <v>6115</v>
      </c>
      <c r="B901">
        <v>44450</v>
      </c>
      <c r="C901">
        <v>25</v>
      </c>
      <c r="D901">
        <v>17.78</v>
      </c>
      <c r="E901" t="s">
        <v>8</v>
      </c>
      <c r="F901" t="s">
        <v>66</v>
      </c>
      <c r="G901" t="s">
        <v>23</v>
      </c>
      <c r="H901" t="s">
        <v>15</v>
      </c>
    </row>
    <row r="902" spans="1:8" x14ac:dyDescent="0.45">
      <c r="A902">
        <v>6116</v>
      </c>
      <c r="B902">
        <v>43910</v>
      </c>
      <c r="C902">
        <v>7</v>
      </c>
      <c r="D902">
        <v>19.98</v>
      </c>
      <c r="E902" t="s">
        <v>8</v>
      </c>
      <c r="F902" t="s">
        <v>408</v>
      </c>
      <c r="G902" t="s">
        <v>13</v>
      </c>
      <c r="H902" t="s">
        <v>17</v>
      </c>
    </row>
    <row r="903" spans="1:8" x14ac:dyDescent="0.45">
      <c r="A903">
        <v>6116</v>
      </c>
      <c r="B903">
        <v>43910</v>
      </c>
      <c r="C903">
        <v>6</v>
      </c>
      <c r="D903">
        <v>1637.53</v>
      </c>
      <c r="E903" t="s">
        <v>8</v>
      </c>
      <c r="F903" t="s">
        <v>408</v>
      </c>
      <c r="G903" t="s">
        <v>13</v>
      </c>
      <c r="H903" t="s">
        <v>11</v>
      </c>
    </row>
    <row r="904" spans="1:8" x14ac:dyDescent="0.45">
      <c r="A904">
        <v>6117</v>
      </c>
      <c r="B904">
        <v>45281</v>
      </c>
      <c r="C904">
        <v>7</v>
      </c>
      <c r="D904">
        <v>22.23</v>
      </c>
      <c r="E904" t="s">
        <v>8</v>
      </c>
      <c r="F904" t="s">
        <v>268</v>
      </c>
      <c r="G904" t="s">
        <v>20</v>
      </c>
      <c r="H904" t="s">
        <v>15</v>
      </c>
    </row>
    <row r="905" spans="1:8" x14ac:dyDescent="0.45">
      <c r="A905">
        <v>6144</v>
      </c>
      <c r="B905">
        <v>44003</v>
      </c>
      <c r="C905">
        <v>24</v>
      </c>
      <c r="D905">
        <v>2.88</v>
      </c>
      <c r="E905" t="s">
        <v>8</v>
      </c>
      <c r="F905" t="s">
        <v>348</v>
      </c>
      <c r="G905" t="s">
        <v>13</v>
      </c>
      <c r="H905" t="s">
        <v>11</v>
      </c>
    </row>
    <row r="906" spans="1:8" x14ac:dyDescent="0.45">
      <c r="A906">
        <v>6148</v>
      </c>
      <c r="B906">
        <v>44919</v>
      </c>
      <c r="C906">
        <v>50</v>
      </c>
      <c r="D906">
        <v>10.64</v>
      </c>
      <c r="E906" t="s">
        <v>8</v>
      </c>
      <c r="F906" t="s">
        <v>409</v>
      </c>
      <c r="G906" t="s">
        <v>10</v>
      </c>
      <c r="H906" t="s">
        <v>15</v>
      </c>
    </row>
    <row r="907" spans="1:8" x14ac:dyDescent="0.45">
      <c r="A907">
        <v>6150</v>
      </c>
      <c r="B907">
        <v>45200</v>
      </c>
      <c r="C907">
        <v>38</v>
      </c>
      <c r="D907">
        <v>4.9800000000000004</v>
      </c>
      <c r="E907" t="s">
        <v>8</v>
      </c>
      <c r="F907" t="s">
        <v>410</v>
      </c>
      <c r="G907" t="s">
        <v>10</v>
      </c>
      <c r="H907" t="s">
        <v>11</v>
      </c>
    </row>
    <row r="908" spans="1:8" x14ac:dyDescent="0.45">
      <c r="A908">
        <v>6179</v>
      </c>
      <c r="B908">
        <v>43984</v>
      </c>
      <c r="C908">
        <v>50</v>
      </c>
      <c r="D908">
        <v>9.7799999999999994</v>
      </c>
      <c r="E908" t="s">
        <v>8</v>
      </c>
      <c r="F908" t="s">
        <v>208</v>
      </c>
      <c r="G908" t="s">
        <v>23</v>
      </c>
      <c r="H908" t="s">
        <v>11</v>
      </c>
    </row>
    <row r="909" spans="1:8" x14ac:dyDescent="0.45">
      <c r="A909">
        <v>6179</v>
      </c>
      <c r="B909">
        <v>43984</v>
      </c>
      <c r="C909">
        <v>15</v>
      </c>
      <c r="D909">
        <v>200.99</v>
      </c>
      <c r="E909" t="s">
        <v>8</v>
      </c>
      <c r="F909" t="s">
        <v>208</v>
      </c>
      <c r="G909" t="s">
        <v>23</v>
      </c>
      <c r="H909" t="s">
        <v>17</v>
      </c>
    </row>
    <row r="910" spans="1:8" x14ac:dyDescent="0.45">
      <c r="A910">
        <v>6180</v>
      </c>
      <c r="B910">
        <v>44662</v>
      </c>
      <c r="C910">
        <v>44</v>
      </c>
      <c r="D910">
        <v>65.989999999999995</v>
      </c>
      <c r="E910" t="s">
        <v>8</v>
      </c>
      <c r="F910" t="s">
        <v>74</v>
      </c>
      <c r="G910" t="s">
        <v>20</v>
      </c>
      <c r="H910" t="s">
        <v>17</v>
      </c>
    </row>
    <row r="911" spans="1:8" x14ac:dyDescent="0.45">
      <c r="A911">
        <v>6182</v>
      </c>
      <c r="B911">
        <v>45128</v>
      </c>
      <c r="C911">
        <v>40</v>
      </c>
      <c r="D911">
        <v>6.48</v>
      </c>
      <c r="E911" t="s">
        <v>8</v>
      </c>
      <c r="F911" t="s">
        <v>211</v>
      </c>
      <c r="G911" t="s">
        <v>13</v>
      </c>
      <c r="H911" t="s">
        <v>11</v>
      </c>
    </row>
    <row r="912" spans="1:8" x14ac:dyDescent="0.45">
      <c r="A912">
        <v>6183</v>
      </c>
      <c r="B912">
        <v>45092</v>
      </c>
      <c r="C912">
        <v>41</v>
      </c>
      <c r="D912">
        <v>48.94</v>
      </c>
      <c r="E912" t="s">
        <v>8</v>
      </c>
      <c r="F912" t="s">
        <v>130</v>
      </c>
      <c r="G912" t="s">
        <v>10</v>
      </c>
      <c r="H912" t="s">
        <v>11</v>
      </c>
    </row>
    <row r="913" spans="1:8" x14ac:dyDescent="0.45">
      <c r="A913">
        <v>6211</v>
      </c>
      <c r="B913">
        <v>44158</v>
      </c>
      <c r="C913">
        <v>28</v>
      </c>
      <c r="D913">
        <v>2.16</v>
      </c>
      <c r="E913" t="s">
        <v>8</v>
      </c>
      <c r="F913" t="s">
        <v>170</v>
      </c>
      <c r="G913" t="s">
        <v>13</v>
      </c>
      <c r="H913" t="s">
        <v>11</v>
      </c>
    </row>
    <row r="914" spans="1:8" x14ac:dyDescent="0.45">
      <c r="A914">
        <v>6211</v>
      </c>
      <c r="B914">
        <v>44158</v>
      </c>
      <c r="C914">
        <v>3</v>
      </c>
      <c r="D914">
        <v>21.38</v>
      </c>
      <c r="E914" t="s">
        <v>8</v>
      </c>
      <c r="F914" t="s">
        <v>170</v>
      </c>
      <c r="G914" t="s">
        <v>13</v>
      </c>
      <c r="H914" t="s">
        <v>11</v>
      </c>
    </row>
    <row r="915" spans="1:8" x14ac:dyDescent="0.45">
      <c r="A915">
        <v>6241</v>
      </c>
      <c r="B915">
        <v>44194</v>
      </c>
      <c r="C915">
        <v>29</v>
      </c>
      <c r="D915">
        <v>205.99</v>
      </c>
      <c r="E915" t="s">
        <v>8</v>
      </c>
      <c r="F915" t="s">
        <v>411</v>
      </c>
      <c r="G915" t="s">
        <v>10</v>
      </c>
      <c r="H915" t="s">
        <v>17</v>
      </c>
    </row>
    <row r="916" spans="1:8" x14ac:dyDescent="0.45">
      <c r="A916">
        <v>6246</v>
      </c>
      <c r="B916">
        <v>44125</v>
      </c>
      <c r="C916">
        <v>13</v>
      </c>
      <c r="D916">
        <v>3.93</v>
      </c>
      <c r="E916" t="s">
        <v>8</v>
      </c>
      <c r="F916" t="s">
        <v>242</v>
      </c>
      <c r="G916" t="s">
        <v>20</v>
      </c>
      <c r="H916" t="s">
        <v>11</v>
      </c>
    </row>
    <row r="917" spans="1:8" x14ac:dyDescent="0.45">
      <c r="A917">
        <v>6272</v>
      </c>
      <c r="B917">
        <v>44254</v>
      </c>
      <c r="C917">
        <v>33</v>
      </c>
      <c r="D917">
        <v>14.98</v>
      </c>
      <c r="E917" t="s">
        <v>8</v>
      </c>
      <c r="F917" t="s">
        <v>377</v>
      </c>
      <c r="G917" t="s">
        <v>13</v>
      </c>
      <c r="H917" t="s">
        <v>15</v>
      </c>
    </row>
    <row r="918" spans="1:8" x14ac:dyDescent="0.45">
      <c r="A918">
        <v>6272</v>
      </c>
      <c r="B918">
        <v>44254</v>
      </c>
      <c r="C918">
        <v>31</v>
      </c>
      <c r="D918">
        <v>105.98</v>
      </c>
      <c r="E918" t="s">
        <v>8</v>
      </c>
      <c r="F918" t="s">
        <v>377</v>
      </c>
      <c r="G918" t="s">
        <v>13</v>
      </c>
      <c r="H918" t="s">
        <v>15</v>
      </c>
    </row>
    <row r="919" spans="1:8" x14ac:dyDescent="0.45">
      <c r="A919">
        <v>6279</v>
      </c>
      <c r="B919">
        <v>44225</v>
      </c>
      <c r="C919">
        <v>49</v>
      </c>
      <c r="D919">
        <v>67.28</v>
      </c>
      <c r="E919" t="s">
        <v>8</v>
      </c>
      <c r="F919" t="s">
        <v>200</v>
      </c>
      <c r="G919" t="s">
        <v>23</v>
      </c>
      <c r="H919" t="s">
        <v>11</v>
      </c>
    </row>
    <row r="920" spans="1:8" x14ac:dyDescent="0.45">
      <c r="A920">
        <v>6304</v>
      </c>
      <c r="B920">
        <v>44784</v>
      </c>
      <c r="C920">
        <v>30</v>
      </c>
      <c r="D920">
        <v>6.48</v>
      </c>
      <c r="E920" t="s">
        <v>8</v>
      </c>
      <c r="F920" t="s">
        <v>412</v>
      </c>
      <c r="G920" t="s">
        <v>13</v>
      </c>
      <c r="H920" t="s">
        <v>11</v>
      </c>
    </row>
    <row r="921" spans="1:8" x14ac:dyDescent="0.45">
      <c r="A921">
        <v>6309</v>
      </c>
      <c r="B921">
        <v>44356</v>
      </c>
      <c r="C921">
        <v>10</v>
      </c>
      <c r="D921">
        <v>2.88</v>
      </c>
      <c r="E921" t="s">
        <v>8</v>
      </c>
      <c r="F921" t="s">
        <v>232</v>
      </c>
      <c r="G921" t="s">
        <v>13</v>
      </c>
      <c r="H921" t="s">
        <v>11</v>
      </c>
    </row>
    <row r="922" spans="1:8" x14ac:dyDescent="0.45">
      <c r="A922">
        <v>6310</v>
      </c>
      <c r="B922">
        <v>43954</v>
      </c>
      <c r="C922">
        <v>27</v>
      </c>
      <c r="D922">
        <v>8.09</v>
      </c>
      <c r="E922" t="s">
        <v>8</v>
      </c>
      <c r="F922" t="s">
        <v>413</v>
      </c>
      <c r="G922" t="s">
        <v>23</v>
      </c>
      <c r="H922" t="s">
        <v>15</v>
      </c>
    </row>
    <row r="923" spans="1:8" x14ac:dyDescent="0.45">
      <c r="A923">
        <v>6311</v>
      </c>
      <c r="B923">
        <v>44237</v>
      </c>
      <c r="C923">
        <v>18</v>
      </c>
      <c r="D923">
        <v>85.99</v>
      </c>
      <c r="E923" t="s">
        <v>8</v>
      </c>
      <c r="F923" t="s">
        <v>379</v>
      </c>
      <c r="G923" t="s">
        <v>13</v>
      </c>
      <c r="H923" t="s">
        <v>17</v>
      </c>
    </row>
    <row r="924" spans="1:8" x14ac:dyDescent="0.45">
      <c r="A924">
        <v>6337</v>
      </c>
      <c r="B924">
        <v>44804</v>
      </c>
      <c r="C924">
        <v>48</v>
      </c>
      <c r="D924">
        <v>70.709999999999994</v>
      </c>
      <c r="E924" t="s">
        <v>8</v>
      </c>
      <c r="F924" t="s">
        <v>143</v>
      </c>
      <c r="G924" t="s">
        <v>13</v>
      </c>
      <c r="H924" t="s">
        <v>15</v>
      </c>
    </row>
    <row r="925" spans="1:8" x14ac:dyDescent="0.45">
      <c r="A925">
        <v>6339</v>
      </c>
      <c r="B925">
        <v>45271</v>
      </c>
      <c r="C925">
        <v>20</v>
      </c>
      <c r="D925">
        <v>14.98</v>
      </c>
      <c r="E925" t="s">
        <v>8</v>
      </c>
      <c r="F925" t="s">
        <v>24</v>
      </c>
      <c r="G925" t="s">
        <v>13</v>
      </c>
      <c r="H925" t="s">
        <v>11</v>
      </c>
    </row>
    <row r="926" spans="1:8" x14ac:dyDescent="0.45">
      <c r="A926">
        <v>6373</v>
      </c>
      <c r="B926">
        <v>44949</v>
      </c>
      <c r="C926">
        <v>1</v>
      </c>
      <c r="D926">
        <v>60.97</v>
      </c>
      <c r="E926" t="s">
        <v>8</v>
      </c>
      <c r="F926" t="s">
        <v>302</v>
      </c>
      <c r="G926" t="s">
        <v>20</v>
      </c>
      <c r="H926" t="s">
        <v>11</v>
      </c>
    </row>
    <row r="927" spans="1:8" x14ac:dyDescent="0.45">
      <c r="A927">
        <v>6374</v>
      </c>
      <c r="B927">
        <v>44780</v>
      </c>
      <c r="C927">
        <v>1</v>
      </c>
      <c r="D927">
        <v>1.48</v>
      </c>
      <c r="E927" t="s">
        <v>8</v>
      </c>
      <c r="F927" t="s">
        <v>415</v>
      </c>
      <c r="G927" t="s">
        <v>13</v>
      </c>
      <c r="H927" t="s">
        <v>11</v>
      </c>
    </row>
    <row r="928" spans="1:8" x14ac:dyDescent="0.45">
      <c r="A928">
        <v>6402</v>
      </c>
      <c r="B928">
        <v>44674</v>
      </c>
      <c r="C928">
        <v>35</v>
      </c>
      <c r="D928">
        <v>10.23</v>
      </c>
      <c r="E928" t="s">
        <v>8</v>
      </c>
      <c r="F928" t="s">
        <v>416</v>
      </c>
      <c r="G928" t="s">
        <v>13</v>
      </c>
      <c r="H928" t="s">
        <v>11</v>
      </c>
    </row>
    <row r="929" spans="1:8" x14ac:dyDescent="0.45">
      <c r="A929">
        <v>6403</v>
      </c>
      <c r="B929">
        <v>44603</v>
      </c>
      <c r="C929">
        <v>41</v>
      </c>
      <c r="D929">
        <v>419.19</v>
      </c>
      <c r="E929" t="s">
        <v>8</v>
      </c>
      <c r="F929" t="s">
        <v>169</v>
      </c>
      <c r="G929" t="s">
        <v>10</v>
      </c>
      <c r="H929" t="s">
        <v>11</v>
      </c>
    </row>
    <row r="930" spans="1:8" x14ac:dyDescent="0.45">
      <c r="A930">
        <v>6406</v>
      </c>
      <c r="B930">
        <v>44057</v>
      </c>
      <c r="C930">
        <v>43</v>
      </c>
      <c r="D930">
        <v>2.08</v>
      </c>
      <c r="E930" t="s">
        <v>8</v>
      </c>
      <c r="F930" t="s">
        <v>292</v>
      </c>
      <c r="G930" t="s">
        <v>20</v>
      </c>
      <c r="H930" t="s">
        <v>11</v>
      </c>
    </row>
    <row r="931" spans="1:8" x14ac:dyDescent="0.45">
      <c r="A931">
        <v>6432</v>
      </c>
      <c r="B931">
        <v>44875</v>
      </c>
      <c r="C931">
        <v>30</v>
      </c>
      <c r="D931">
        <v>10.89</v>
      </c>
      <c r="E931" t="s">
        <v>8</v>
      </c>
      <c r="F931" t="s">
        <v>141</v>
      </c>
      <c r="G931" t="s">
        <v>13</v>
      </c>
      <c r="H931" t="s">
        <v>11</v>
      </c>
    </row>
    <row r="932" spans="1:8" x14ac:dyDescent="0.45">
      <c r="A932">
        <v>6433</v>
      </c>
      <c r="B932">
        <v>44887</v>
      </c>
      <c r="C932">
        <v>41</v>
      </c>
      <c r="D932">
        <v>3.69</v>
      </c>
      <c r="E932" t="s">
        <v>8</v>
      </c>
      <c r="F932" t="s">
        <v>266</v>
      </c>
      <c r="G932" t="s">
        <v>20</v>
      </c>
      <c r="H932" t="s">
        <v>11</v>
      </c>
    </row>
    <row r="933" spans="1:8" x14ac:dyDescent="0.45">
      <c r="A933">
        <v>6434</v>
      </c>
      <c r="B933">
        <v>43989</v>
      </c>
      <c r="C933">
        <v>13</v>
      </c>
      <c r="D933">
        <v>4.76</v>
      </c>
      <c r="E933" t="s">
        <v>8</v>
      </c>
      <c r="F933" t="s">
        <v>212</v>
      </c>
      <c r="G933" t="s">
        <v>13</v>
      </c>
      <c r="H933" t="s">
        <v>11</v>
      </c>
    </row>
    <row r="934" spans="1:8" x14ac:dyDescent="0.45">
      <c r="A934">
        <v>6438</v>
      </c>
      <c r="B934">
        <v>44332</v>
      </c>
      <c r="C934">
        <v>7</v>
      </c>
      <c r="D934">
        <v>9.77</v>
      </c>
      <c r="E934" t="s">
        <v>8</v>
      </c>
      <c r="F934" t="s">
        <v>417</v>
      </c>
      <c r="G934" t="s">
        <v>13</v>
      </c>
      <c r="H934" t="s">
        <v>15</v>
      </c>
    </row>
    <row r="935" spans="1:8" x14ac:dyDescent="0.45">
      <c r="A935">
        <v>6438</v>
      </c>
      <c r="B935">
        <v>44332</v>
      </c>
      <c r="C935">
        <v>38</v>
      </c>
      <c r="D935">
        <v>5.98</v>
      </c>
      <c r="E935" t="s">
        <v>8</v>
      </c>
      <c r="F935" t="s">
        <v>417</v>
      </c>
      <c r="G935" t="s">
        <v>13</v>
      </c>
      <c r="H935" t="s">
        <v>11</v>
      </c>
    </row>
    <row r="936" spans="1:8" x14ac:dyDescent="0.45">
      <c r="A936">
        <v>6464</v>
      </c>
      <c r="B936">
        <v>43979</v>
      </c>
      <c r="C936">
        <v>1</v>
      </c>
      <c r="D936">
        <v>60.97</v>
      </c>
      <c r="E936" t="s">
        <v>8</v>
      </c>
      <c r="F936" t="s">
        <v>418</v>
      </c>
      <c r="G936" t="s">
        <v>23</v>
      </c>
      <c r="H936" t="s">
        <v>11</v>
      </c>
    </row>
    <row r="937" spans="1:8" x14ac:dyDescent="0.45">
      <c r="A937">
        <v>6464</v>
      </c>
      <c r="B937">
        <v>43979</v>
      </c>
      <c r="C937">
        <v>42</v>
      </c>
      <c r="D937">
        <v>90.98</v>
      </c>
      <c r="E937" t="s">
        <v>8</v>
      </c>
      <c r="F937" t="s">
        <v>418</v>
      </c>
      <c r="G937" t="s">
        <v>23</v>
      </c>
      <c r="H937" t="s">
        <v>15</v>
      </c>
    </row>
    <row r="938" spans="1:8" x14ac:dyDescent="0.45">
      <c r="A938">
        <v>6500</v>
      </c>
      <c r="B938">
        <v>45211</v>
      </c>
      <c r="C938">
        <v>15</v>
      </c>
      <c r="D938">
        <v>30.42</v>
      </c>
      <c r="E938" t="s">
        <v>8</v>
      </c>
      <c r="F938" t="s">
        <v>64</v>
      </c>
      <c r="G938" t="s">
        <v>20</v>
      </c>
      <c r="H938" t="s">
        <v>17</v>
      </c>
    </row>
    <row r="939" spans="1:8" x14ac:dyDescent="0.45">
      <c r="A939">
        <v>6500</v>
      </c>
      <c r="B939">
        <v>45211</v>
      </c>
      <c r="C939">
        <v>20</v>
      </c>
      <c r="D939">
        <v>1.95</v>
      </c>
      <c r="E939" t="s">
        <v>8</v>
      </c>
      <c r="F939" t="s">
        <v>64</v>
      </c>
      <c r="G939" t="s">
        <v>20</v>
      </c>
      <c r="H939" t="s">
        <v>11</v>
      </c>
    </row>
    <row r="940" spans="1:8" x14ac:dyDescent="0.45">
      <c r="A940">
        <v>6501</v>
      </c>
      <c r="B940">
        <v>44939</v>
      </c>
      <c r="C940">
        <v>35</v>
      </c>
      <c r="D940">
        <v>6.48</v>
      </c>
      <c r="E940" t="s">
        <v>8</v>
      </c>
      <c r="F940" t="s">
        <v>404</v>
      </c>
      <c r="G940" t="s">
        <v>13</v>
      </c>
      <c r="H940" t="s">
        <v>11</v>
      </c>
    </row>
    <row r="941" spans="1:8" x14ac:dyDescent="0.45">
      <c r="A941">
        <v>6501</v>
      </c>
      <c r="B941">
        <v>44939</v>
      </c>
      <c r="C941">
        <v>46</v>
      </c>
      <c r="D941">
        <v>125.99</v>
      </c>
      <c r="E941" t="s">
        <v>8</v>
      </c>
      <c r="F941" t="s">
        <v>404</v>
      </c>
      <c r="G941" t="s">
        <v>13</v>
      </c>
      <c r="H941" t="s">
        <v>17</v>
      </c>
    </row>
    <row r="942" spans="1:8" x14ac:dyDescent="0.45">
      <c r="A942">
        <v>6502</v>
      </c>
      <c r="B942">
        <v>44793</v>
      </c>
      <c r="C942">
        <v>30</v>
      </c>
      <c r="D942">
        <v>9.99</v>
      </c>
      <c r="E942" t="s">
        <v>8</v>
      </c>
      <c r="F942" t="s">
        <v>121</v>
      </c>
      <c r="G942" t="s">
        <v>20</v>
      </c>
      <c r="H942" t="s">
        <v>11</v>
      </c>
    </row>
    <row r="943" spans="1:8" x14ac:dyDescent="0.45">
      <c r="A943">
        <v>6529</v>
      </c>
      <c r="B943">
        <v>45256</v>
      </c>
      <c r="C943">
        <v>35</v>
      </c>
      <c r="D943">
        <v>2.62</v>
      </c>
      <c r="E943" t="s">
        <v>8</v>
      </c>
      <c r="F943" t="s">
        <v>421</v>
      </c>
      <c r="G943" t="s">
        <v>10</v>
      </c>
      <c r="H943" t="s">
        <v>11</v>
      </c>
    </row>
    <row r="944" spans="1:8" x14ac:dyDescent="0.45">
      <c r="A944">
        <v>6531</v>
      </c>
      <c r="B944">
        <v>44394</v>
      </c>
      <c r="C944">
        <v>42</v>
      </c>
      <c r="D944">
        <v>4.37</v>
      </c>
      <c r="E944" t="s">
        <v>8</v>
      </c>
      <c r="F944" t="s">
        <v>422</v>
      </c>
      <c r="G944" t="s">
        <v>20</v>
      </c>
      <c r="H944" t="s">
        <v>11</v>
      </c>
    </row>
    <row r="945" spans="1:8" x14ac:dyDescent="0.45">
      <c r="A945">
        <v>6531</v>
      </c>
      <c r="B945">
        <v>44394</v>
      </c>
      <c r="C945">
        <v>28</v>
      </c>
      <c r="D945">
        <v>19.84</v>
      </c>
      <c r="E945" t="s">
        <v>8</v>
      </c>
      <c r="F945" t="s">
        <v>422</v>
      </c>
      <c r="G945" t="s">
        <v>20</v>
      </c>
      <c r="H945" t="s">
        <v>11</v>
      </c>
    </row>
    <row r="946" spans="1:8" x14ac:dyDescent="0.45">
      <c r="A946">
        <v>6560</v>
      </c>
      <c r="B946">
        <v>44565</v>
      </c>
      <c r="C946">
        <v>20</v>
      </c>
      <c r="D946">
        <v>8.67</v>
      </c>
      <c r="E946" t="s">
        <v>8</v>
      </c>
      <c r="F946" t="s">
        <v>423</v>
      </c>
      <c r="G946" t="s">
        <v>13</v>
      </c>
      <c r="H946" t="s">
        <v>11</v>
      </c>
    </row>
    <row r="947" spans="1:8" x14ac:dyDescent="0.45">
      <c r="A947">
        <v>6564</v>
      </c>
      <c r="B947">
        <v>44582</v>
      </c>
      <c r="C947">
        <v>26</v>
      </c>
      <c r="D947">
        <v>15.98</v>
      </c>
      <c r="E947" t="s">
        <v>8</v>
      </c>
      <c r="F947" t="s">
        <v>424</v>
      </c>
      <c r="G947" t="s">
        <v>23</v>
      </c>
      <c r="H947" t="s">
        <v>17</v>
      </c>
    </row>
    <row r="948" spans="1:8" x14ac:dyDescent="0.45">
      <c r="A948">
        <v>6566</v>
      </c>
      <c r="B948">
        <v>44702</v>
      </c>
      <c r="C948">
        <v>21</v>
      </c>
      <c r="D948">
        <v>33.979999999999997</v>
      </c>
      <c r="E948" t="s">
        <v>8</v>
      </c>
      <c r="F948" t="s">
        <v>185</v>
      </c>
      <c r="G948" t="s">
        <v>13</v>
      </c>
      <c r="H948" t="s">
        <v>17</v>
      </c>
    </row>
    <row r="949" spans="1:8" x14ac:dyDescent="0.45">
      <c r="A949">
        <v>6592</v>
      </c>
      <c r="B949">
        <v>44166</v>
      </c>
      <c r="C949">
        <v>29</v>
      </c>
      <c r="D949">
        <v>6.84</v>
      </c>
      <c r="E949" t="s">
        <v>8</v>
      </c>
      <c r="F949" t="s">
        <v>80</v>
      </c>
      <c r="G949" t="s">
        <v>23</v>
      </c>
      <c r="H949" t="s">
        <v>11</v>
      </c>
    </row>
    <row r="950" spans="1:8" x14ac:dyDescent="0.45">
      <c r="A950">
        <v>6656</v>
      </c>
      <c r="B950">
        <v>43966</v>
      </c>
      <c r="C950">
        <v>45</v>
      </c>
      <c r="D950">
        <v>39.06</v>
      </c>
      <c r="E950" t="s">
        <v>8</v>
      </c>
      <c r="F950" t="s">
        <v>339</v>
      </c>
      <c r="G950" t="s">
        <v>10</v>
      </c>
      <c r="H950" t="s">
        <v>11</v>
      </c>
    </row>
    <row r="951" spans="1:8" x14ac:dyDescent="0.45">
      <c r="A951">
        <v>6656</v>
      </c>
      <c r="B951">
        <v>43966</v>
      </c>
      <c r="C951">
        <v>50</v>
      </c>
      <c r="D951">
        <v>37.700000000000003</v>
      </c>
      <c r="E951" t="s">
        <v>8</v>
      </c>
      <c r="F951" t="s">
        <v>339</v>
      </c>
      <c r="G951" t="s">
        <v>10</v>
      </c>
      <c r="H951" t="s">
        <v>11</v>
      </c>
    </row>
    <row r="952" spans="1:8" x14ac:dyDescent="0.45">
      <c r="A952">
        <v>6661</v>
      </c>
      <c r="B952">
        <v>44302</v>
      </c>
      <c r="C952">
        <v>39</v>
      </c>
      <c r="D952">
        <v>19.23</v>
      </c>
      <c r="E952" t="s">
        <v>8</v>
      </c>
      <c r="F952" t="s">
        <v>342</v>
      </c>
      <c r="G952" t="s">
        <v>10</v>
      </c>
      <c r="H952" t="s">
        <v>15</v>
      </c>
    </row>
    <row r="953" spans="1:8" x14ac:dyDescent="0.45">
      <c r="A953">
        <v>6693</v>
      </c>
      <c r="B953">
        <v>45070</v>
      </c>
      <c r="C953">
        <v>16</v>
      </c>
      <c r="D953">
        <v>2.62</v>
      </c>
      <c r="E953" t="s">
        <v>8</v>
      </c>
      <c r="F953" t="s">
        <v>426</v>
      </c>
      <c r="G953" t="s">
        <v>13</v>
      </c>
      <c r="H953" t="s">
        <v>11</v>
      </c>
    </row>
    <row r="954" spans="1:8" x14ac:dyDescent="0.45">
      <c r="A954">
        <v>6720</v>
      </c>
      <c r="B954">
        <v>44448</v>
      </c>
      <c r="C954">
        <v>31</v>
      </c>
      <c r="D954">
        <v>5.18</v>
      </c>
      <c r="E954" t="s">
        <v>8</v>
      </c>
      <c r="F954" t="s">
        <v>294</v>
      </c>
      <c r="G954" t="s">
        <v>20</v>
      </c>
      <c r="H954" t="s">
        <v>11</v>
      </c>
    </row>
    <row r="955" spans="1:8" x14ac:dyDescent="0.45">
      <c r="A955">
        <v>6720</v>
      </c>
      <c r="B955">
        <v>44448</v>
      </c>
      <c r="C955">
        <v>8</v>
      </c>
      <c r="D955">
        <v>6.3</v>
      </c>
      <c r="E955" t="s">
        <v>8</v>
      </c>
      <c r="F955" t="s">
        <v>294</v>
      </c>
      <c r="G955" t="s">
        <v>20</v>
      </c>
      <c r="H955" t="s">
        <v>11</v>
      </c>
    </row>
    <row r="956" spans="1:8" x14ac:dyDescent="0.45">
      <c r="A956">
        <v>6727</v>
      </c>
      <c r="B956">
        <v>44072</v>
      </c>
      <c r="C956">
        <v>12</v>
      </c>
      <c r="D956">
        <v>2.89</v>
      </c>
      <c r="E956" t="s">
        <v>8</v>
      </c>
      <c r="F956" t="s">
        <v>428</v>
      </c>
      <c r="G956" t="s">
        <v>23</v>
      </c>
      <c r="H956" t="s">
        <v>11</v>
      </c>
    </row>
    <row r="957" spans="1:8" x14ac:dyDescent="0.45">
      <c r="A957">
        <v>6753</v>
      </c>
      <c r="B957">
        <v>44465</v>
      </c>
      <c r="C957">
        <v>7</v>
      </c>
      <c r="D957">
        <v>6.64</v>
      </c>
      <c r="E957" t="s">
        <v>8</v>
      </c>
      <c r="F957" t="s">
        <v>63</v>
      </c>
      <c r="G957" t="s">
        <v>10</v>
      </c>
      <c r="H957" t="s">
        <v>15</v>
      </c>
    </row>
    <row r="958" spans="1:8" x14ac:dyDescent="0.45">
      <c r="A958">
        <v>6754</v>
      </c>
      <c r="B958">
        <v>44784</v>
      </c>
      <c r="C958">
        <v>13</v>
      </c>
      <c r="D958">
        <v>205.99</v>
      </c>
      <c r="E958" t="s">
        <v>8</v>
      </c>
      <c r="F958" t="s">
        <v>429</v>
      </c>
      <c r="G958" t="s">
        <v>13</v>
      </c>
      <c r="H958" t="s">
        <v>17</v>
      </c>
    </row>
    <row r="959" spans="1:8" x14ac:dyDescent="0.45">
      <c r="A959">
        <v>6755</v>
      </c>
      <c r="B959">
        <v>44682</v>
      </c>
      <c r="C959">
        <v>20</v>
      </c>
      <c r="D959">
        <v>7.1</v>
      </c>
      <c r="E959" t="s">
        <v>8</v>
      </c>
      <c r="F959" t="s">
        <v>119</v>
      </c>
      <c r="G959" t="s">
        <v>20</v>
      </c>
      <c r="H959" t="s">
        <v>11</v>
      </c>
    </row>
    <row r="960" spans="1:8" x14ac:dyDescent="0.45">
      <c r="A960">
        <v>6757</v>
      </c>
      <c r="B960">
        <v>44958</v>
      </c>
      <c r="C960">
        <v>27</v>
      </c>
      <c r="D960">
        <v>34.76</v>
      </c>
      <c r="E960" t="s">
        <v>8</v>
      </c>
      <c r="F960" t="s">
        <v>430</v>
      </c>
      <c r="G960" t="s">
        <v>10</v>
      </c>
      <c r="H960" t="s">
        <v>11</v>
      </c>
    </row>
    <row r="961" spans="1:8" x14ac:dyDescent="0.45">
      <c r="A961">
        <v>6785</v>
      </c>
      <c r="B961">
        <v>45052</v>
      </c>
      <c r="C961">
        <v>7</v>
      </c>
      <c r="D961">
        <v>25.38</v>
      </c>
      <c r="E961" t="s">
        <v>8</v>
      </c>
      <c r="F961" t="s">
        <v>416</v>
      </c>
      <c r="G961" t="s">
        <v>20</v>
      </c>
      <c r="H961" t="s">
        <v>15</v>
      </c>
    </row>
    <row r="962" spans="1:8" x14ac:dyDescent="0.45">
      <c r="A962">
        <v>6788</v>
      </c>
      <c r="B962">
        <v>44777</v>
      </c>
      <c r="C962">
        <v>6</v>
      </c>
      <c r="D962">
        <v>1.81</v>
      </c>
      <c r="E962" t="s">
        <v>8</v>
      </c>
      <c r="F962" t="s">
        <v>226</v>
      </c>
      <c r="G962" t="s">
        <v>10</v>
      </c>
      <c r="H962" t="s">
        <v>11</v>
      </c>
    </row>
    <row r="963" spans="1:8" x14ac:dyDescent="0.45">
      <c r="A963">
        <v>6823</v>
      </c>
      <c r="B963">
        <v>44033</v>
      </c>
      <c r="C963">
        <v>50</v>
      </c>
      <c r="D963">
        <v>24.95</v>
      </c>
      <c r="E963" t="s">
        <v>8</v>
      </c>
      <c r="F963" t="s">
        <v>199</v>
      </c>
      <c r="G963" t="s">
        <v>10</v>
      </c>
      <c r="H963" t="s">
        <v>11</v>
      </c>
    </row>
    <row r="964" spans="1:8" x14ac:dyDescent="0.45">
      <c r="A964">
        <v>6823</v>
      </c>
      <c r="B964">
        <v>44033</v>
      </c>
      <c r="C964">
        <v>31</v>
      </c>
      <c r="D964">
        <v>15.98</v>
      </c>
      <c r="E964" t="s">
        <v>8</v>
      </c>
      <c r="F964" t="s">
        <v>199</v>
      </c>
      <c r="G964" t="s">
        <v>10</v>
      </c>
      <c r="H964" t="s">
        <v>17</v>
      </c>
    </row>
    <row r="965" spans="1:8" x14ac:dyDescent="0.45">
      <c r="A965">
        <v>6848</v>
      </c>
      <c r="B965">
        <v>44452</v>
      </c>
      <c r="C965">
        <v>22</v>
      </c>
      <c r="D965">
        <v>5.4</v>
      </c>
      <c r="E965" t="s">
        <v>8</v>
      </c>
      <c r="F965" t="s">
        <v>432</v>
      </c>
      <c r="G965" t="s">
        <v>23</v>
      </c>
      <c r="H965" t="s">
        <v>11</v>
      </c>
    </row>
    <row r="966" spans="1:8" x14ac:dyDescent="0.45">
      <c r="A966">
        <v>6850</v>
      </c>
      <c r="B966">
        <v>44238</v>
      </c>
      <c r="C966">
        <v>8</v>
      </c>
      <c r="D966">
        <v>10.01</v>
      </c>
      <c r="E966" t="s">
        <v>8</v>
      </c>
      <c r="F966" t="s">
        <v>433</v>
      </c>
      <c r="G966" t="s">
        <v>13</v>
      </c>
      <c r="H966" t="s">
        <v>17</v>
      </c>
    </row>
    <row r="967" spans="1:8" x14ac:dyDescent="0.45">
      <c r="A967">
        <v>6850</v>
      </c>
      <c r="B967">
        <v>44238</v>
      </c>
      <c r="C967">
        <v>41</v>
      </c>
      <c r="D967">
        <v>51.98</v>
      </c>
      <c r="E967" t="s">
        <v>8</v>
      </c>
      <c r="F967" t="s">
        <v>433</v>
      </c>
      <c r="G967" t="s">
        <v>13</v>
      </c>
      <c r="H967" t="s">
        <v>17</v>
      </c>
    </row>
    <row r="968" spans="1:8" x14ac:dyDescent="0.45">
      <c r="A968">
        <v>6850</v>
      </c>
      <c r="B968">
        <v>44238</v>
      </c>
      <c r="C968">
        <v>34</v>
      </c>
      <c r="D968">
        <v>64.98</v>
      </c>
      <c r="E968" t="s">
        <v>8</v>
      </c>
      <c r="F968" t="s">
        <v>433</v>
      </c>
      <c r="G968" t="s">
        <v>13</v>
      </c>
      <c r="H968" t="s">
        <v>11</v>
      </c>
    </row>
    <row r="969" spans="1:8" x14ac:dyDescent="0.45">
      <c r="A969">
        <v>6880</v>
      </c>
      <c r="B969">
        <v>43976</v>
      </c>
      <c r="C969">
        <v>5</v>
      </c>
      <c r="D969">
        <v>47.9</v>
      </c>
      <c r="E969" t="s">
        <v>8</v>
      </c>
      <c r="F969" t="s">
        <v>435</v>
      </c>
      <c r="G969" t="s">
        <v>23</v>
      </c>
      <c r="H969" t="s">
        <v>11</v>
      </c>
    </row>
    <row r="970" spans="1:8" x14ac:dyDescent="0.45">
      <c r="A970">
        <v>6884</v>
      </c>
      <c r="B970">
        <v>43845</v>
      </c>
      <c r="C970">
        <v>41</v>
      </c>
      <c r="D970">
        <v>4.9800000000000004</v>
      </c>
      <c r="E970" t="s">
        <v>8</v>
      </c>
      <c r="F970" t="s">
        <v>402</v>
      </c>
      <c r="G970" t="s">
        <v>20</v>
      </c>
      <c r="H970" t="s">
        <v>11</v>
      </c>
    </row>
    <row r="971" spans="1:8" x14ac:dyDescent="0.45">
      <c r="A971">
        <v>6884</v>
      </c>
      <c r="B971">
        <v>43845</v>
      </c>
      <c r="C971">
        <v>47</v>
      </c>
      <c r="D971">
        <v>6.35</v>
      </c>
      <c r="E971" t="s">
        <v>8</v>
      </c>
      <c r="F971" t="s">
        <v>402</v>
      </c>
      <c r="G971" t="s">
        <v>20</v>
      </c>
      <c r="H971" t="s">
        <v>11</v>
      </c>
    </row>
    <row r="972" spans="1:8" x14ac:dyDescent="0.45">
      <c r="A972">
        <v>6885</v>
      </c>
      <c r="B972">
        <v>45096</v>
      </c>
      <c r="C972">
        <v>40</v>
      </c>
      <c r="D972">
        <v>23.99</v>
      </c>
      <c r="E972" t="s">
        <v>8</v>
      </c>
      <c r="F972" t="s">
        <v>436</v>
      </c>
      <c r="G972" t="s">
        <v>13</v>
      </c>
      <c r="H972" t="s">
        <v>17</v>
      </c>
    </row>
    <row r="973" spans="1:8" x14ac:dyDescent="0.45">
      <c r="A973">
        <v>6886</v>
      </c>
      <c r="B973">
        <v>44945</v>
      </c>
      <c r="C973">
        <v>46</v>
      </c>
      <c r="D973">
        <v>178.47</v>
      </c>
      <c r="E973" t="s">
        <v>8</v>
      </c>
      <c r="F973" t="s">
        <v>118</v>
      </c>
      <c r="G973" t="s">
        <v>23</v>
      </c>
      <c r="H973" t="s">
        <v>11</v>
      </c>
    </row>
    <row r="974" spans="1:8" x14ac:dyDescent="0.45">
      <c r="A974">
        <v>6912</v>
      </c>
      <c r="B974">
        <v>44905</v>
      </c>
      <c r="C974">
        <v>14</v>
      </c>
      <c r="D974">
        <v>21.78</v>
      </c>
      <c r="E974" t="s">
        <v>8</v>
      </c>
      <c r="F974" t="s">
        <v>419</v>
      </c>
      <c r="G974" t="s">
        <v>10</v>
      </c>
      <c r="H974" t="s">
        <v>11</v>
      </c>
    </row>
    <row r="975" spans="1:8" x14ac:dyDescent="0.45">
      <c r="A975">
        <v>6918</v>
      </c>
      <c r="B975">
        <v>44743</v>
      </c>
      <c r="C975">
        <v>38</v>
      </c>
      <c r="D975">
        <v>39.479999999999997</v>
      </c>
      <c r="E975" t="s">
        <v>8</v>
      </c>
      <c r="F975" t="s">
        <v>438</v>
      </c>
      <c r="G975" t="s">
        <v>23</v>
      </c>
      <c r="H975" t="s">
        <v>17</v>
      </c>
    </row>
    <row r="976" spans="1:8" x14ac:dyDescent="0.45">
      <c r="A976">
        <v>6947</v>
      </c>
      <c r="B976">
        <v>44761</v>
      </c>
      <c r="C976">
        <v>9</v>
      </c>
      <c r="D976">
        <v>51.65</v>
      </c>
      <c r="E976" t="s">
        <v>8</v>
      </c>
      <c r="F976" t="s">
        <v>439</v>
      </c>
      <c r="G976" t="s">
        <v>10</v>
      </c>
      <c r="H976" t="s">
        <v>15</v>
      </c>
    </row>
    <row r="977" spans="1:8" x14ac:dyDescent="0.45">
      <c r="A977">
        <v>6948</v>
      </c>
      <c r="B977">
        <v>44539</v>
      </c>
      <c r="C977">
        <v>15</v>
      </c>
      <c r="D977">
        <v>73.98</v>
      </c>
      <c r="E977" t="s">
        <v>8</v>
      </c>
      <c r="F977" t="s">
        <v>440</v>
      </c>
      <c r="G977" t="s">
        <v>13</v>
      </c>
      <c r="H977" t="s">
        <v>17</v>
      </c>
    </row>
    <row r="978" spans="1:8" x14ac:dyDescent="0.45">
      <c r="A978">
        <v>6950</v>
      </c>
      <c r="B978">
        <v>45011</v>
      </c>
      <c r="C978">
        <v>4</v>
      </c>
      <c r="D978">
        <v>55.99</v>
      </c>
      <c r="E978" t="s">
        <v>8</v>
      </c>
      <c r="F978" t="s">
        <v>441</v>
      </c>
      <c r="G978" t="s">
        <v>20</v>
      </c>
      <c r="H978" t="s">
        <v>17</v>
      </c>
    </row>
    <row r="979" spans="1:8" x14ac:dyDescent="0.45">
      <c r="A979">
        <v>6978</v>
      </c>
      <c r="B979">
        <v>44539</v>
      </c>
      <c r="C979">
        <v>47</v>
      </c>
      <c r="D979">
        <v>8.1199999999999992</v>
      </c>
      <c r="E979" t="s">
        <v>8</v>
      </c>
      <c r="F979" t="s">
        <v>68</v>
      </c>
      <c r="G979" t="s">
        <v>20</v>
      </c>
      <c r="H979" t="s">
        <v>17</v>
      </c>
    </row>
    <row r="980" spans="1:8" x14ac:dyDescent="0.45">
      <c r="A980">
        <v>6979</v>
      </c>
      <c r="B980">
        <v>43888</v>
      </c>
      <c r="C980">
        <v>28</v>
      </c>
      <c r="D980">
        <v>11.99</v>
      </c>
      <c r="E980" t="s">
        <v>8</v>
      </c>
      <c r="F980" t="s">
        <v>27</v>
      </c>
      <c r="G980" t="s">
        <v>20</v>
      </c>
      <c r="H980" t="s">
        <v>17</v>
      </c>
    </row>
    <row r="981" spans="1:8" x14ac:dyDescent="0.45">
      <c r="A981">
        <v>6980</v>
      </c>
      <c r="B981">
        <v>44245</v>
      </c>
      <c r="C981">
        <v>18</v>
      </c>
      <c r="D981">
        <v>7.3</v>
      </c>
      <c r="E981" t="s">
        <v>8</v>
      </c>
      <c r="F981" t="s">
        <v>442</v>
      </c>
      <c r="G981" t="s">
        <v>23</v>
      </c>
      <c r="H981" t="s">
        <v>11</v>
      </c>
    </row>
    <row r="982" spans="1:8" x14ac:dyDescent="0.45">
      <c r="A982">
        <v>6982</v>
      </c>
      <c r="B982">
        <v>44881</v>
      </c>
      <c r="C982">
        <v>41</v>
      </c>
      <c r="D982">
        <v>19.98</v>
      </c>
      <c r="E982" t="s">
        <v>8</v>
      </c>
      <c r="F982" t="s">
        <v>317</v>
      </c>
      <c r="G982" t="s">
        <v>13</v>
      </c>
      <c r="H982" t="s">
        <v>15</v>
      </c>
    </row>
    <row r="983" spans="1:8" x14ac:dyDescent="0.45">
      <c r="A983">
        <v>7015</v>
      </c>
      <c r="B983">
        <v>44481</v>
      </c>
      <c r="C983">
        <v>47</v>
      </c>
      <c r="D983">
        <v>40.98</v>
      </c>
      <c r="E983" t="s">
        <v>8</v>
      </c>
      <c r="F983" t="s">
        <v>41</v>
      </c>
      <c r="G983" t="s">
        <v>20</v>
      </c>
      <c r="H983" t="s">
        <v>17</v>
      </c>
    </row>
    <row r="984" spans="1:8" x14ac:dyDescent="0.45">
      <c r="A984">
        <v>7043</v>
      </c>
      <c r="B984">
        <v>43855</v>
      </c>
      <c r="C984">
        <v>4</v>
      </c>
      <c r="D984">
        <v>1.74</v>
      </c>
      <c r="E984" t="s">
        <v>8</v>
      </c>
      <c r="F984" t="s">
        <v>351</v>
      </c>
      <c r="G984" t="s">
        <v>13</v>
      </c>
      <c r="H984" t="s">
        <v>15</v>
      </c>
    </row>
    <row r="985" spans="1:8" x14ac:dyDescent="0.45">
      <c r="A985">
        <v>7072</v>
      </c>
      <c r="B985">
        <v>44961</v>
      </c>
      <c r="C985">
        <v>29</v>
      </c>
      <c r="D985">
        <v>8.85</v>
      </c>
      <c r="E985" t="s">
        <v>8</v>
      </c>
      <c r="F985" t="s">
        <v>406</v>
      </c>
      <c r="G985" t="s">
        <v>13</v>
      </c>
      <c r="H985" t="s">
        <v>11</v>
      </c>
    </row>
    <row r="986" spans="1:8" x14ac:dyDescent="0.45">
      <c r="A986">
        <v>7075</v>
      </c>
      <c r="B986">
        <v>44844</v>
      </c>
      <c r="C986">
        <v>15</v>
      </c>
      <c r="D986">
        <v>15.42</v>
      </c>
      <c r="E986" t="s">
        <v>8</v>
      </c>
      <c r="F986" t="s">
        <v>392</v>
      </c>
      <c r="G986" t="s">
        <v>13</v>
      </c>
      <c r="H986" t="s">
        <v>11</v>
      </c>
    </row>
    <row r="987" spans="1:8" x14ac:dyDescent="0.45">
      <c r="A987">
        <v>7075</v>
      </c>
      <c r="B987">
        <v>44844</v>
      </c>
      <c r="C987">
        <v>43</v>
      </c>
      <c r="D987">
        <v>1.86</v>
      </c>
      <c r="E987" t="s">
        <v>8</v>
      </c>
      <c r="F987" t="s">
        <v>392</v>
      </c>
      <c r="G987" t="s">
        <v>13</v>
      </c>
      <c r="H987" t="s">
        <v>11</v>
      </c>
    </row>
    <row r="988" spans="1:8" x14ac:dyDescent="0.45">
      <c r="A988">
        <v>7077</v>
      </c>
      <c r="B988">
        <v>44916</v>
      </c>
      <c r="C988">
        <v>14</v>
      </c>
      <c r="D988">
        <v>21.78</v>
      </c>
      <c r="E988" t="s">
        <v>8</v>
      </c>
      <c r="F988" t="s">
        <v>444</v>
      </c>
      <c r="G988" t="s">
        <v>23</v>
      </c>
      <c r="H988" t="s">
        <v>11</v>
      </c>
    </row>
    <row r="989" spans="1:8" x14ac:dyDescent="0.45">
      <c r="A989">
        <v>7078</v>
      </c>
      <c r="B989">
        <v>44297</v>
      </c>
      <c r="C989">
        <v>9</v>
      </c>
      <c r="D989">
        <v>11.33</v>
      </c>
      <c r="E989" t="s">
        <v>8</v>
      </c>
      <c r="F989" t="s">
        <v>57</v>
      </c>
      <c r="G989" t="s">
        <v>13</v>
      </c>
      <c r="H989" t="s">
        <v>11</v>
      </c>
    </row>
    <row r="990" spans="1:8" x14ac:dyDescent="0.45">
      <c r="A990">
        <v>7079</v>
      </c>
      <c r="B990">
        <v>44235</v>
      </c>
      <c r="C990">
        <v>18</v>
      </c>
      <c r="D990">
        <v>6.48</v>
      </c>
      <c r="E990" t="s">
        <v>8</v>
      </c>
      <c r="F990" t="s">
        <v>230</v>
      </c>
      <c r="G990" t="s">
        <v>10</v>
      </c>
      <c r="H990" t="s">
        <v>11</v>
      </c>
    </row>
    <row r="991" spans="1:8" x14ac:dyDescent="0.45">
      <c r="A991">
        <v>7105</v>
      </c>
      <c r="B991">
        <v>44368</v>
      </c>
      <c r="C991">
        <v>17</v>
      </c>
      <c r="D991">
        <v>4.0599999999999996</v>
      </c>
      <c r="E991" t="s">
        <v>8</v>
      </c>
      <c r="F991" t="s">
        <v>189</v>
      </c>
      <c r="G991" t="s">
        <v>13</v>
      </c>
      <c r="H991" t="s">
        <v>11</v>
      </c>
    </row>
    <row r="992" spans="1:8" x14ac:dyDescent="0.45">
      <c r="A992">
        <v>7106</v>
      </c>
      <c r="B992">
        <v>45056</v>
      </c>
      <c r="C992">
        <v>8</v>
      </c>
      <c r="D992">
        <v>14.27</v>
      </c>
      <c r="E992" t="s">
        <v>8</v>
      </c>
      <c r="F992" t="s">
        <v>445</v>
      </c>
      <c r="G992" t="s">
        <v>20</v>
      </c>
      <c r="H992" t="s">
        <v>11</v>
      </c>
    </row>
    <row r="993" spans="1:8" x14ac:dyDescent="0.45">
      <c r="A993">
        <v>7106</v>
      </c>
      <c r="B993">
        <v>45056</v>
      </c>
      <c r="C993">
        <v>31</v>
      </c>
      <c r="D993">
        <v>159.99</v>
      </c>
      <c r="E993" t="s">
        <v>8</v>
      </c>
      <c r="F993" t="s">
        <v>445</v>
      </c>
      <c r="G993" t="s">
        <v>20</v>
      </c>
      <c r="H993" t="s">
        <v>17</v>
      </c>
    </row>
    <row r="994" spans="1:8" x14ac:dyDescent="0.45">
      <c r="A994">
        <v>7106</v>
      </c>
      <c r="B994">
        <v>45056</v>
      </c>
      <c r="C994">
        <v>36</v>
      </c>
      <c r="D994">
        <v>27.75</v>
      </c>
      <c r="E994" t="s">
        <v>8</v>
      </c>
      <c r="F994" t="s">
        <v>445</v>
      </c>
      <c r="G994" t="s">
        <v>20</v>
      </c>
      <c r="H994" t="s">
        <v>11</v>
      </c>
    </row>
    <row r="995" spans="1:8" x14ac:dyDescent="0.45">
      <c r="A995">
        <v>7107</v>
      </c>
      <c r="B995">
        <v>44930</v>
      </c>
      <c r="C995">
        <v>3</v>
      </c>
      <c r="D995">
        <v>54.2</v>
      </c>
      <c r="E995" t="s">
        <v>8</v>
      </c>
      <c r="F995" t="s">
        <v>446</v>
      </c>
      <c r="G995" t="s">
        <v>13</v>
      </c>
      <c r="H995" t="s">
        <v>15</v>
      </c>
    </row>
    <row r="996" spans="1:8" x14ac:dyDescent="0.45">
      <c r="A996">
        <v>7107</v>
      </c>
      <c r="B996">
        <v>44930</v>
      </c>
      <c r="C996">
        <v>3</v>
      </c>
      <c r="D996">
        <v>37.94</v>
      </c>
      <c r="E996" t="s">
        <v>8</v>
      </c>
      <c r="F996" t="s">
        <v>446</v>
      </c>
      <c r="G996" t="s">
        <v>13</v>
      </c>
      <c r="H996" t="s">
        <v>11</v>
      </c>
    </row>
    <row r="997" spans="1:8" x14ac:dyDescent="0.45">
      <c r="A997">
        <v>7107</v>
      </c>
      <c r="B997">
        <v>44930</v>
      </c>
      <c r="C997">
        <v>32</v>
      </c>
      <c r="D997">
        <v>55.29</v>
      </c>
      <c r="E997" t="s">
        <v>8</v>
      </c>
      <c r="F997" t="s">
        <v>446</v>
      </c>
      <c r="G997" t="s">
        <v>13</v>
      </c>
      <c r="H997" t="s">
        <v>11</v>
      </c>
    </row>
    <row r="998" spans="1:8" x14ac:dyDescent="0.45">
      <c r="A998">
        <v>7110</v>
      </c>
      <c r="B998">
        <v>44780</v>
      </c>
      <c r="C998">
        <v>22</v>
      </c>
      <c r="D998">
        <v>276.2</v>
      </c>
      <c r="E998" t="s">
        <v>8</v>
      </c>
      <c r="F998" t="s">
        <v>211</v>
      </c>
      <c r="G998" t="s">
        <v>13</v>
      </c>
      <c r="H998" t="s">
        <v>15</v>
      </c>
    </row>
    <row r="999" spans="1:8" x14ac:dyDescent="0.45">
      <c r="A999">
        <v>7136</v>
      </c>
      <c r="B999">
        <v>43912</v>
      </c>
      <c r="C999">
        <v>17</v>
      </c>
      <c r="D999">
        <v>39.479999999999997</v>
      </c>
      <c r="E999" t="s">
        <v>8</v>
      </c>
      <c r="F999" t="s">
        <v>301</v>
      </c>
      <c r="G999" t="s">
        <v>20</v>
      </c>
      <c r="H999" t="s">
        <v>17</v>
      </c>
    </row>
    <row r="1000" spans="1:8" x14ac:dyDescent="0.45">
      <c r="A1000">
        <v>7136</v>
      </c>
      <c r="B1000">
        <v>43912</v>
      </c>
      <c r="C1000">
        <v>9</v>
      </c>
      <c r="D1000">
        <v>4.91</v>
      </c>
      <c r="E1000" t="s">
        <v>8</v>
      </c>
      <c r="F1000" t="s">
        <v>301</v>
      </c>
      <c r="G1000" t="s">
        <v>20</v>
      </c>
      <c r="H1000" t="s">
        <v>11</v>
      </c>
    </row>
    <row r="1001" spans="1:8" x14ac:dyDescent="0.45">
      <c r="A1001">
        <v>7142</v>
      </c>
      <c r="B1001">
        <v>44763</v>
      </c>
      <c r="C1001">
        <v>36</v>
      </c>
      <c r="D1001">
        <v>3.69</v>
      </c>
      <c r="E1001" t="s">
        <v>8</v>
      </c>
      <c r="F1001" t="s">
        <v>58</v>
      </c>
      <c r="G1001" t="s">
        <v>13</v>
      </c>
      <c r="H1001" t="s">
        <v>11</v>
      </c>
    </row>
    <row r="1002" spans="1:8" x14ac:dyDescent="0.45">
      <c r="A1002">
        <v>7169</v>
      </c>
      <c r="B1002">
        <v>44281</v>
      </c>
      <c r="C1002">
        <v>22</v>
      </c>
      <c r="D1002">
        <v>20.28</v>
      </c>
      <c r="E1002" t="s">
        <v>8</v>
      </c>
      <c r="F1002" t="s">
        <v>136</v>
      </c>
      <c r="G1002" t="s">
        <v>13</v>
      </c>
      <c r="H1002" t="s">
        <v>15</v>
      </c>
    </row>
    <row r="1003" spans="1:8" x14ac:dyDescent="0.45">
      <c r="A1003">
        <v>7169</v>
      </c>
      <c r="B1003">
        <v>44281</v>
      </c>
      <c r="C1003">
        <v>30</v>
      </c>
      <c r="D1003">
        <v>65.989999999999995</v>
      </c>
      <c r="E1003" t="s">
        <v>8</v>
      </c>
      <c r="F1003" t="s">
        <v>136</v>
      </c>
      <c r="G1003" t="s">
        <v>13</v>
      </c>
      <c r="H1003" t="s">
        <v>17</v>
      </c>
    </row>
    <row r="1004" spans="1:8" x14ac:dyDescent="0.45">
      <c r="A1004">
        <v>7171</v>
      </c>
      <c r="B1004">
        <v>44605</v>
      </c>
      <c r="C1004">
        <v>28</v>
      </c>
      <c r="D1004">
        <v>65.989999999999995</v>
      </c>
      <c r="E1004" t="s">
        <v>8</v>
      </c>
      <c r="F1004" t="s">
        <v>447</v>
      </c>
      <c r="G1004" t="s">
        <v>23</v>
      </c>
      <c r="H1004" t="s">
        <v>17</v>
      </c>
    </row>
    <row r="1005" spans="1:8" x14ac:dyDescent="0.45">
      <c r="A1005">
        <v>7171</v>
      </c>
      <c r="B1005">
        <v>44605</v>
      </c>
      <c r="C1005">
        <v>17</v>
      </c>
      <c r="D1005">
        <v>20.99</v>
      </c>
      <c r="E1005" t="s">
        <v>8</v>
      </c>
      <c r="F1005" t="s">
        <v>447</v>
      </c>
      <c r="G1005" t="s">
        <v>23</v>
      </c>
      <c r="H1005" t="s">
        <v>17</v>
      </c>
    </row>
    <row r="1006" spans="1:8" x14ac:dyDescent="0.45">
      <c r="A1006">
        <v>7174</v>
      </c>
      <c r="B1006">
        <v>44995</v>
      </c>
      <c r="C1006">
        <v>10</v>
      </c>
      <c r="D1006">
        <v>13.73</v>
      </c>
      <c r="E1006" t="s">
        <v>8</v>
      </c>
      <c r="F1006" t="s">
        <v>313</v>
      </c>
      <c r="G1006" t="s">
        <v>23</v>
      </c>
      <c r="H1006" t="s">
        <v>15</v>
      </c>
    </row>
    <row r="1007" spans="1:8" x14ac:dyDescent="0.45">
      <c r="A1007">
        <v>7203</v>
      </c>
      <c r="B1007">
        <v>43838</v>
      </c>
      <c r="C1007">
        <v>25</v>
      </c>
      <c r="D1007">
        <v>896.99</v>
      </c>
      <c r="E1007" t="s">
        <v>8</v>
      </c>
      <c r="F1007" t="s">
        <v>12</v>
      </c>
      <c r="G1007" t="s">
        <v>13</v>
      </c>
      <c r="H1007" t="s">
        <v>11</v>
      </c>
    </row>
    <row r="1008" spans="1:8" x14ac:dyDescent="0.45">
      <c r="A1008">
        <v>7239</v>
      </c>
      <c r="B1008">
        <v>44741</v>
      </c>
      <c r="C1008">
        <v>50</v>
      </c>
      <c r="D1008">
        <v>120.33</v>
      </c>
      <c r="E1008" t="s">
        <v>8</v>
      </c>
      <c r="F1008" t="s">
        <v>135</v>
      </c>
      <c r="G1008" t="s">
        <v>10</v>
      </c>
      <c r="H1008" t="s">
        <v>11</v>
      </c>
    </row>
    <row r="1009" spans="1:8" x14ac:dyDescent="0.45">
      <c r="A1009">
        <v>7203</v>
      </c>
      <c r="B1009">
        <v>43900</v>
      </c>
      <c r="C1009">
        <v>26</v>
      </c>
      <c r="D1009">
        <v>699.47</v>
      </c>
      <c r="E1009" t="s">
        <v>464</v>
      </c>
      <c r="F1009" t="s">
        <v>465</v>
      </c>
      <c r="G1009" t="s">
        <v>13</v>
      </c>
      <c r="H1009" t="s">
        <v>15</v>
      </c>
    </row>
    <row r="1010" spans="1:8" x14ac:dyDescent="0.45">
      <c r="A1010">
        <v>7204</v>
      </c>
      <c r="B1010">
        <v>43843</v>
      </c>
      <c r="C1010">
        <v>91</v>
      </c>
      <c r="D1010">
        <v>1366.13</v>
      </c>
      <c r="E1010" t="s">
        <v>8</v>
      </c>
      <c r="F1010" t="s">
        <v>466</v>
      </c>
      <c r="G1010" t="s">
        <v>23</v>
      </c>
      <c r="H1010" t="s">
        <v>11</v>
      </c>
    </row>
    <row r="1011" spans="1:8" x14ac:dyDescent="0.45">
      <c r="A1011">
        <v>7205</v>
      </c>
      <c r="B1011">
        <v>44113</v>
      </c>
      <c r="C1011">
        <v>28</v>
      </c>
      <c r="D1011">
        <v>56.93</v>
      </c>
      <c r="E1011" t="s">
        <v>25</v>
      </c>
      <c r="F1011" t="s">
        <v>467</v>
      </c>
      <c r="G1011" t="s">
        <v>13</v>
      </c>
      <c r="H1011" t="s">
        <v>15</v>
      </c>
    </row>
    <row r="1012" spans="1:8" x14ac:dyDescent="0.45">
      <c r="A1012">
        <v>7206</v>
      </c>
      <c r="B1012">
        <v>44097</v>
      </c>
      <c r="C1012">
        <v>88</v>
      </c>
      <c r="D1012">
        <v>219.08</v>
      </c>
      <c r="E1012" t="s">
        <v>25</v>
      </c>
      <c r="F1012" t="s">
        <v>468</v>
      </c>
      <c r="G1012" t="s">
        <v>23</v>
      </c>
      <c r="H1012" t="s">
        <v>11</v>
      </c>
    </row>
    <row r="1013" spans="1:8" x14ac:dyDescent="0.45">
      <c r="A1013">
        <v>7207</v>
      </c>
      <c r="B1013">
        <v>43877</v>
      </c>
      <c r="C1013">
        <v>91</v>
      </c>
      <c r="D1013">
        <v>321.89</v>
      </c>
      <c r="E1013" t="s">
        <v>464</v>
      </c>
      <c r="F1013" t="s">
        <v>469</v>
      </c>
      <c r="G1013" t="s">
        <v>23</v>
      </c>
      <c r="H1013" t="s">
        <v>11</v>
      </c>
    </row>
    <row r="1014" spans="1:8" x14ac:dyDescent="0.45">
      <c r="A1014">
        <v>7208</v>
      </c>
      <c r="B1014">
        <v>43849</v>
      </c>
      <c r="C1014">
        <v>29</v>
      </c>
      <c r="D1014">
        <v>1032.03</v>
      </c>
      <c r="E1014" t="s">
        <v>464</v>
      </c>
      <c r="F1014" t="s">
        <v>470</v>
      </c>
      <c r="G1014" t="s">
        <v>20</v>
      </c>
      <c r="H1014" t="s">
        <v>15</v>
      </c>
    </row>
    <row r="1015" spans="1:8" x14ac:dyDescent="0.45">
      <c r="A1015">
        <v>7209</v>
      </c>
      <c r="B1015">
        <v>43861</v>
      </c>
      <c r="C1015">
        <v>25</v>
      </c>
      <c r="D1015">
        <v>1024.8699999999999</v>
      </c>
      <c r="E1015" t="s">
        <v>25</v>
      </c>
      <c r="F1015" t="s">
        <v>471</v>
      </c>
      <c r="G1015" t="s">
        <v>23</v>
      </c>
      <c r="H1015" t="s">
        <v>11</v>
      </c>
    </row>
    <row r="1016" spans="1:8" x14ac:dyDescent="0.45">
      <c r="A1016">
        <v>7210</v>
      </c>
      <c r="B1016">
        <v>44000</v>
      </c>
      <c r="C1016">
        <v>73</v>
      </c>
      <c r="D1016">
        <v>937.74</v>
      </c>
      <c r="E1016" t="s">
        <v>25</v>
      </c>
      <c r="F1016" t="s">
        <v>472</v>
      </c>
      <c r="G1016" t="s">
        <v>10</v>
      </c>
      <c r="H1016" t="s">
        <v>17</v>
      </c>
    </row>
    <row r="1017" spans="1:8" x14ac:dyDescent="0.45">
      <c r="A1017">
        <v>7211</v>
      </c>
      <c r="B1017">
        <v>44116</v>
      </c>
      <c r="C1017">
        <v>87</v>
      </c>
      <c r="D1017">
        <v>673.39</v>
      </c>
      <c r="E1017" t="s">
        <v>464</v>
      </c>
      <c r="F1017" t="s">
        <v>473</v>
      </c>
      <c r="G1017" t="s">
        <v>10</v>
      </c>
      <c r="H1017" t="s">
        <v>15</v>
      </c>
    </row>
    <row r="1018" spans="1:8" x14ac:dyDescent="0.45">
      <c r="A1018">
        <v>7212</v>
      </c>
      <c r="B1018">
        <v>43972</v>
      </c>
      <c r="C1018">
        <v>75</v>
      </c>
      <c r="D1018">
        <v>863.01</v>
      </c>
      <c r="E1018" t="s">
        <v>8</v>
      </c>
      <c r="F1018" t="s">
        <v>474</v>
      </c>
      <c r="G1018" t="s">
        <v>13</v>
      </c>
      <c r="H1018" t="s">
        <v>15</v>
      </c>
    </row>
    <row r="1019" spans="1:8" x14ac:dyDescent="0.45">
      <c r="A1019">
        <v>7213</v>
      </c>
      <c r="B1019">
        <v>44005</v>
      </c>
      <c r="C1019">
        <v>34</v>
      </c>
      <c r="D1019">
        <v>1108.32</v>
      </c>
      <c r="E1019" t="s">
        <v>25</v>
      </c>
      <c r="F1019" t="s">
        <v>475</v>
      </c>
      <c r="G1019" t="s">
        <v>13</v>
      </c>
      <c r="H1019" t="s">
        <v>11</v>
      </c>
    </row>
    <row r="1020" spans="1:8" x14ac:dyDescent="0.45">
      <c r="A1020">
        <v>7214</v>
      </c>
      <c r="B1020">
        <v>44035</v>
      </c>
      <c r="C1020">
        <v>8</v>
      </c>
      <c r="D1020">
        <v>1067.1400000000001</v>
      </c>
      <c r="E1020" t="s">
        <v>8</v>
      </c>
      <c r="F1020" t="s">
        <v>476</v>
      </c>
      <c r="G1020" t="s">
        <v>13</v>
      </c>
      <c r="H1020" t="s">
        <v>15</v>
      </c>
    </row>
    <row r="1021" spans="1:8" x14ac:dyDescent="0.45">
      <c r="A1021">
        <v>7215</v>
      </c>
      <c r="B1021">
        <v>44111</v>
      </c>
      <c r="C1021">
        <v>48</v>
      </c>
      <c r="D1021">
        <v>1081.8900000000001</v>
      </c>
      <c r="E1021" t="s">
        <v>25</v>
      </c>
      <c r="F1021" t="s">
        <v>477</v>
      </c>
      <c r="G1021" t="s">
        <v>13</v>
      </c>
      <c r="H1021" t="s">
        <v>11</v>
      </c>
    </row>
    <row r="1022" spans="1:8" x14ac:dyDescent="0.45">
      <c r="A1022">
        <v>7216</v>
      </c>
      <c r="B1022">
        <v>44192</v>
      </c>
      <c r="C1022">
        <v>71</v>
      </c>
      <c r="D1022">
        <v>497.96</v>
      </c>
      <c r="E1022" t="s">
        <v>25</v>
      </c>
      <c r="F1022" t="s">
        <v>478</v>
      </c>
      <c r="G1022" t="s">
        <v>20</v>
      </c>
      <c r="H1022" t="s">
        <v>17</v>
      </c>
    </row>
    <row r="1023" spans="1:8" x14ac:dyDescent="0.45">
      <c r="A1023">
        <v>7217</v>
      </c>
      <c r="B1023">
        <v>43997</v>
      </c>
      <c r="C1023">
        <v>34</v>
      </c>
      <c r="D1023">
        <v>838.13</v>
      </c>
      <c r="E1023" t="s">
        <v>8</v>
      </c>
      <c r="F1023" t="s">
        <v>479</v>
      </c>
      <c r="G1023" t="s">
        <v>20</v>
      </c>
      <c r="H1023" t="s">
        <v>11</v>
      </c>
    </row>
    <row r="1024" spans="1:8" x14ac:dyDescent="0.45">
      <c r="A1024">
        <v>7218</v>
      </c>
      <c r="B1024">
        <v>44172</v>
      </c>
      <c r="C1024">
        <v>57</v>
      </c>
      <c r="D1024">
        <v>229.48</v>
      </c>
      <c r="E1024" t="s">
        <v>464</v>
      </c>
      <c r="F1024" t="s">
        <v>480</v>
      </c>
      <c r="G1024" t="s">
        <v>20</v>
      </c>
      <c r="H1024" t="s">
        <v>15</v>
      </c>
    </row>
    <row r="1025" spans="1:8" x14ac:dyDescent="0.45">
      <c r="A1025">
        <v>7219</v>
      </c>
      <c r="B1025">
        <v>44027</v>
      </c>
      <c r="C1025">
        <v>72</v>
      </c>
      <c r="D1025">
        <v>1322.11</v>
      </c>
      <c r="E1025" t="s">
        <v>464</v>
      </c>
      <c r="F1025" t="s">
        <v>481</v>
      </c>
      <c r="G1025" t="s">
        <v>23</v>
      </c>
      <c r="H1025" t="s">
        <v>15</v>
      </c>
    </row>
    <row r="1026" spans="1:8" x14ac:dyDescent="0.45">
      <c r="A1026">
        <v>7220</v>
      </c>
      <c r="B1026">
        <v>44080</v>
      </c>
      <c r="C1026">
        <v>37</v>
      </c>
      <c r="D1026">
        <v>340.19</v>
      </c>
      <c r="E1026" t="s">
        <v>25</v>
      </c>
      <c r="F1026" t="s">
        <v>482</v>
      </c>
      <c r="G1026" t="s">
        <v>13</v>
      </c>
      <c r="H1026" t="s">
        <v>17</v>
      </c>
    </row>
    <row r="1027" spans="1:8" x14ac:dyDescent="0.45">
      <c r="A1027">
        <v>7221</v>
      </c>
      <c r="B1027">
        <v>43890</v>
      </c>
      <c r="C1027">
        <v>41</v>
      </c>
      <c r="D1027">
        <v>439.61</v>
      </c>
      <c r="E1027" t="s">
        <v>8</v>
      </c>
      <c r="F1027" t="s">
        <v>483</v>
      </c>
      <c r="G1027" t="s">
        <v>10</v>
      </c>
      <c r="H1027" t="s">
        <v>17</v>
      </c>
    </row>
    <row r="1028" spans="1:8" x14ac:dyDescent="0.45">
      <c r="A1028">
        <v>7222</v>
      </c>
      <c r="B1028">
        <v>44166</v>
      </c>
      <c r="C1028">
        <v>77</v>
      </c>
      <c r="D1028">
        <v>1489.8</v>
      </c>
      <c r="E1028" t="s">
        <v>464</v>
      </c>
      <c r="F1028" t="s">
        <v>484</v>
      </c>
      <c r="G1028" t="s">
        <v>23</v>
      </c>
      <c r="H1028" t="s">
        <v>15</v>
      </c>
    </row>
    <row r="1029" spans="1:8" x14ac:dyDescent="0.45">
      <c r="A1029">
        <v>7223</v>
      </c>
      <c r="B1029">
        <v>44116</v>
      </c>
      <c r="C1029">
        <v>90</v>
      </c>
      <c r="D1029">
        <v>1471.78</v>
      </c>
      <c r="E1029" t="s">
        <v>25</v>
      </c>
      <c r="F1029" t="s">
        <v>485</v>
      </c>
      <c r="G1029" t="s">
        <v>23</v>
      </c>
      <c r="H1029" t="s">
        <v>17</v>
      </c>
    </row>
    <row r="1030" spans="1:8" x14ac:dyDescent="0.45">
      <c r="A1030">
        <v>7224</v>
      </c>
      <c r="B1030">
        <v>44073</v>
      </c>
      <c r="C1030">
        <v>52</v>
      </c>
      <c r="D1030">
        <v>1433.2</v>
      </c>
      <c r="E1030" t="s">
        <v>8</v>
      </c>
      <c r="F1030" t="s">
        <v>486</v>
      </c>
      <c r="G1030" t="s">
        <v>20</v>
      </c>
      <c r="H1030" t="s">
        <v>15</v>
      </c>
    </row>
    <row r="1031" spans="1:8" x14ac:dyDescent="0.45">
      <c r="A1031">
        <v>7225</v>
      </c>
      <c r="B1031">
        <v>44015</v>
      </c>
      <c r="C1031">
        <v>84</v>
      </c>
      <c r="D1031">
        <v>809.3</v>
      </c>
      <c r="E1031" t="s">
        <v>8</v>
      </c>
      <c r="F1031" t="s">
        <v>487</v>
      </c>
      <c r="G1031" t="s">
        <v>13</v>
      </c>
      <c r="H1031" t="s">
        <v>15</v>
      </c>
    </row>
    <row r="1032" spans="1:8" x14ac:dyDescent="0.45">
      <c r="A1032">
        <v>7226</v>
      </c>
      <c r="B1032">
        <v>44102</v>
      </c>
      <c r="C1032">
        <v>2</v>
      </c>
      <c r="D1032">
        <v>817.76</v>
      </c>
      <c r="E1032" t="s">
        <v>8</v>
      </c>
      <c r="F1032" t="s">
        <v>488</v>
      </c>
      <c r="G1032" t="s">
        <v>20</v>
      </c>
      <c r="H1032" t="s">
        <v>11</v>
      </c>
    </row>
    <row r="1033" spans="1:8" x14ac:dyDescent="0.45">
      <c r="A1033">
        <v>7227</v>
      </c>
      <c r="B1033">
        <v>44094</v>
      </c>
      <c r="C1033">
        <v>46</v>
      </c>
      <c r="D1033">
        <v>253.19</v>
      </c>
      <c r="E1033" t="s">
        <v>25</v>
      </c>
      <c r="F1033" t="s">
        <v>489</v>
      </c>
      <c r="G1033" t="s">
        <v>20</v>
      </c>
      <c r="H1033" t="s">
        <v>15</v>
      </c>
    </row>
    <row r="1034" spans="1:8" x14ac:dyDescent="0.45">
      <c r="A1034">
        <v>7228</v>
      </c>
      <c r="B1034">
        <v>43927</v>
      </c>
      <c r="C1034">
        <v>84</v>
      </c>
      <c r="D1034">
        <v>807.53</v>
      </c>
      <c r="E1034" t="s">
        <v>8</v>
      </c>
      <c r="F1034" t="s">
        <v>490</v>
      </c>
      <c r="G1034" t="s">
        <v>20</v>
      </c>
      <c r="H1034" t="s">
        <v>15</v>
      </c>
    </row>
    <row r="1035" spans="1:8" x14ac:dyDescent="0.45">
      <c r="A1035">
        <v>7229</v>
      </c>
      <c r="B1035">
        <v>43943</v>
      </c>
      <c r="C1035">
        <v>13</v>
      </c>
      <c r="D1035">
        <v>1480.97</v>
      </c>
      <c r="E1035" t="s">
        <v>25</v>
      </c>
      <c r="F1035" t="s">
        <v>491</v>
      </c>
      <c r="G1035" t="s">
        <v>23</v>
      </c>
      <c r="H1035" t="s">
        <v>11</v>
      </c>
    </row>
    <row r="1036" spans="1:8" x14ac:dyDescent="0.45">
      <c r="A1036">
        <v>7230</v>
      </c>
      <c r="B1036">
        <v>44091</v>
      </c>
      <c r="C1036">
        <v>20</v>
      </c>
      <c r="D1036">
        <v>805.96</v>
      </c>
      <c r="E1036" t="s">
        <v>25</v>
      </c>
      <c r="F1036" t="s">
        <v>492</v>
      </c>
      <c r="G1036" t="s">
        <v>23</v>
      </c>
      <c r="H1036" t="s">
        <v>15</v>
      </c>
    </row>
    <row r="1037" spans="1:8" x14ac:dyDescent="0.45">
      <c r="A1037">
        <v>7231</v>
      </c>
      <c r="B1037">
        <v>44024</v>
      </c>
      <c r="C1037">
        <v>25</v>
      </c>
      <c r="D1037">
        <v>1310.33</v>
      </c>
      <c r="E1037" t="s">
        <v>464</v>
      </c>
      <c r="F1037" t="s">
        <v>493</v>
      </c>
      <c r="G1037" t="s">
        <v>10</v>
      </c>
      <c r="H1037" t="s">
        <v>17</v>
      </c>
    </row>
    <row r="1038" spans="1:8" x14ac:dyDescent="0.45">
      <c r="A1038">
        <v>7232</v>
      </c>
      <c r="B1038">
        <v>43852</v>
      </c>
      <c r="C1038">
        <v>27</v>
      </c>
      <c r="D1038">
        <v>867.95</v>
      </c>
      <c r="E1038" t="s">
        <v>25</v>
      </c>
      <c r="F1038" t="s">
        <v>494</v>
      </c>
      <c r="G1038" t="s">
        <v>20</v>
      </c>
      <c r="H1038" t="s">
        <v>11</v>
      </c>
    </row>
    <row r="1039" spans="1:8" x14ac:dyDescent="0.45">
      <c r="A1039">
        <v>7233</v>
      </c>
      <c r="B1039">
        <v>44139</v>
      </c>
      <c r="C1039">
        <v>65</v>
      </c>
      <c r="D1039">
        <v>1093.1400000000001</v>
      </c>
      <c r="E1039" t="s">
        <v>25</v>
      </c>
      <c r="F1039" t="s">
        <v>495</v>
      </c>
      <c r="G1039" t="s">
        <v>10</v>
      </c>
      <c r="H1039" t="s">
        <v>15</v>
      </c>
    </row>
    <row r="1040" spans="1:8" x14ac:dyDescent="0.45">
      <c r="A1040">
        <v>7234</v>
      </c>
      <c r="B1040">
        <v>44009</v>
      </c>
      <c r="C1040">
        <v>44</v>
      </c>
      <c r="D1040">
        <v>430.03</v>
      </c>
      <c r="E1040" t="s">
        <v>8</v>
      </c>
      <c r="F1040" t="s">
        <v>496</v>
      </c>
      <c r="G1040" t="s">
        <v>20</v>
      </c>
      <c r="H1040" t="s">
        <v>15</v>
      </c>
    </row>
    <row r="1041" spans="1:8" x14ac:dyDescent="0.45">
      <c r="A1041">
        <v>7235</v>
      </c>
      <c r="B1041">
        <v>43855</v>
      </c>
      <c r="C1041">
        <v>12</v>
      </c>
      <c r="D1041">
        <v>407.45</v>
      </c>
      <c r="E1041" t="s">
        <v>25</v>
      </c>
      <c r="F1041" t="s">
        <v>497</v>
      </c>
      <c r="G1041" t="s">
        <v>10</v>
      </c>
      <c r="H1041" t="s">
        <v>17</v>
      </c>
    </row>
    <row r="1042" spans="1:8" x14ac:dyDescent="0.45">
      <c r="A1042">
        <v>7236</v>
      </c>
      <c r="B1042">
        <v>44085</v>
      </c>
      <c r="C1042">
        <v>64</v>
      </c>
      <c r="D1042">
        <v>685.78</v>
      </c>
      <c r="E1042" t="s">
        <v>25</v>
      </c>
      <c r="F1042" t="s">
        <v>498</v>
      </c>
      <c r="G1042" t="s">
        <v>23</v>
      </c>
      <c r="H1042" t="s">
        <v>15</v>
      </c>
    </row>
    <row r="1043" spans="1:8" x14ac:dyDescent="0.45">
      <c r="A1043">
        <v>7237</v>
      </c>
      <c r="B1043">
        <v>44023</v>
      </c>
      <c r="C1043">
        <v>23</v>
      </c>
      <c r="D1043">
        <v>621.32000000000005</v>
      </c>
      <c r="E1043" t="s">
        <v>25</v>
      </c>
      <c r="F1043" t="s">
        <v>499</v>
      </c>
      <c r="G1043" t="s">
        <v>20</v>
      </c>
      <c r="H1043" t="s">
        <v>17</v>
      </c>
    </row>
    <row r="1044" spans="1:8" x14ac:dyDescent="0.45">
      <c r="A1044">
        <v>7238</v>
      </c>
      <c r="B1044">
        <v>43907</v>
      </c>
      <c r="C1044">
        <v>43</v>
      </c>
      <c r="D1044">
        <v>1066.8399999999999</v>
      </c>
      <c r="E1044" t="s">
        <v>8</v>
      </c>
      <c r="F1044" t="s">
        <v>500</v>
      </c>
      <c r="G1044" t="s">
        <v>10</v>
      </c>
      <c r="H1044" t="s">
        <v>17</v>
      </c>
    </row>
    <row r="1045" spans="1:8" x14ac:dyDescent="0.45">
      <c r="A1045">
        <v>7239</v>
      </c>
      <c r="B1045">
        <v>43847</v>
      </c>
      <c r="C1045">
        <v>51</v>
      </c>
      <c r="D1045">
        <v>316.33999999999997</v>
      </c>
      <c r="E1045" t="s">
        <v>464</v>
      </c>
      <c r="F1045" t="s">
        <v>501</v>
      </c>
      <c r="G1045" t="s">
        <v>20</v>
      </c>
      <c r="H1045" t="s">
        <v>11</v>
      </c>
    </row>
    <row r="1046" spans="1:8" x14ac:dyDescent="0.45">
      <c r="A1046">
        <v>7240</v>
      </c>
      <c r="B1046">
        <v>44197</v>
      </c>
      <c r="C1046">
        <v>99</v>
      </c>
      <c r="D1046">
        <v>1488.35</v>
      </c>
      <c r="E1046" t="s">
        <v>464</v>
      </c>
      <c r="F1046" t="s">
        <v>502</v>
      </c>
      <c r="G1046" t="s">
        <v>10</v>
      </c>
      <c r="H1046" t="s">
        <v>11</v>
      </c>
    </row>
    <row r="1047" spans="1:8" x14ac:dyDescent="0.45">
      <c r="A1047">
        <v>7241</v>
      </c>
      <c r="B1047">
        <v>44193</v>
      </c>
      <c r="C1047">
        <v>1</v>
      </c>
      <c r="D1047">
        <v>1443.07</v>
      </c>
      <c r="E1047" t="s">
        <v>25</v>
      </c>
      <c r="F1047" t="s">
        <v>503</v>
      </c>
      <c r="G1047" t="s">
        <v>13</v>
      </c>
      <c r="H1047" t="s">
        <v>17</v>
      </c>
    </row>
    <row r="1048" spans="1:8" x14ac:dyDescent="0.45">
      <c r="A1048">
        <v>7242</v>
      </c>
      <c r="B1048">
        <v>43878</v>
      </c>
      <c r="C1048">
        <v>5</v>
      </c>
      <c r="D1048">
        <v>226.27</v>
      </c>
      <c r="E1048" t="s">
        <v>25</v>
      </c>
      <c r="F1048" t="s">
        <v>504</v>
      </c>
      <c r="G1048" t="s">
        <v>13</v>
      </c>
      <c r="H1048" t="s">
        <v>17</v>
      </c>
    </row>
    <row r="1049" spans="1:8" x14ac:dyDescent="0.45">
      <c r="A1049">
        <v>7243</v>
      </c>
      <c r="B1049">
        <v>43846</v>
      </c>
      <c r="C1049">
        <v>99</v>
      </c>
      <c r="D1049">
        <v>969.78</v>
      </c>
      <c r="E1049" t="s">
        <v>25</v>
      </c>
      <c r="F1049" t="s">
        <v>505</v>
      </c>
      <c r="G1049" t="s">
        <v>13</v>
      </c>
      <c r="H1049" t="s">
        <v>17</v>
      </c>
    </row>
    <row r="1050" spans="1:8" x14ac:dyDescent="0.45">
      <c r="A1050">
        <v>7244</v>
      </c>
      <c r="B1050">
        <v>44006</v>
      </c>
      <c r="C1050">
        <v>27</v>
      </c>
      <c r="D1050">
        <v>249.5</v>
      </c>
      <c r="E1050" t="s">
        <v>464</v>
      </c>
      <c r="F1050" t="s">
        <v>506</v>
      </c>
      <c r="G1050" t="s">
        <v>20</v>
      </c>
      <c r="H1050" t="s">
        <v>15</v>
      </c>
    </row>
    <row r="1051" spans="1:8" x14ac:dyDescent="0.45">
      <c r="A1051">
        <v>7245</v>
      </c>
      <c r="B1051">
        <v>44091</v>
      </c>
      <c r="C1051">
        <v>71</v>
      </c>
      <c r="D1051">
        <v>493.28</v>
      </c>
      <c r="E1051" t="s">
        <v>25</v>
      </c>
      <c r="F1051" t="s">
        <v>507</v>
      </c>
      <c r="G1051" t="s">
        <v>13</v>
      </c>
      <c r="H1051" t="s">
        <v>15</v>
      </c>
    </row>
    <row r="1052" spans="1:8" x14ac:dyDescent="0.45">
      <c r="A1052">
        <v>7246</v>
      </c>
      <c r="B1052">
        <v>44168</v>
      </c>
      <c r="C1052">
        <v>78</v>
      </c>
      <c r="D1052">
        <v>1151.47</v>
      </c>
      <c r="E1052" t="s">
        <v>8</v>
      </c>
      <c r="F1052" t="s">
        <v>508</v>
      </c>
      <c r="G1052" t="s">
        <v>13</v>
      </c>
      <c r="H1052" t="s">
        <v>11</v>
      </c>
    </row>
    <row r="1053" spans="1:8" x14ac:dyDescent="0.45">
      <c r="A1053">
        <v>7247</v>
      </c>
      <c r="B1053">
        <v>43891</v>
      </c>
      <c r="C1053">
        <v>26</v>
      </c>
      <c r="D1053">
        <v>570.54999999999995</v>
      </c>
      <c r="E1053" t="s">
        <v>25</v>
      </c>
      <c r="F1053" t="s">
        <v>509</v>
      </c>
      <c r="G1053" t="s">
        <v>23</v>
      </c>
      <c r="H1053" t="s">
        <v>17</v>
      </c>
    </row>
    <row r="1054" spans="1:8" x14ac:dyDescent="0.45">
      <c r="A1054">
        <v>7248</v>
      </c>
      <c r="B1054">
        <v>44196</v>
      </c>
      <c r="C1054">
        <v>24</v>
      </c>
      <c r="D1054">
        <v>155.22999999999999</v>
      </c>
      <c r="E1054" t="s">
        <v>25</v>
      </c>
      <c r="F1054" t="s">
        <v>510</v>
      </c>
      <c r="G1054" t="s">
        <v>20</v>
      </c>
      <c r="H1054" t="s">
        <v>11</v>
      </c>
    </row>
    <row r="1055" spans="1:8" x14ac:dyDescent="0.45">
      <c r="A1055">
        <v>7249</v>
      </c>
      <c r="B1055">
        <v>43909</v>
      </c>
      <c r="C1055">
        <v>4</v>
      </c>
      <c r="D1055">
        <v>704.52</v>
      </c>
      <c r="E1055" t="s">
        <v>464</v>
      </c>
      <c r="F1055" t="s">
        <v>511</v>
      </c>
      <c r="G1055" t="s">
        <v>13</v>
      </c>
      <c r="H1055" t="s">
        <v>11</v>
      </c>
    </row>
    <row r="1056" spans="1:8" x14ac:dyDescent="0.45">
      <c r="A1056">
        <v>7250</v>
      </c>
      <c r="B1056">
        <v>43997</v>
      </c>
      <c r="C1056">
        <v>27</v>
      </c>
      <c r="D1056">
        <v>217.34</v>
      </c>
      <c r="E1056" t="s">
        <v>25</v>
      </c>
      <c r="F1056" t="s">
        <v>512</v>
      </c>
      <c r="G1056" t="s">
        <v>20</v>
      </c>
      <c r="H1056" t="s">
        <v>11</v>
      </c>
    </row>
    <row r="1057" spans="1:8" x14ac:dyDescent="0.45">
      <c r="A1057">
        <v>7251</v>
      </c>
      <c r="B1057">
        <v>44171</v>
      </c>
      <c r="C1057">
        <v>83</v>
      </c>
      <c r="D1057">
        <v>238.64</v>
      </c>
      <c r="E1057" t="s">
        <v>8</v>
      </c>
      <c r="F1057" t="s">
        <v>513</v>
      </c>
      <c r="G1057" t="s">
        <v>20</v>
      </c>
      <c r="H1057" t="s">
        <v>15</v>
      </c>
    </row>
    <row r="1058" spans="1:8" x14ac:dyDescent="0.45">
      <c r="A1058">
        <v>7252</v>
      </c>
      <c r="B1058">
        <v>44046</v>
      </c>
      <c r="C1058">
        <v>4</v>
      </c>
      <c r="D1058">
        <v>151.63</v>
      </c>
      <c r="E1058" t="s">
        <v>8</v>
      </c>
      <c r="F1058" t="s">
        <v>514</v>
      </c>
      <c r="G1058" t="s">
        <v>10</v>
      </c>
      <c r="H1058" t="s">
        <v>17</v>
      </c>
    </row>
    <row r="1059" spans="1:8" x14ac:dyDescent="0.45">
      <c r="A1059">
        <v>7253</v>
      </c>
      <c r="B1059">
        <v>44101</v>
      </c>
      <c r="C1059">
        <v>58</v>
      </c>
      <c r="D1059">
        <v>361.38</v>
      </c>
      <c r="E1059" t="s">
        <v>25</v>
      </c>
      <c r="F1059" t="s">
        <v>515</v>
      </c>
      <c r="G1059" t="s">
        <v>13</v>
      </c>
      <c r="H1059" t="s">
        <v>15</v>
      </c>
    </row>
    <row r="1060" spans="1:8" x14ac:dyDescent="0.45">
      <c r="A1060">
        <v>7254</v>
      </c>
      <c r="B1060">
        <v>43902</v>
      </c>
      <c r="C1060">
        <v>77</v>
      </c>
      <c r="D1060">
        <v>638.19000000000005</v>
      </c>
      <c r="E1060" t="s">
        <v>464</v>
      </c>
      <c r="F1060" t="s">
        <v>516</v>
      </c>
      <c r="G1060" t="s">
        <v>10</v>
      </c>
      <c r="H1060" t="s">
        <v>11</v>
      </c>
    </row>
    <row r="1061" spans="1:8" x14ac:dyDescent="0.45">
      <c r="A1061">
        <v>7255</v>
      </c>
      <c r="B1061">
        <v>44027</v>
      </c>
      <c r="C1061">
        <v>43</v>
      </c>
      <c r="D1061">
        <v>749.68</v>
      </c>
      <c r="E1061" t="s">
        <v>464</v>
      </c>
      <c r="F1061" t="s">
        <v>517</v>
      </c>
      <c r="G1061" t="s">
        <v>13</v>
      </c>
      <c r="H1061" t="s">
        <v>17</v>
      </c>
    </row>
    <row r="1062" spans="1:8" x14ac:dyDescent="0.45">
      <c r="A1062">
        <v>7256</v>
      </c>
      <c r="B1062">
        <v>43903</v>
      </c>
      <c r="C1062">
        <v>68</v>
      </c>
      <c r="D1062">
        <v>380.09</v>
      </c>
      <c r="E1062" t="s">
        <v>8</v>
      </c>
      <c r="F1062" t="s">
        <v>518</v>
      </c>
      <c r="G1062" t="s">
        <v>13</v>
      </c>
      <c r="H1062" t="s">
        <v>11</v>
      </c>
    </row>
    <row r="1063" spans="1:8" x14ac:dyDescent="0.45">
      <c r="A1063">
        <v>7257</v>
      </c>
      <c r="B1063">
        <v>44067</v>
      </c>
      <c r="C1063">
        <v>3</v>
      </c>
      <c r="D1063">
        <v>80.55</v>
      </c>
      <c r="E1063" t="s">
        <v>464</v>
      </c>
      <c r="F1063" t="s">
        <v>519</v>
      </c>
      <c r="G1063" t="s">
        <v>20</v>
      </c>
      <c r="H1063" t="s">
        <v>15</v>
      </c>
    </row>
    <row r="1064" spans="1:8" x14ac:dyDescent="0.45">
      <c r="A1064">
        <v>7258</v>
      </c>
      <c r="B1064">
        <v>44170</v>
      </c>
      <c r="C1064">
        <v>91</v>
      </c>
      <c r="D1064">
        <v>402.79</v>
      </c>
      <c r="E1064" t="s">
        <v>25</v>
      </c>
      <c r="F1064" t="s">
        <v>520</v>
      </c>
      <c r="G1064" t="s">
        <v>13</v>
      </c>
      <c r="H1064" t="s">
        <v>15</v>
      </c>
    </row>
    <row r="1065" spans="1:8" x14ac:dyDescent="0.45">
      <c r="A1065">
        <v>7259</v>
      </c>
      <c r="B1065">
        <v>43941</v>
      </c>
      <c r="C1065">
        <v>62</v>
      </c>
      <c r="D1065">
        <v>599.4</v>
      </c>
      <c r="E1065" t="s">
        <v>25</v>
      </c>
      <c r="F1065" t="s">
        <v>521</v>
      </c>
      <c r="G1065" t="s">
        <v>13</v>
      </c>
      <c r="H1065" t="s">
        <v>11</v>
      </c>
    </row>
    <row r="1066" spans="1:8" x14ac:dyDescent="0.45">
      <c r="A1066">
        <v>7260</v>
      </c>
      <c r="B1066">
        <v>43977</v>
      </c>
      <c r="C1066">
        <v>53</v>
      </c>
      <c r="D1066">
        <v>244.4</v>
      </c>
      <c r="E1066" t="s">
        <v>464</v>
      </c>
      <c r="F1066" t="s">
        <v>522</v>
      </c>
      <c r="G1066" t="s">
        <v>10</v>
      </c>
      <c r="H1066" t="s">
        <v>17</v>
      </c>
    </row>
    <row r="1067" spans="1:8" x14ac:dyDescent="0.45">
      <c r="A1067">
        <v>7261</v>
      </c>
      <c r="B1067">
        <v>43937</v>
      </c>
      <c r="C1067">
        <v>3</v>
      </c>
      <c r="D1067">
        <v>1236.6199999999999</v>
      </c>
      <c r="E1067" t="s">
        <v>8</v>
      </c>
      <c r="F1067" t="s">
        <v>523</v>
      </c>
      <c r="G1067" t="s">
        <v>13</v>
      </c>
      <c r="H1067" t="s">
        <v>15</v>
      </c>
    </row>
    <row r="1068" spans="1:8" x14ac:dyDescent="0.45">
      <c r="A1068">
        <v>7262</v>
      </c>
      <c r="B1068">
        <v>44139</v>
      </c>
      <c r="C1068">
        <v>52</v>
      </c>
      <c r="D1068">
        <v>208.02</v>
      </c>
      <c r="E1068" t="s">
        <v>25</v>
      </c>
      <c r="F1068" t="s">
        <v>524</v>
      </c>
      <c r="G1068" t="s">
        <v>23</v>
      </c>
      <c r="H1068" t="s">
        <v>11</v>
      </c>
    </row>
    <row r="1069" spans="1:8" x14ac:dyDescent="0.45">
      <c r="A1069">
        <v>7263</v>
      </c>
      <c r="B1069">
        <v>44043</v>
      </c>
      <c r="C1069">
        <v>54</v>
      </c>
      <c r="D1069">
        <v>792.36</v>
      </c>
      <c r="E1069" t="s">
        <v>25</v>
      </c>
      <c r="F1069" t="s">
        <v>525</v>
      </c>
      <c r="G1069" t="s">
        <v>10</v>
      </c>
      <c r="H1069" t="s">
        <v>17</v>
      </c>
    </row>
    <row r="1070" spans="1:8" x14ac:dyDescent="0.45">
      <c r="A1070">
        <v>7264</v>
      </c>
      <c r="B1070">
        <v>44008</v>
      </c>
      <c r="C1070">
        <v>12</v>
      </c>
      <c r="D1070">
        <v>922.54</v>
      </c>
      <c r="E1070" t="s">
        <v>464</v>
      </c>
      <c r="F1070" t="s">
        <v>526</v>
      </c>
      <c r="G1070" t="s">
        <v>23</v>
      </c>
      <c r="H1070" t="s">
        <v>11</v>
      </c>
    </row>
    <row r="1071" spans="1:8" x14ac:dyDescent="0.45">
      <c r="A1071">
        <v>7265</v>
      </c>
      <c r="B1071">
        <v>44059</v>
      </c>
      <c r="C1071">
        <v>11</v>
      </c>
      <c r="D1071">
        <v>1345.64</v>
      </c>
      <c r="E1071" t="s">
        <v>8</v>
      </c>
      <c r="F1071" t="s">
        <v>527</v>
      </c>
      <c r="G1071" t="s">
        <v>13</v>
      </c>
      <c r="H1071" t="s">
        <v>15</v>
      </c>
    </row>
    <row r="1072" spans="1:8" x14ac:dyDescent="0.45">
      <c r="A1072">
        <v>7266</v>
      </c>
      <c r="B1072">
        <v>44041</v>
      </c>
      <c r="C1072">
        <v>63</v>
      </c>
      <c r="D1072">
        <v>1407.77</v>
      </c>
      <c r="E1072" t="s">
        <v>8</v>
      </c>
      <c r="F1072" t="s">
        <v>528</v>
      </c>
      <c r="G1072" t="s">
        <v>23</v>
      </c>
      <c r="H1072" t="s">
        <v>11</v>
      </c>
    </row>
    <row r="1073" spans="1:8" x14ac:dyDescent="0.45">
      <c r="A1073">
        <v>7267</v>
      </c>
      <c r="B1073">
        <v>44017</v>
      </c>
      <c r="C1073">
        <v>43</v>
      </c>
      <c r="D1073">
        <v>1065.3699999999999</v>
      </c>
      <c r="E1073" t="s">
        <v>464</v>
      </c>
      <c r="F1073" t="s">
        <v>529</v>
      </c>
      <c r="G1073" t="s">
        <v>20</v>
      </c>
      <c r="H1073" t="s">
        <v>15</v>
      </c>
    </row>
    <row r="1074" spans="1:8" x14ac:dyDescent="0.45">
      <c r="A1074">
        <v>7268</v>
      </c>
      <c r="B1074">
        <v>44081</v>
      </c>
      <c r="C1074">
        <v>67</v>
      </c>
      <c r="D1074">
        <v>932.92</v>
      </c>
      <c r="E1074" t="s">
        <v>8</v>
      </c>
      <c r="F1074" t="s">
        <v>530</v>
      </c>
      <c r="G1074" t="s">
        <v>23</v>
      </c>
      <c r="H1074" t="s">
        <v>17</v>
      </c>
    </row>
    <row r="1075" spans="1:8" x14ac:dyDescent="0.45">
      <c r="A1075">
        <v>7269</v>
      </c>
      <c r="B1075">
        <v>44055</v>
      </c>
      <c r="C1075">
        <v>88</v>
      </c>
      <c r="D1075">
        <v>896</v>
      </c>
      <c r="E1075" t="s">
        <v>464</v>
      </c>
      <c r="F1075" t="s">
        <v>531</v>
      </c>
      <c r="G1075" t="s">
        <v>10</v>
      </c>
      <c r="H1075" t="s">
        <v>11</v>
      </c>
    </row>
    <row r="1076" spans="1:8" x14ac:dyDescent="0.45">
      <c r="A1076">
        <v>7270</v>
      </c>
      <c r="B1076">
        <v>44001</v>
      </c>
      <c r="C1076">
        <v>52</v>
      </c>
      <c r="D1076">
        <v>900.77</v>
      </c>
      <c r="E1076" t="s">
        <v>464</v>
      </c>
      <c r="F1076" t="s">
        <v>532</v>
      </c>
      <c r="G1076" t="s">
        <v>23</v>
      </c>
      <c r="H1076" t="s">
        <v>17</v>
      </c>
    </row>
    <row r="1077" spans="1:8" x14ac:dyDescent="0.45">
      <c r="A1077">
        <v>7271</v>
      </c>
      <c r="B1077">
        <v>43931</v>
      </c>
      <c r="C1077">
        <v>23</v>
      </c>
      <c r="D1077">
        <v>1003.58</v>
      </c>
      <c r="E1077" t="s">
        <v>25</v>
      </c>
      <c r="F1077" t="s">
        <v>533</v>
      </c>
      <c r="G1077" t="s">
        <v>10</v>
      </c>
      <c r="H1077" t="s">
        <v>15</v>
      </c>
    </row>
    <row r="1078" spans="1:8" x14ac:dyDescent="0.45">
      <c r="A1078">
        <v>7272</v>
      </c>
      <c r="B1078">
        <v>43885</v>
      </c>
      <c r="C1078">
        <v>37</v>
      </c>
      <c r="D1078">
        <v>103.39</v>
      </c>
      <c r="E1078" t="s">
        <v>464</v>
      </c>
      <c r="F1078" t="s">
        <v>534</v>
      </c>
      <c r="G1078" t="s">
        <v>10</v>
      </c>
      <c r="H1078" t="s">
        <v>11</v>
      </c>
    </row>
    <row r="1079" spans="1:8" x14ac:dyDescent="0.45">
      <c r="A1079">
        <v>7273</v>
      </c>
      <c r="B1079">
        <v>44105</v>
      </c>
      <c r="C1079">
        <v>2</v>
      </c>
      <c r="D1079">
        <v>1383.12</v>
      </c>
      <c r="E1079" t="s">
        <v>464</v>
      </c>
      <c r="F1079" t="s">
        <v>535</v>
      </c>
      <c r="G1079" t="s">
        <v>23</v>
      </c>
      <c r="H1079" t="s">
        <v>15</v>
      </c>
    </row>
    <row r="1080" spans="1:8" x14ac:dyDescent="0.45">
      <c r="A1080">
        <v>7274</v>
      </c>
      <c r="B1080">
        <v>44014</v>
      </c>
      <c r="C1080">
        <v>20</v>
      </c>
      <c r="D1080">
        <v>1252.8699999999999</v>
      </c>
      <c r="E1080" t="s">
        <v>25</v>
      </c>
      <c r="F1080" t="s">
        <v>536</v>
      </c>
      <c r="G1080" t="s">
        <v>20</v>
      </c>
      <c r="H1080" t="s">
        <v>11</v>
      </c>
    </row>
    <row r="1081" spans="1:8" x14ac:dyDescent="0.45">
      <c r="A1081">
        <v>7275</v>
      </c>
      <c r="B1081">
        <v>43945</v>
      </c>
      <c r="C1081">
        <v>31</v>
      </c>
      <c r="D1081">
        <v>591.80999999999995</v>
      </c>
      <c r="E1081" t="s">
        <v>25</v>
      </c>
      <c r="F1081" t="s">
        <v>537</v>
      </c>
      <c r="G1081" t="s">
        <v>10</v>
      </c>
      <c r="H1081" t="s">
        <v>17</v>
      </c>
    </row>
    <row r="1082" spans="1:8" x14ac:dyDescent="0.45">
      <c r="A1082">
        <v>7276</v>
      </c>
      <c r="B1082">
        <v>44190</v>
      </c>
      <c r="C1082">
        <v>34</v>
      </c>
      <c r="D1082">
        <v>1316.41</v>
      </c>
      <c r="E1082" t="s">
        <v>8</v>
      </c>
      <c r="F1082" t="s">
        <v>538</v>
      </c>
      <c r="G1082" t="s">
        <v>20</v>
      </c>
      <c r="H1082" t="s">
        <v>17</v>
      </c>
    </row>
    <row r="1083" spans="1:8" x14ac:dyDescent="0.45">
      <c r="A1083">
        <v>7277</v>
      </c>
      <c r="B1083">
        <v>43865</v>
      </c>
      <c r="C1083">
        <v>58</v>
      </c>
      <c r="D1083">
        <v>631.77</v>
      </c>
      <c r="E1083" t="s">
        <v>8</v>
      </c>
      <c r="F1083" t="s">
        <v>539</v>
      </c>
      <c r="G1083" t="s">
        <v>13</v>
      </c>
      <c r="H1083" t="s">
        <v>11</v>
      </c>
    </row>
    <row r="1084" spans="1:8" x14ac:dyDescent="0.45">
      <c r="A1084">
        <v>7278</v>
      </c>
      <c r="B1084">
        <v>44121</v>
      </c>
      <c r="C1084">
        <v>88</v>
      </c>
      <c r="D1084">
        <v>848.96</v>
      </c>
      <c r="E1084" t="s">
        <v>25</v>
      </c>
      <c r="F1084" t="s">
        <v>540</v>
      </c>
      <c r="G1084" t="s">
        <v>10</v>
      </c>
      <c r="H1084" t="s">
        <v>11</v>
      </c>
    </row>
    <row r="1085" spans="1:8" x14ac:dyDescent="0.45">
      <c r="A1085">
        <v>7279</v>
      </c>
      <c r="B1085">
        <v>43857</v>
      </c>
      <c r="C1085">
        <v>2</v>
      </c>
      <c r="D1085">
        <v>1070.79</v>
      </c>
      <c r="E1085" t="s">
        <v>25</v>
      </c>
      <c r="F1085" t="s">
        <v>541</v>
      </c>
      <c r="G1085" t="s">
        <v>20</v>
      </c>
      <c r="H1085" t="s">
        <v>15</v>
      </c>
    </row>
    <row r="1086" spans="1:8" x14ac:dyDescent="0.45">
      <c r="A1086">
        <v>7280</v>
      </c>
      <c r="B1086">
        <v>43880</v>
      </c>
      <c r="C1086">
        <v>55</v>
      </c>
      <c r="D1086">
        <v>767.72</v>
      </c>
      <c r="E1086" t="s">
        <v>464</v>
      </c>
      <c r="F1086" t="s">
        <v>542</v>
      </c>
      <c r="G1086" t="s">
        <v>20</v>
      </c>
      <c r="H1086" t="s">
        <v>11</v>
      </c>
    </row>
    <row r="1087" spans="1:8" x14ac:dyDescent="0.45">
      <c r="A1087">
        <v>7281</v>
      </c>
      <c r="B1087">
        <v>43875</v>
      </c>
      <c r="C1087">
        <v>97</v>
      </c>
      <c r="D1087">
        <v>1399.9</v>
      </c>
      <c r="E1087" t="s">
        <v>464</v>
      </c>
      <c r="F1087" t="s">
        <v>543</v>
      </c>
      <c r="G1087" t="s">
        <v>10</v>
      </c>
      <c r="H1087" t="s">
        <v>11</v>
      </c>
    </row>
    <row r="1088" spans="1:8" x14ac:dyDescent="0.45">
      <c r="A1088">
        <v>7282</v>
      </c>
      <c r="B1088">
        <v>44145</v>
      </c>
      <c r="C1088">
        <v>62</v>
      </c>
      <c r="D1088">
        <v>861.96</v>
      </c>
      <c r="E1088" t="s">
        <v>464</v>
      </c>
      <c r="F1088" t="s">
        <v>544</v>
      </c>
      <c r="G1088" t="s">
        <v>20</v>
      </c>
      <c r="H1088" t="s">
        <v>11</v>
      </c>
    </row>
    <row r="1089" spans="1:8" x14ac:dyDescent="0.45">
      <c r="A1089">
        <v>7283</v>
      </c>
      <c r="B1089">
        <v>43971</v>
      </c>
      <c r="C1089">
        <v>45</v>
      </c>
      <c r="D1089">
        <v>145.72</v>
      </c>
      <c r="E1089" t="s">
        <v>25</v>
      </c>
      <c r="F1089" t="s">
        <v>545</v>
      </c>
      <c r="G1089" t="s">
        <v>20</v>
      </c>
      <c r="H1089" t="s">
        <v>11</v>
      </c>
    </row>
    <row r="1090" spans="1:8" x14ac:dyDescent="0.45">
      <c r="A1090">
        <v>7284</v>
      </c>
      <c r="B1090">
        <v>43917</v>
      </c>
      <c r="C1090">
        <v>52</v>
      </c>
      <c r="D1090">
        <v>784.88</v>
      </c>
      <c r="E1090" t="s">
        <v>25</v>
      </c>
      <c r="F1090" t="s">
        <v>546</v>
      </c>
      <c r="G1090" t="s">
        <v>20</v>
      </c>
      <c r="H1090" t="s">
        <v>17</v>
      </c>
    </row>
    <row r="1091" spans="1:8" x14ac:dyDescent="0.45">
      <c r="A1091">
        <v>7285</v>
      </c>
      <c r="B1091">
        <v>43877</v>
      </c>
      <c r="C1091">
        <v>3</v>
      </c>
      <c r="D1091">
        <v>652.69000000000005</v>
      </c>
      <c r="E1091" t="s">
        <v>25</v>
      </c>
      <c r="F1091" t="s">
        <v>547</v>
      </c>
      <c r="G1091" t="s">
        <v>13</v>
      </c>
      <c r="H1091" t="s">
        <v>15</v>
      </c>
    </row>
    <row r="1092" spans="1:8" x14ac:dyDescent="0.45">
      <c r="A1092">
        <v>7286</v>
      </c>
      <c r="B1092">
        <v>43933</v>
      </c>
      <c r="C1092">
        <v>26</v>
      </c>
      <c r="D1092">
        <v>252.39</v>
      </c>
      <c r="E1092" t="s">
        <v>25</v>
      </c>
      <c r="F1092" t="s">
        <v>548</v>
      </c>
      <c r="G1092" t="s">
        <v>13</v>
      </c>
      <c r="H1092" t="s">
        <v>15</v>
      </c>
    </row>
    <row r="1093" spans="1:8" x14ac:dyDescent="0.45">
      <c r="A1093">
        <v>7287</v>
      </c>
      <c r="B1093">
        <v>44200</v>
      </c>
      <c r="C1093">
        <v>44</v>
      </c>
      <c r="D1093">
        <v>758.25</v>
      </c>
      <c r="E1093" t="s">
        <v>25</v>
      </c>
      <c r="F1093" t="s">
        <v>549</v>
      </c>
      <c r="G1093" t="s">
        <v>23</v>
      </c>
      <c r="H1093" t="s">
        <v>15</v>
      </c>
    </row>
    <row r="1094" spans="1:8" x14ac:dyDescent="0.45">
      <c r="A1094">
        <v>7288</v>
      </c>
      <c r="B1094">
        <v>43952</v>
      </c>
      <c r="C1094">
        <v>2</v>
      </c>
      <c r="D1094">
        <v>1212.5</v>
      </c>
      <c r="E1094" t="s">
        <v>25</v>
      </c>
      <c r="F1094" t="s">
        <v>550</v>
      </c>
      <c r="G1094" t="s">
        <v>10</v>
      </c>
      <c r="H1094" t="s">
        <v>11</v>
      </c>
    </row>
    <row r="1095" spans="1:8" x14ac:dyDescent="0.45">
      <c r="A1095">
        <v>7289</v>
      </c>
      <c r="B1095">
        <v>44157</v>
      </c>
      <c r="C1095">
        <v>69</v>
      </c>
      <c r="D1095">
        <v>1040.96</v>
      </c>
      <c r="E1095" t="s">
        <v>464</v>
      </c>
      <c r="F1095" t="s">
        <v>551</v>
      </c>
      <c r="G1095" t="s">
        <v>23</v>
      </c>
      <c r="H1095" t="s">
        <v>15</v>
      </c>
    </row>
    <row r="1096" spans="1:8" x14ac:dyDescent="0.45">
      <c r="A1096">
        <v>7290</v>
      </c>
      <c r="B1096">
        <v>43932</v>
      </c>
      <c r="C1096">
        <v>69</v>
      </c>
      <c r="D1096">
        <v>1311.1</v>
      </c>
      <c r="E1096" t="s">
        <v>25</v>
      </c>
      <c r="F1096" t="s">
        <v>552</v>
      </c>
      <c r="G1096" t="s">
        <v>10</v>
      </c>
      <c r="H1096" t="s">
        <v>17</v>
      </c>
    </row>
    <row r="1097" spans="1:8" x14ac:dyDescent="0.45">
      <c r="A1097">
        <v>7291</v>
      </c>
      <c r="B1097">
        <v>44043</v>
      </c>
      <c r="C1097">
        <v>17</v>
      </c>
      <c r="D1097">
        <v>693.52</v>
      </c>
      <c r="E1097" t="s">
        <v>464</v>
      </c>
      <c r="F1097" t="s">
        <v>553</v>
      </c>
      <c r="G1097" t="s">
        <v>13</v>
      </c>
      <c r="H1097" t="s">
        <v>15</v>
      </c>
    </row>
    <row r="1098" spans="1:8" x14ac:dyDescent="0.45">
      <c r="A1098">
        <v>7292</v>
      </c>
      <c r="B1098">
        <v>44108</v>
      </c>
      <c r="C1098">
        <v>66</v>
      </c>
      <c r="D1098">
        <v>1433.34</v>
      </c>
      <c r="E1098" t="s">
        <v>464</v>
      </c>
      <c r="F1098" t="s">
        <v>554</v>
      </c>
      <c r="G1098" t="s">
        <v>23</v>
      </c>
      <c r="H1098" t="s">
        <v>15</v>
      </c>
    </row>
    <row r="1099" spans="1:8" x14ac:dyDescent="0.45">
      <c r="A1099">
        <v>7293</v>
      </c>
      <c r="B1099">
        <v>44052</v>
      </c>
      <c r="C1099">
        <v>58</v>
      </c>
      <c r="D1099">
        <v>1315.02</v>
      </c>
      <c r="E1099" t="s">
        <v>8</v>
      </c>
      <c r="F1099" t="s">
        <v>555</v>
      </c>
      <c r="G1099" t="s">
        <v>23</v>
      </c>
      <c r="H1099" t="s">
        <v>15</v>
      </c>
    </row>
    <row r="1100" spans="1:8" x14ac:dyDescent="0.45">
      <c r="A1100">
        <v>7294</v>
      </c>
      <c r="B1100">
        <v>44063</v>
      </c>
      <c r="C1100">
        <v>61</v>
      </c>
      <c r="D1100">
        <v>1302.98</v>
      </c>
      <c r="E1100" t="s">
        <v>25</v>
      </c>
      <c r="F1100" t="s">
        <v>556</v>
      </c>
      <c r="G1100" t="s">
        <v>13</v>
      </c>
      <c r="H1100" t="s">
        <v>15</v>
      </c>
    </row>
    <row r="1101" spans="1:8" x14ac:dyDescent="0.45">
      <c r="A1101">
        <v>7295</v>
      </c>
      <c r="B1101">
        <v>44126</v>
      </c>
      <c r="C1101">
        <v>14</v>
      </c>
      <c r="D1101">
        <v>1326.75</v>
      </c>
      <c r="E1101" t="s">
        <v>464</v>
      </c>
      <c r="F1101" t="s">
        <v>557</v>
      </c>
      <c r="G1101" t="s">
        <v>23</v>
      </c>
      <c r="H1101" t="s">
        <v>17</v>
      </c>
    </row>
    <row r="1102" spans="1:8" x14ac:dyDescent="0.45">
      <c r="A1102">
        <v>7296</v>
      </c>
      <c r="B1102">
        <v>43896</v>
      </c>
      <c r="C1102">
        <v>14</v>
      </c>
      <c r="D1102">
        <v>1226.71</v>
      </c>
      <c r="E1102" t="s">
        <v>464</v>
      </c>
      <c r="F1102" t="s">
        <v>558</v>
      </c>
      <c r="G1102" t="s">
        <v>10</v>
      </c>
      <c r="H1102" t="s">
        <v>15</v>
      </c>
    </row>
    <row r="1103" spans="1:8" x14ac:dyDescent="0.45">
      <c r="A1103">
        <v>7297</v>
      </c>
      <c r="B1103">
        <v>44119</v>
      </c>
      <c r="C1103">
        <v>25</v>
      </c>
      <c r="D1103">
        <v>352.16</v>
      </c>
      <c r="E1103" t="s">
        <v>25</v>
      </c>
      <c r="F1103" t="s">
        <v>559</v>
      </c>
      <c r="G1103" t="s">
        <v>10</v>
      </c>
      <c r="H1103" t="s">
        <v>17</v>
      </c>
    </row>
    <row r="1104" spans="1:8" x14ac:dyDescent="0.45">
      <c r="A1104">
        <v>7298</v>
      </c>
      <c r="B1104">
        <v>44155</v>
      </c>
      <c r="C1104">
        <v>78</v>
      </c>
      <c r="D1104">
        <v>1079.78</v>
      </c>
      <c r="E1104" t="s">
        <v>25</v>
      </c>
      <c r="F1104" t="s">
        <v>560</v>
      </c>
      <c r="G1104" t="s">
        <v>13</v>
      </c>
      <c r="H1104" t="s">
        <v>17</v>
      </c>
    </row>
    <row r="1105" spans="1:8" x14ac:dyDescent="0.45">
      <c r="A1105">
        <v>7299</v>
      </c>
      <c r="B1105">
        <v>43923</v>
      </c>
      <c r="C1105">
        <v>63</v>
      </c>
      <c r="D1105">
        <v>71.12</v>
      </c>
      <c r="E1105" t="s">
        <v>25</v>
      </c>
      <c r="F1105" t="s">
        <v>561</v>
      </c>
      <c r="G1105" t="s">
        <v>23</v>
      </c>
      <c r="H1105" t="s">
        <v>15</v>
      </c>
    </row>
    <row r="1106" spans="1:8" x14ac:dyDescent="0.45">
      <c r="A1106">
        <v>7300</v>
      </c>
      <c r="B1106">
        <v>44070</v>
      </c>
      <c r="C1106">
        <v>87</v>
      </c>
      <c r="D1106">
        <v>981.4</v>
      </c>
      <c r="E1106" t="s">
        <v>464</v>
      </c>
      <c r="F1106" t="s">
        <v>562</v>
      </c>
      <c r="G1106" t="s">
        <v>23</v>
      </c>
      <c r="H1106" t="s">
        <v>15</v>
      </c>
    </row>
    <row r="1107" spans="1:8" x14ac:dyDescent="0.45">
      <c r="A1107">
        <v>7301</v>
      </c>
      <c r="B1107">
        <v>44152</v>
      </c>
      <c r="C1107">
        <v>69</v>
      </c>
      <c r="D1107">
        <v>666.7</v>
      </c>
      <c r="E1107" t="s">
        <v>464</v>
      </c>
      <c r="F1107" t="s">
        <v>563</v>
      </c>
      <c r="G1107" t="s">
        <v>10</v>
      </c>
      <c r="H1107" t="s">
        <v>15</v>
      </c>
    </row>
    <row r="1108" spans="1:8" x14ac:dyDescent="0.45">
      <c r="A1108">
        <v>7302</v>
      </c>
      <c r="B1108">
        <v>43904</v>
      </c>
      <c r="C1108">
        <v>64</v>
      </c>
      <c r="D1108">
        <v>1039.1600000000001</v>
      </c>
      <c r="E1108" t="s">
        <v>25</v>
      </c>
      <c r="F1108" t="s">
        <v>564</v>
      </c>
      <c r="G1108" t="s">
        <v>13</v>
      </c>
      <c r="H1108" t="s">
        <v>15</v>
      </c>
    </row>
    <row r="1109" spans="1:8" x14ac:dyDescent="0.45">
      <c r="A1109">
        <v>7303</v>
      </c>
      <c r="B1109">
        <v>43848</v>
      </c>
      <c r="C1109">
        <v>40</v>
      </c>
      <c r="D1109">
        <v>261.62</v>
      </c>
      <c r="E1109" t="s">
        <v>25</v>
      </c>
      <c r="F1109" t="s">
        <v>565</v>
      </c>
      <c r="G1109" t="s">
        <v>13</v>
      </c>
      <c r="H1109" t="s">
        <v>15</v>
      </c>
    </row>
    <row r="1110" spans="1:8" x14ac:dyDescent="0.45">
      <c r="A1110">
        <v>7304</v>
      </c>
      <c r="B1110">
        <v>44141</v>
      </c>
      <c r="C1110">
        <v>51</v>
      </c>
      <c r="D1110">
        <v>680.59</v>
      </c>
      <c r="E1110" t="s">
        <v>25</v>
      </c>
      <c r="F1110" t="s">
        <v>566</v>
      </c>
      <c r="G1110" t="s">
        <v>13</v>
      </c>
      <c r="H1110" t="s">
        <v>15</v>
      </c>
    </row>
    <row r="1111" spans="1:8" x14ac:dyDescent="0.45">
      <c r="A1111">
        <v>7305</v>
      </c>
      <c r="B1111">
        <v>43840</v>
      </c>
      <c r="C1111">
        <v>40</v>
      </c>
      <c r="D1111">
        <v>352.86</v>
      </c>
      <c r="E1111" t="s">
        <v>8</v>
      </c>
      <c r="F1111" t="s">
        <v>567</v>
      </c>
      <c r="G1111" t="s">
        <v>23</v>
      </c>
      <c r="H1111" t="s">
        <v>15</v>
      </c>
    </row>
    <row r="1112" spans="1:8" x14ac:dyDescent="0.45">
      <c r="A1112">
        <v>7306</v>
      </c>
      <c r="B1112">
        <v>44107</v>
      </c>
      <c r="C1112">
        <v>76</v>
      </c>
      <c r="D1112">
        <v>656.69</v>
      </c>
      <c r="E1112" t="s">
        <v>464</v>
      </c>
      <c r="F1112" t="s">
        <v>568</v>
      </c>
      <c r="G1112" t="s">
        <v>20</v>
      </c>
      <c r="H1112" t="s">
        <v>17</v>
      </c>
    </row>
    <row r="1113" spans="1:8" x14ac:dyDescent="0.45">
      <c r="A1113">
        <v>7307</v>
      </c>
      <c r="B1113">
        <v>44133</v>
      </c>
      <c r="C1113">
        <v>80</v>
      </c>
      <c r="D1113">
        <v>1318.26</v>
      </c>
      <c r="E1113" t="s">
        <v>25</v>
      </c>
      <c r="F1113" t="s">
        <v>569</v>
      </c>
      <c r="G1113" t="s">
        <v>23</v>
      </c>
      <c r="H1113" t="s">
        <v>15</v>
      </c>
    </row>
    <row r="1114" spans="1:8" x14ac:dyDescent="0.45">
      <c r="A1114">
        <v>7308</v>
      </c>
      <c r="B1114">
        <v>43879</v>
      </c>
      <c r="C1114">
        <v>15</v>
      </c>
      <c r="D1114">
        <v>178.92</v>
      </c>
      <c r="E1114" t="s">
        <v>25</v>
      </c>
      <c r="F1114" t="s">
        <v>570</v>
      </c>
      <c r="G1114" t="s">
        <v>23</v>
      </c>
      <c r="H1114" t="s">
        <v>17</v>
      </c>
    </row>
    <row r="1115" spans="1:8" x14ac:dyDescent="0.45">
      <c r="A1115">
        <v>7309</v>
      </c>
      <c r="B1115">
        <v>44004</v>
      </c>
      <c r="C1115">
        <v>8</v>
      </c>
      <c r="D1115">
        <v>517.66</v>
      </c>
      <c r="E1115" t="s">
        <v>464</v>
      </c>
      <c r="F1115" t="s">
        <v>571</v>
      </c>
      <c r="G1115" t="s">
        <v>23</v>
      </c>
      <c r="H1115" t="s">
        <v>17</v>
      </c>
    </row>
    <row r="1116" spans="1:8" x14ac:dyDescent="0.45">
      <c r="A1116">
        <v>7310</v>
      </c>
      <c r="B1116">
        <v>44037</v>
      </c>
      <c r="C1116">
        <v>60</v>
      </c>
      <c r="D1116">
        <v>1322.36</v>
      </c>
      <c r="E1116" t="s">
        <v>8</v>
      </c>
      <c r="F1116" t="s">
        <v>572</v>
      </c>
      <c r="G1116" t="s">
        <v>20</v>
      </c>
      <c r="H1116" t="s">
        <v>11</v>
      </c>
    </row>
    <row r="1117" spans="1:8" x14ac:dyDescent="0.45">
      <c r="A1117">
        <v>7311</v>
      </c>
      <c r="B1117">
        <v>43972</v>
      </c>
      <c r="C1117">
        <v>73</v>
      </c>
      <c r="D1117">
        <v>149.35</v>
      </c>
      <c r="E1117" t="s">
        <v>25</v>
      </c>
      <c r="F1117" t="s">
        <v>573</v>
      </c>
      <c r="G1117" t="s">
        <v>20</v>
      </c>
      <c r="H1117" t="s">
        <v>17</v>
      </c>
    </row>
    <row r="1118" spans="1:8" x14ac:dyDescent="0.45">
      <c r="A1118">
        <v>7312</v>
      </c>
      <c r="B1118">
        <v>44048</v>
      </c>
      <c r="C1118">
        <v>84</v>
      </c>
      <c r="D1118">
        <v>1211.32</v>
      </c>
      <c r="E1118" t="s">
        <v>8</v>
      </c>
      <c r="F1118" t="s">
        <v>574</v>
      </c>
      <c r="G1118" t="s">
        <v>20</v>
      </c>
      <c r="H1118" t="s">
        <v>15</v>
      </c>
    </row>
    <row r="1119" spans="1:8" x14ac:dyDescent="0.45">
      <c r="A1119">
        <v>7313</v>
      </c>
      <c r="B1119">
        <v>43843</v>
      </c>
      <c r="C1119">
        <v>28</v>
      </c>
      <c r="D1119">
        <v>466.48</v>
      </c>
      <c r="E1119" t="s">
        <v>464</v>
      </c>
      <c r="F1119" t="s">
        <v>575</v>
      </c>
      <c r="G1119" t="s">
        <v>20</v>
      </c>
      <c r="H1119" t="s">
        <v>17</v>
      </c>
    </row>
    <row r="1120" spans="1:8" x14ac:dyDescent="0.45">
      <c r="A1120">
        <v>7314</v>
      </c>
      <c r="B1120">
        <v>44161</v>
      </c>
      <c r="C1120">
        <v>96</v>
      </c>
      <c r="D1120">
        <v>486.17</v>
      </c>
      <c r="E1120" t="s">
        <v>8</v>
      </c>
      <c r="F1120" t="s">
        <v>576</v>
      </c>
      <c r="G1120" t="s">
        <v>23</v>
      </c>
      <c r="H1120" t="s">
        <v>15</v>
      </c>
    </row>
    <row r="1121" spans="1:8" x14ac:dyDescent="0.45">
      <c r="A1121">
        <v>7315</v>
      </c>
      <c r="B1121">
        <v>44107</v>
      </c>
      <c r="C1121">
        <v>76</v>
      </c>
      <c r="D1121">
        <v>467.14</v>
      </c>
      <c r="E1121" t="s">
        <v>25</v>
      </c>
      <c r="F1121" t="s">
        <v>577</v>
      </c>
      <c r="G1121" t="s">
        <v>13</v>
      </c>
      <c r="H1121" t="s">
        <v>15</v>
      </c>
    </row>
    <row r="1122" spans="1:8" x14ac:dyDescent="0.45">
      <c r="A1122">
        <v>7316</v>
      </c>
      <c r="B1122">
        <v>44164</v>
      </c>
      <c r="C1122">
        <v>44</v>
      </c>
      <c r="D1122">
        <v>164.44</v>
      </c>
      <c r="E1122" t="s">
        <v>25</v>
      </c>
      <c r="F1122" t="s">
        <v>578</v>
      </c>
      <c r="G1122" t="s">
        <v>23</v>
      </c>
      <c r="H1122" t="s">
        <v>11</v>
      </c>
    </row>
    <row r="1123" spans="1:8" x14ac:dyDescent="0.45">
      <c r="A1123">
        <v>7317</v>
      </c>
      <c r="B1123">
        <v>44126</v>
      </c>
      <c r="C1123">
        <v>18</v>
      </c>
      <c r="D1123">
        <v>238.72</v>
      </c>
      <c r="E1123" t="s">
        <v>8</v>
      </c>
      <c r="F1123" t="s">
        <v>579</v>
      </c>
      <c r="G1123" t="s">
        <v>20</v>
      </c>
      <c r="H1123" t="s">
        <v>17</v>
      </c>
    </row>
    <row r="1124" spans="1:8" x14ac:dyDescent="0.45">
      <c r="A1124">
        <v>7318</v>
      </c>
      <c r="B1124">
        <v>44095</v>
      </c>
      <c r="C1124">
        <v>29</v>
      </c>
      <c r="D1124">
        <v>233.21</v>
      </c>
      <c r="E1124" t="s">
        <v>464</v>
      </c>
      <c r="F1124" t="s">
        <v>580</v>
      </c>
      <c r="G1124" t="s">
        <v>10</v>
      </c>
      <c r="H1124" t="s">
        <v>11</v>
      </c>
    </row>
    <row r="1125" spans="1:8" x14ac:dyDescent="0.45">
      <c r="A1125">
        <v>7319</v>
      </c>
      <c r="B1125">
        <v>44031</v>
      </c>
      <c r="C1125">
        <v>16</v>
      </c>
      <c r="D1125">
        <v>76.52</v>
      </c>
      <c r="E1125" t="s">
        <v>8</v>
      </c>
      <c r="F1125" t="s">
        <v>581</v>
      </c>
      <c r="G1125" t="s">
        <v>20</v>
      </c>
      <c r="H1125" t="s">
        <v>11</v>
      </c>
    </row>
    <row r="1126" spans="1:8" x14ac:dyDescent="0.45">
      <c r="A1126">
        <v>7320</v>
      </c>
      <c r="B1126">
        <v>43897</v>
      </c>
      <c r="C1126">
        <v>72</v>
      </c>
      <c r="D1126">
        <v>816.34</v>
      </c>
      <c r="E1126" t="s">
        <v>8</v>
      </c>
      <c r="F1126" t="s">
        <v>582</v>
      </c>
      <c r="G1126" t="s">
        <v>20</v>
      </c>
      <c r="H1126" t="s">
        <v>17</v>
      </c>
    </row>
    <row r="1127" spans="1:8" x14ac:dyDescent="0.45">
      <c r="A1127">
        <v>7321</v>
      </c>
      <c r="B1127">
        <v>43902</v>
      </c>
      <c r="C1127">
        <v>28</v>
      </c>
      <c r="D1127">
        <v>979.81</v>
      </c>
      <c r="E1127" t="s">
        <v>8</v>
      </c>
      <c r="F1127" t="s">
        <v>583</v>
      </c>
      <c r="G1127" t="s">
        <v>13</v>
      </c>
      <c r="H1127" t="s">
        <v>11</v>
      </c>
    </row>
    <row r="1128" spans="1:8" x14ac:dyDescent="0.45">
      <c r="A1128">
        <v>7322</v>
      </c>
      <c r="B1128">
        <v>44145</v>
      </c>
      <c r="C1128">
        <v>31</v>
      </c>
      <c r="D1128">
        <v>1365.41</v>
      </c>
      <c r="E1128" t="s">
        <v>8</v>
      </c>
      <c r="F1128" t="s">
        <v>584</v>
      </c>
      <c r="G1128" t="s">
        <v>13</v>
      </c>
      <c r="H1128" t="s">
        <v>15</v>
      </c>
    </row>
    <row r="1129" spans="1:8" x14ac:dyDescent="0.45">
      <c r="A1129">
        <v>7323</v>
      </c>
      <c r="B1129">
        <v>43909</v>
      </c>
      <c r="C1129">
        <v>86</v>
      </c>
      <c r="D1129">
        <v>590.98</v>
      </c>
      <c r="E1129" t="s">
        <v>8</v>
      </c>
      <c r="F1129" t="s">
        <v>585</v>
      </c>
      <c r="G1129" t="s">
        <v>13</v>
      </c>
      <c r="H1129" t="s">
        <v>17</v>
      </c>
    </row>
    <row r="1130" spans="1:8" x14ac:dyDescent="0.45">
      <c r="A1130">
        <v>7324</v>
      </c>
      <c r="B1130">
        <v>43860</v>
      </c>
      <c r="C1130">
        <v>23</v>
      </c>
      <c r="D1130">
        <v>207.98</v>
      </c>
      <c r="E1130" t="s">
        <v>8</v>
      </c>
      <c r="F1130" t="s">
        <v>586</v>
      </c>
      <c r="G1130" t="s">
        <v>10</v>
      </c>
      <c r="H1130" t="s">
        <v>17</v>
      </c>
    </row>
    <row r="1131" spans="1:8" x14ac:dyDescent="0.45">
      <c r="A1131">
        <v>7325</v>
      </c>
      <c r="B1131">
        <v>44143</v>
      </c>
      <c r="C1131">
        <v>49</v>
      </c>
      <c r="D1131">
        <v>931.73</v>
      </c>
      <c r="E1131" t="s">
        <v>8</v>
      </c>
      <c r="F1131" t="s">
        <v>587</v>
      </c>
      <c r="G1131" t="s">
        <v>10</v>
      </c>
      <c r="H1131" t="s">
        <v>15</v>
      </c>
    </row>
    <row r="1132" spans="1:8" x14ac:dyDescent="0.45">
      <c r="A1132">
        <v>7326</v>
      </c>
      <c r="B1132">
        <v>44156</v>
      </c>
      <c r="C1132">
        <v>2</v>
      </c>
      <c r="D1132">
        <v>1208.8900000000001</v>
      </c>
      <c r="E1132" t="s">
        <v>464</v>
      </c>
      <c r="F1132" t="s">
        <v>588</v>
      </c>
      <c r="G1132" t="s">
        <v>13</v>
      </c>
      <c r="H1132" t="s">
        <v>15</v>
      </c>
    </row>
    <row r="1133" spans="1:8" x14ac:dyDescent="0.45">
      <c r="A1133">
        <v>7327</v>
      </c>
      <c r="B1133">
        <v>43839</v>
      </c>
      <c r="C1133">
        <v>50</v>
      </c>
      <c r="D1133">
        <v>1375.1</v>
      </c>
      <c r="E1133" t="s">
        <v>8</v>
      </c>
      <c r="F1133" t="s">
        <v>589</v>
      </c>
      <c r="G1133" t="s">
        <v>10</v>
      </c>
      <c r="H1133" t="s">
        <v>15</v>
      </c>
    </row>
    <row r="1134" spans="1:8" x14ac:dyDescent="0.45">
      <c r="A1134">
        <v>7328</v>
      </c>
      <c r="B1134">
        <v>43879</v>
      </c>
      <c r="C1134">
        <v>100</v>
      </c>
      <c r="D1134">
        <v>262.52</v>
      </c>
      <c r="E1134" t="s">
        <v>25</v>
      </c>
      <c r="F1134" t="s">
        <v>590</v>
      </c>
      <c r="G1134" t="s">
        <v>20</v>
      </c>
      <c r="H1134" t="s">
        <v>11</v>
      </c>
    </row>
    <row r="1135" spans="1:8" x14ac:dyDescent="0.45">
      <c r="A1135">
        <v>7329</v>
      </c>
      <c r="B1135">
        <v>44116</v>
      </c>
      <c r="C1135">
        <v>84</v>
      </c>
      <c r="D1135">
        <v>52.62</v>
      </c>
      <c r="E1135" t="s">
        <v>464</v>
      </c>
      <c r="F1135" t="s">
        <v>591</v>
      </c>
      <c r="G1135" t="s">
        <v>13</v>
      </c>
      <c r="H1135" t="s">
        <v>11</v>
      </c>
    </row>
    <row r="1136" spans="1:8" x14ac:dyDescent="0.45">
      <c r="A1136">
        <v>7330</v>
      </c>
      <c r="B1136">
        <v>44200</v>
      </c>
      <c r="C1136">
        <v>70</v>
      </c>
      <c r="D1136">
        <v>692.37</v>
      </c>
      <c r="E1136" t="s">
        <v>464</v>
      </c>
      <c r="F1136" t="s">
        <v>592</v>
      </c>
      <c r="G1136" t="s">
        <v>20</v>
      </c>
      <c r="H1136" t="s">
        <v>15</v>
      </c>
    </row>
    <row r="1137" spans="1:8" x14ac:dyDescent="0.45">
      <c r="A1137">
        <v>7331</v>
      </c>
      <c r="B1137">
        <v>43902</v>
      </c>
      <c r="C1137">
        <v>100</v>
      </c>
      <c r="D1137">
        <v>458.11</v>
      </c>
      <c r="E1137" t="s">
        <v>464</v>
      </c>
      <c r="F1137" t="s">
        <v>593</v>
      </c>
      <c r="G1137" t="s">
        <v>13</v>
      </c>
      <c r="H1137" t="s">
        <v>15</v>
      </c>
    </row>
    <row r="1138" spans="1:8" x14ac:dyDescent="0.45">
      <c r="A1138">
        <v>7332</v>
      </c>
      <c r="B1138">
        <v>44198</v>
      </c>
      <c r="C1138">
        <v>28</v>
      </c>
      <c r="D1138">
        <v>1155.03</v>
      </c>
      <c r="E1138" t="s">
        <v>25</v>
      </c>
      <c r="F1138" t="s">
        <v>594</v>
      </c>
      <c r="G1138" t="s">
        <v>10</v>
      </c>
      <c r="H1138" t="s">
        <v>11</v>
      </c>
    </row>
    <row r="1139" spans="1:8" x14ac:dyDescent="0.45">
      <c r="A1139">
        <v>7333</v>
      </c>
      <c r="B1139">
        <v>43976</v>
      </c>
      <c r="C1139">
        <v>12</v>
      </c>
      <c r="D1139">
        <v>270.20999999999998</v>
      </c>
      <c r="E1139" t="s">
        <v>464</v>
      </c>
      <c r="F1139" t="s">
        <v>595</v>
      </c>
      <c r="G1139" t="s">
        <v>23</v>
      </c>
      <c r="H1139" t="s">
        <v>11</v>
      </c>
    </row>
    <row r="1140" spans="1:8" x14ac:dyDescent="0.45">
      <c r="A1140">
        <v>7334</v>
      </c>
      <c r="B1140">
        <v>43939</v>
      </c>
      <c r="C1140">
        <v>66</v>
      </c>
      <c r="D1140">
        <v>445.26</v>
      </c>
      <c r="E1140" t="s">
        <v>25</v>
      </c>
      <c r="F1140" t="s">
        <v>596</v>
      </c>
      <c r="G1140" t="s">
        <v>20</v>
      </c>
      <c r="H1140" t="s">
        <v>17</v>
      </c>
    </row>
    <row r="1141" spans="1:8" x14ac:dyDescent="0.45">
      <c r="A1141">
        <v>7335</v>
      </c>
      <c r="B1141">
        <v>43856</v>
      </c>
      <c r="C1141">
        <v>80</v>
      </c>
      <c r="D1141">
        <v>1134.8</v>
      </c>
      <c r="E1141" t="s">
        <v>464</v>
      </c>
      <c r="F1141" t="s">
        <v>597</v>
      </c>
      <c r="G1141" t="s">
        <v>20</v>
      </c>
      <c r="H1141" t="s">
        <v>17</v>
      </c>
    </row>
    <row r="1142" spans="1:8" x14ac:dyDescent="0.45">
      <c r="A1142">
        <v>7336</v>
      </c>
      <c r="B1142">
        <v>43850</v>
      </c>
      <c r="C1142">
        <v>4</v>
      </c>
      <c r="D1142">
        <v>1244.22</v>
      </c>
      <c r="E1142" t="s">
        <v>464</v>
      </c>
      <c r="F1142" t="s">
        <v>598</v>
      </c>
      <c r="G1142" t="s">
        <v>20</v>
      </c>
      <c r="H1142" t="s">
        <v>17</v>
      </c>
    </row>
    <row r="1143" spans="1:8" x14ac:dyDescent="0.45">
      <c r="A1143">
        <v>7337</v>
      </c>
      <c r="B1143">
        <v>43959</v>
      </c>
      <c r="C1143">
        <v>17</v>
      </c>
      <c r="D1143">
        <v>1250.31</v>
      </c>
      <c r="E1143" t="s">
        <v>464</v>
      </c>
      <c r="F1143" t="s">
        <v>599</v>
      </c>
      <c r="G1143" t="s">
        <v>23</v>
      </c>
      <c r="H1143" t="s">
        <v>17</v>
      </c>
    </row>
    <row r="1144" spans="1:8" x14ac:dyDescent="0.45">
      <c r="A1144">
        <v>7338</v>
      </c>
      <c r="B1144">
        <v>44106</v>
      </c>
      <c r="C1144">
        <v>24</v>
      </c>
      <c r="D1144">
        <v>634.26</v>
      </c>
      <c r="E1144" t="s">
        <v>25</v>
      </c>
      <c r="F1144" t="s">
        <v>600</v>
      </c>
      <c r="G1144" t="s">
        <v>20</v>
      </c>
      <c r="H1144" t="s">
        <v>15</v>
      </c>
    </row>
    <row r="1145" spans="1:8" x14ac:dyDescent="0.45">
      <c r="A1145">
        <v>7339</v>
      </c>
      <c r="B1145">
        <v>43848</v>
      </c>
      <c r="C1145">
        <v>100</v>
      </c>
      <c r="D1145">
        <v>62.25</v>
      </c>
      <c r="E1145" t="s">
        <v>8</v>
      </c>
      <c r="F1145" t="s">
        <v>601</v>
      </c>
      <c r="G1145" t="s">
        <v>23</v>
      </c>
      <c r="H1145" t="s">
        <v>17</v>
      </c>
    </row>
    <row r="1146" spans="1:8" x14ac:dyDescent="0.45">
      <c r="A1146">
        <v>7340</v>
      </c>
      <c r="B1146">
        <v>43993</v>
      </c>
      <c r="C1146">
        <v>25</v>
      </c>
      <c r="D1146">
        <v>1146.81</v>
      </c>
      <c r="E1146" t="s">
        <v>25</v>
      </c>
      <c r="F1146" t="s">
        <v>602</v>
      </c>
      <c r="G1146" t="s">
        <v>10</v>
      </c>
      <c r="H1146" t="s">
        <v>11</v>
      </c>
    </row>
    <row r="1147" spans="1:8" x14ac:dyDescent="0.45">
      <c r="A1147">
        <v>7341</v>
      </c>
      <c r="B1147">
        <v>44149</v>
      </c>
      <c r="C1147">
        <v>18</v>
      </c>
      <c r="D1147">
        <v>1312.99</v>
      </c>
      <c r="E1147" t="s">
        <v>464</v>
      </c>
      <c r="F1147" t="s">
        <v>603</v>
      </c>
      <c r="G1147" t="s">
        <v>20</v>
      </c>
      <c r="H1147" t="s">
        <v>11</v>
      </c>
    </row>
    <row r="1148" spans="1:8" x14ac:dyDescent="0.45">
      <c r="A1148">
        <v>7342</v>
      </c>
      <c r="B1148">
        <v>44084</v>
      </c>
      <c r="C1148">
        <v>72</v>
      </c>
      <c r="D1148">
        <v>339.13</v>
      </c>
      <c r="E1148" t="s">
        <v>464</v>
      </c>
      <c r="F1148" t="s">
        <v>604</v>
      </c>
      <c r="G1148" t="s">
        <v>13</v>
      </c>
      <c r="H1148" t="s">
        <v>17</v>
      </c>
    </row>
    <row r="1149" spans="1:8" x14ac:dyDescent="0.45">
      <c r="A1149">
        <v>7343</v>
      </c>
      <c r="B1149">
        <v>44186</v>
      </c>
      <c r="C1149">
        <v>80</v>
      </c>
      <c r="D1149">
        <v>304.2</v>
      </c>
      <c r="E1149" t="s">
        <v>8</v>
      </c>
      <c r="F1149" t="s">
        <v>605</v>
      </c>
      <c r="G1149" t="s">
        <v>13</v>
      </c>
      <c r="H1149" t="s">
        <v>11</v>
      </c>
    </row>
    <row r="1150" spans="1:8" x14ac:dyDescent="0.45">
      <c r="A1150">
        <v>7344</v>
      </c>
      <c r="B1150">
        <v>44102</v>
      </c>
      <c r="C1150">
        <v>91</v>
      </c>
      <c r="D1150">
        <v>273.55</v>
      </c>
      <c r="E1150" t="s">
        <v>8</v>
      </c>
      <c r="F1150" t="s">
        <v>606</v>
      </c>
      <c r="G1150" t="s">
        <v>13</v>
      </c>
      <c r="H1150" t="s">
        <v>11</v>
      </c>
    </row>
    <row r="1151" spans="1:8" x14ac:dyDescent="0.45">
      <c r="A1151">
        <v>7345</v>
      </c>
      <c r="B1151">
        <v>44115</v>
      </c>
      <c r="C1151">
        <v>56</v>
      </c>
      <c r="D1151">
        <v>158.72999999999999</v>
      </c>
      <c r="E1151" t="s">
        <v>25</v>
      </c>
      <c r="F1151" t="s">
        <v>607</v>
      </c>
      <c r="G1151" t="s">
        <v>13</v>
      </c>
      <c r="H1151" t="s">
        <v>17</v>
      </c>
    </row>
    <row r="1152" spans="1:8" x14ac:dyDescent="0.45">
      <c r="A1152">
        <v>7346</v>
      </c>
      <c r="B1152">
        <v>44106</v>
      </c>
      <c r="C1152">
        <v>38</v>
      </c>
      <c r="D1152">
        <v>186.42</v>
      </c>
      <c r="E1152" t="s">
        <v>464</v>
      </c>
      <c r="F1152" t="s">
        <v>608</v>
      </c>
      <c r="G1152" t="s">
        <v>13</v>
      </c>
      <c r="H1152" t="s">
        <v>15</v>
      </c>
    </row>
    <row r="1153" spans="1:8" x14ac:dyDescent="0.45">
      <c r="A1153">
        <v>7347</v>
      </c>
      <c r="B1153">
        <v>43864</v>
      </c>
      <c r="C1153">
        <v>50</v>
      </c>
      <c r="D1153">
        <v>1485.5</v>
      </c>
      <c r="E1153" t="s">
        <v>25</v>
      </c>
      <c r="F1153" t="s">
        <v>609</v>
      </c>
      <c r="G1153" t="s">
        <v>13</v>
      </c>
      <c r="H1153" t="s">
        <v>15</v>
      </c>
    </row>
    <row r="1154" spans="1:8" x14ac:dyDescent="0.45">
      <c r="A1154">
        <v>7348</v>
      </c>
      <c r="B1154">
        <v>43874</v>
      </c>
      <c r="C1154">
        <v>99</v>
      </c>
      <c r="D1154">
        <v>1074.1300000000001</v>
      </c>
      <c r="E1154" t="s">
        <v>464</v>
      </c>
      <c r="F1154" t="s">
        <v>610</v>
      </c>
      <c r="G1154" t="s">
        <v>13</v>
      </c>
      <c r="H1154" t="s">
        <v>11</v>
      </c>
    </row>
    <row r="1155" spans="1:8" x14ac:dyDescent="0.45">
      <c r="A1155">
        <v>7349</v>
      </c>
      <c r="B1155">
        <v>44048</v>
      </c>
      <c r="C1155">
        <v>2</v>
      </c>
      <c r="D1155">
        <v>185.3</v>
      </c>
      <c r="E1155" t="s">
        <v>25</v>
      </c>
      <c r="F1155" t="s">
        <v>611</v>
      </c>
      <c r="G1155" t="s">
        <v>23</v>
      </c>
      <c r="H1155" t="s">
        <v>15</v>
      </c>
    </row>
    <row r="1156" spans="1:8" x14ac:dyDescent="0.45">
      <c r="A1156">
        <v>7350</v>
      </c>
      <c r="B1156">
        <v>43969</v>
      </c>
      <c r="C1156">
        <v>45</v>
      </c>
      <c r="D1156">
        <v>497.76</v>
      </c>
      <c r="E1156" t="s">
        <v>8</v>
      </c>
      <c r="F1156" t="s">
        <v>612</v>
      </c>
      <c r="G1156" t="s">
        <v>20</v>
      </c>
      <c r="H1156" t="s">
        <v>15</v>
      </c>
    </row>
    <row r="1157" spans="1:8" x14ac:dyDescent="0.45">
      <c r="A1157">
        <v>7351</v>
      </c>
      <c r="B1157">
        <v>43890</v>
      </c>
      <c r="C1157">
        <v>56</v>
      </c>
      <c r="D1157">
        <v>469.61</v>
      </c>
      <c r="E1157" t="s">
        <v>464</v>
      </c>
      <c r="F1157" t="s">
        <v>613</v>
      </c>
      <c r="G1157" t="s">
        <v>13</v>
      </c>
      <c r="H1157" t="s">
        <v>11</v>
      </c>
    </row>
    <row r="1158" spans="1:8" x14ac:dyDescent="0.45">
      <c r="A1158">
        <v>7352</v>
      </c>
      <c r="B1158">
        <v>44136</v>
      </c>
      <c r="C1158">
        <v>24</v>
      </c>
      <c r="D1158">
        <v>502.15</v>
      </c>
      <c r="E1158" t="s">
        <v>464</v>
      </c>
      <c r="F1158" t="s">
        <v>614</v>
      </c>
      <c r="G1158" t="s">
        <v>10</v>
      </c>
      <c r="H1158" t="s">
        <v>11</v>
      </c>
    </row>
    <row r="1159" spans="1:8" x14ac:dyDescent="0.45">
      <c r="A1159">
        <v>7353</v>
      </c>
      <c r="B1159">
        <v>44186</v>
      </c>
      <c r="C1159">
        <v>43</v>
      </c>
      <c r="D1159">
        <v>701.8</v>
      </c>
      <c r="E1159" t="s">
        <v>464</v>
      </c>
      <c r="F1159" t="s">
        <v>615</v>
      </c>
      <c r="G1159" t="s">
        <v>10</v>
      </c>
      <c r="H1159" t="s">
        <v>15</v>
      </c>
    </row>
    <row r="1160" spans="1:8" x14ac:dyDescent="0.45">
      <c r="A1160">
        <v>7354</v>
      </c>
      <c r="B1160">
        <v>44099</v>
      </c>
      <c r="C1160">
        <v>84</v>
      </c>
      <c r="D1160">
        <v>118.71</v>
      </c>
      <c r="E1160" t="s">
        <v>25</v>
      </c>
      <c r="F1160" t="s">
        <v>616</v>
      </c>
      <c r="G1160" t="s">
        <v>10</v>
      </c>
      <c r="H1160" t="s">
        <v>15</v>
      </c>
    </row>
    <row r="1161" spans="1:8" x14ac:dyDescent="0.45">
      <c r="A1161">
        <v>7355</v>
      </c>
      <c r="B1161">
        <v>44009</v>
      </c>
      <c r="C1161">
        <v>47</v>
      </c>
      <c r="D1161">
        <v>1293.69</v>
      </c>
      <c r="E1161" t="s">
        <v>464</v>
      </c>
      <c r="F1161" t="s">
        <v>617</v>
      </c>
      <c r="G1161" t="s">
        <v>10</v>
      </c>
      <c r="H1161" t="s">
        <v>17</v>
      </c>
    </row>
    <row r="1162" spans="1:8" x14ac:dyDescent="0.45">
      <c r="A1162">
        <v>7356</v>
      </c>
      <c r="B1162">
        <v>43877</v>
      </c>
      <c r="C1162">
        <v>36</v>
      </c>
      <c r="D1162">
        <v>704.3</v>
      </c>
      <c r="E1162" t="s">
        <v>464</v>
      </c>
      <c r="F1162" t="s">
        <v>618</v>
      </c>
      <c r="G1162" t="s">
        <v>10</v>
      </c>
      <c r="H1162" t="s">
        <v>11</v>
      </c>
    </row>
    <row r="1163" spans="1:8" x14ac:dyDescent="0.45">
      <c r="A1163">
        <v>7357</v>
      </c>
      <c r="B1163">
        <v>44001</v>
      </c>
      <c r="C1163">
        <v>48</v>
      </c>
      <c r="D1163">
        <v>980.51</v>
      </c>
      <c r="E1163" t="s">
        <v>8</v>
      </c>
      <c r="F1163" t="s">
        <v>619</v>
      </c>
      <c r="G1163" t="s">
        <v>20</v>
      </c>
      <c r="H1163" t="s">
        <v>17</v>
      </c>
    </row>
    <row r="1164" spans="1:8" x14ac:dyDescent="0.45">
      <c r="A1164">
        <v>7358</v>
      </c>
      <c r="B1164">
        <v>44077</v>
      </c>
      <c r="C1164">
        <v>33</v>
      </c>
      <c r="D1164">
        <v>210.45</v>
      </c>
      <c r="E1164" t="s">
        <v>25</v>
      </c>
      <c r="F1164" t="s">
        <v>620</v>
      </c>
      <c r="G1164" t="s">
        <v>23</v>
      </c>
      <c r="H1164" t="s">
        <v>17</v>
      </c>
    </row>
    <row r="1165" spans="1:8" x14ac:dyDescent="0.45">
      <c r="A1165">
        <v>7359</v>
      </c>
      <c r="B1165">
        <v>44130</v>
      </c>
      <c r="C1165">
        <v>24</v>
      </c>
      <c r="D1165">
        <v>343.23</v>
      </c>
      <c r="E1165" t="s">
        <v>25</v>
      </c>
      <c r="F1165" t="s">
        <v>621</v>
      </c>
      <c r="G1165" t="s">
        <v>20</v>
      </c>
      <c r="H1165" t="s">
        <v>17</v>
      </c>
    </row>
    <row r="1166" spans="1:8" x14ac:dyDescent="0.45">
      <c r="A1166">
        <v>7360</v>
      </c>
      <c r="B1166">
        <v>44056</v>
      </c>
      <c r="C1166">
        <v>94</v>
      </c>
      <c r="D1166">
        <v>953.11</v>
      </c>
      <c r="E1166" t="s">
        <v>464</v>
      </c>
      <c r="F1166" t="s">
        <v>622</v>
      </c>
      <c r="G1166" t="s">
        <v>13</v>
      </c>
      <c r="H1166" t="s">
        <v>17</v>
      </c>
    </row>
    <row r="1167" spans="1:8" x14ac:dyDescent="0.45">
      <c r="A1167">
        <v>7361</v>
      </c>
      <c r="B1167">
        <v>43870</v>
      </c>
      <c r="C1167">
        <v>78</v>
      </c>
      <c r="D1167">
        <v>576.22</v>
      </c>
      <c r="E1167" t="s">
        <v>464</v>
      </c>
      <c r="F1167" t="s">
        <v>623</v>
      </c>
      <c r="G1167" t="s">
        <v>23</v>
      </c>
      <c r="H1167" t="s">
        <v>15</v>
      </c>
    </row>
    <row r="1168" spans="1:8" x14ac:dyDescent="0.45">
      <c r="A1168">
        <v>7362</v>
      </c>
      <c r="B1168">
        <v>44016</v>
      </c>
      <c r="C1168">
        <v>45</v>
      </c>
      <c r="D1168">
        <v>65.349999999999994</v>
      </c>
      <c r="E1168" t="s">
        <v>25</v>
      </c>
      <c r="F1168" t="s">
        <v>624</v>
      </c>
      <c r="G1168" t="s">
        <v>23</v>
      </c>
      <c r="H1168" t="s">
        <v>15</v>
      </c>
    </row>
    <row r="1169" spans="1:8" x14ac:dyDescent="0.45">
      <c r="A1169">
        <v>7363</v>
      </c>
      <c r="B1169">
        <v>44058</v>
      </c>
      <c r="C1169">
        <v>65</v>
      </c>
      <c r="D1169">
        <v>900.79</v>
      </c>
      <c r="E1169" t="s">
        <v>25</v>
      </c>
      <c r="F1169" t="s">
        <v>625</v>
      </c>
      <c r="G1169" t="s">
        <v>23</v>
      </c>
      <c r="H1169" t="s">
        <v>11</v>
      </c>
    </row>
    <row r="1170" spans="1:8" x14ac:dyDescent="0.45">
      <c r="A1170">
        <v>7364</v>
      </c>
      <c r="B1170">
        <v>44079</v>
      </c>
      <c r="C1170">
        <v>42</v>
      </c>
      <c r="D1170">
        <v>1420.94</v>
      </c>
      <c r="E1170" t="s">
        <v>8</v>
      </c>
      <c r="F1170" t="s">
        <v>626</v>
      </c>
      <c r="G1170" t="s">
        <v>23</v>
      </c>
      <c r="H1170" t="s">
        <v>11</v>
      </c>
    </row>
    <row r="1171" spans="1:8" x14ac:dyDescent="0.45">
      <c r="A1171">
        <v>7365</v>
      </c>
      <c r="B1171">
        <v>44101</v>
      </c>
      <c r="C1171">
        <v>37</v>
      </c>
      <c r="D1171">
        <v>91.45</v>
      </c>
      <c r="E1171" t="s">
        <v>8</v>
      </c>
      <c r="F1171" t="s">
        <v>627</v>
      </c>
      <c r="G1171" t="s">
        <v>13</v>
      </c>
      <c r="H1171" t="s">
        <v>17</v>
      </c>
    </row>
    <row r="1172" spans="1:8" x14ac:dyDescent="0.45">
      <c r="A1172">
        <v>7366</v>
      </c>
      <c r="B1172">
        <v>44197</v>
      </c>
      <c r="C1172">
        <v>20</v>
      </c>
      <c r="D1172">
        <v>795.92</v>
      </c>
      <c r="E1172" t="s">
        <v>464</v>
      </c>
      <c r="F1172" t="s">
        <v>628</v>
      </c>
      <c r="G1172" t="s">
        <v>20</v>
      </c>
      <c r="H1172" t="s">
        <v>17</v>
      </c>
    </row>
    <row r="1173" spans="1:8" x14ac:dyDescent="0.45">
      <c r="A1173">
        <v>7367</v>
      </c>
      <c r="B1173">
        <v>44149</v>
      </c>
      <c r="C1173">
        <v>21</v>
      </c>
      <c r="D1173">
        <v>279.79000000000002</v>
      </c>
      <c r="E1173" t="s">
        <v>25</v>
      </c>
      <c r="F1173" t="s">
        <v>629</v>
      </c>
      <c r="G1173" t="s">
        <v>20</v>
      </c>
      <c r="H1173" t="s">
        <v>17</v>
      </c>
    </row>
    <row r="1174" spans="1:8" x14ac:dyDescent="0.45">
      <c r="A1174">
        <v>7368</v>
      </c>
      <c r="B1174">
        <v>44199</v>
      </c>
      <c r="C1174">
        <v>52</v>
      </c>
      <c r="D1174">
        <v>1492.46</v>
      </c>
      <c r="E1174" t="s">
        <v>25</v>
      </c>
      <c r="F1174" t="s">
        <v>630</v>
      </c>
      <c r="G1174" t="s">
        <v>10</v>
      </c>
      <c r="H1174" t="s">
        <v>11</v>
      </c>
    </row>
    <row r="1175" spans="1:8" x14ac:dyDescent="0.45">
      <c r="A1175">
        <v>7369</v>
      </c>
      <c r="B1175">
        <v>43847</v>
      </c>
      <c r="C1175">
        <v>55</v>
      </c>
      <c r="D1175">
        <v>924.79</v>
      </c>
      <c r="E1175" t="s">
        <v>25</v>
      </c>
      <c r="F1175" t="s">
        <v>631</v>
      </c>
      <c r="G1175" t="s">
        <v>20</v>
      </c>
      <c r="H1175" t="s">
        <v>17</v>
      </c>
    </row>
    <row r="1176" spans="1:8" x14ac:dyDescent="0.45">
      <c r="A1176">
        <v>7370</v>
      </c>
      <c r="B1176">
        <v>44094</v>
      </c>
      <c r="C1176">
        <v>49</v>
      </c>
      <c r="D1176">
        <v>393.08</v>
      </c>
      <c r="E1176" t="s">
        <v>464</v>
      </c>
      <c r="F1176" t="s">
        <v>632</v>
      </c>
      <c r="G1176" t="s">
        <v>20</v>
      </c>
      <c r="H1176" t="s">
        <v>15</v>
      </c>
    </row>
    <row r="1177" spans="1:8" x14ac:dyDescent="0.45">
      <c r="A1177">
        <v>7371</v>
      </c>
      <c r="B1177">
        <v>44119</v>
      </c>
      <c r="C1177">
        <v>63</v>
      </c>
      <c r="D1177">
        <v>257.24</v>
      </c>
      <c r="E1177" t="s">
        <v>25</v>
      </c>
      <c r="F1177" t="s">
        <v>633</v>
      </c>
      <c r="G1177" t="s">
        <v>20</v>
      </c>
      <c r="H1177" t="s">
        <v>15</v>
      </c>
    </row>
    <row r="1178" spans="1:8" x14ac:dyDescent="0.45">
      <c r="A1178">
        <v>7372</v>
      </c>
      <c r="B1178">
        <v>43945</v>
      </c>
      <c r="C1178">
        <v>4</v>
      </c>
      <c r="D1178">
        <v>905.3</v>
      </c>
      <c r="E1178" t="s">
        <v>25</v>
      </c>
      <c r="F1178" t="s">
        <v>634</v>
      </c>
      <c r="G1178" t="s">
        <v>23</v>
      </c>
      <c r="H1178" t="s">
        <v>15</v>
      </c>
    </row>
    <row r="1179" spans="1:8" x14ac:dyDescent="0.45">
      <c r="A1179">
        <v>7373</v>
      </c>
      <c r="B1179">
        <v>43871</v>
      </c>
      <c r="C1179">
        <v>5</v>
      </c>
      <c r="D1179">
        <v>557.96</v>
      </c>
      <c r="E1179" t="s">
        <v>464</v>
      </c>
      <c r="F1179" t="s">
        <v>635</v>
      </c>
      <c r="G1179" t="s">
        <v>20</v>
      </c>
      <c r="H1179" t="s">
        <v>15</v>
      </c>
    </row>
    <row r="1180" spans="1:8" x14ac:dyDescent="0.45">
      <c r="A1180">
        <v>7374</v>
      </c>
      <c r="B1180">
        <v>44071</v>
      </c>
      <c r="C1180">
        <v>59</v>
      </c>
      <c r="D1180">
        <v>512.41</v>
      </c>
      <c r="E1180" t="s">
        <v>464</v>
      </c>
      <c r="F1180" t="s">
        <v>636</v>
      </c>
      <c r="G1180" t="s">
        <v>20</v>
      </c>
      <c r="H1180" t="s">
        <v>15</v>
      </c>
    </row>
    <row r="1181" spans="1:8" x14ac:dyDescent="0.45">
      <c r="A1181">
        <v>7375</v>
      </c>
      <c r="B1181">
        <v>43958</v>
      </c>
      <c r="C1181">
        <v>70</v>
      </c>
      <c r="D1181">
        <v>76.37</v>
      </c>
      <c r="E1181" t="s">
        <v>8</v>
      </c>
      <c r="F1181" t="s">
        <v>637</v>
      </c>
      <c r="G1181" t="s">
        <v>20</v>
      </c>
      <c r="H1181" t="s">
        <v>15</v>
      </c>
    </row>
    <row r="1182" spans="1:8" x14ac:dyDescent="0.45">
      <c r="A1182">
        <v>7376</v>
      </c>
      <c r="B1182">
        <v>43982</v>
      </c>
      <c r="C1182">
        <v>75</v>
      </c>
      <c r="D1182">
        <v>1420.33</v>
      </c>
      <c r="E1182" t="s">
        <v>8</v>
      </c>
      <c r="F1182" t="s">
        <v>638</v>
      </c>
      <c r="G1182" t="s">
        <v>20</v>
      </c>
      <c r="H1182" t="s">
        <v>17</v>
      </c>
    </row>
    <row r="1183" spans="1:8" x14ac:dyDescent="0.45">
      <c r="A1183">
        <v>7377</v>
      </c>
      <c r="B1183">
        <v>44060</v>
      </c>
      <c r="C1183">
        <v>36</v>
      </c>
      <c r="D1183">
        <v>397.66</v>
      </c>
      <c r="E1183" t="s">
        <v>464</v>
      </c>
      <c r="F1183" t="s">
        <v>639</v>
      </c>
      <c r="G1183" t="s">
        <v>23</v>
      </c>
      <c r="H1183" t="s">
        <v>11</v>
      </c>
    </row>
    <row r="1184" spans="1:8" x14ac:dyDescent="0.45">
      <c r="A1184">
        <v>7378</v>
      </c>
      <c r="B1184">
        <v>44134</v>
      </c>
      <c r="C1184">
        <v>75</v>
      </c>
      <c r="D1184">
        <v>1311.98</v>
      </c>
      <c r="E1184" t="s">
        <v>8</v>
      </c>
      <c r="F1184" t="s">
        <v>640</v>
      </c>
      <c r="G1184" t="s">
        <v>23</v>
      </c>
      <c r="H1184" t="s">
        <v>15</v>
      </c>
    </row>
    <row r="1185" spans="1:8" x14ac:dyDescent="0.45">
      <c r="A1185">
        <v>7379</v>
      </c>
      <c r="B1185">
        <v>44036</v>
      </c>
      <c r="C1185">
        <v>95</v>
      </c>
      <c r="D1185">
        <v>564.25</v>
      </c>
      <c r="E1185" t="s">
        <v>464</v>
      </c>
      <c r="F1185" t="s">
        <v>641</v>
      </c>
      <c r="G1185" t="s">
        <v>20</v>
      </c>
      <c r="H1185" t="s">
        <v>17</v>
      </c>
    </row>
    <row r="1186" spans="1:8" x14ac:dyDescent="0.45">
      <c r="A1186">
        <v>7380</v>
      </c>
      <c r="B1186">
        <v>44069</v>
      </c>
      <c r="C1186">
        <v>78</v>
      </c>
      <c r="D1186">
        <v>1138.69</v>
      </c>
      <c r="E1186" t="s">
        <v>25</v>
      </c>
      <c r="F1186" t="s">
        <v>642</v>
      </c>
      <c r="G1186" t="s">
        <v>13</v>
      </c>
      <c r="H1186" t="s">
        <v>11</v>
      </c>
    </row>
    <row r="1187" spans="1:8" x14ac:dyDescent="0.45">
      <c r="A1187">
        <v>7381</v>
      </c>
      <c r="B1187">
        <v>44137</v>
      </c>
      <c r="C1187">
        <v>22</v>
      </c>
      <c r="D1187">
        <v>1451.32</v>
      </c>
      <c r="E1187" t="s">
        <v>25</v>
      </c>
      <c r="F1187" t="s">
        <v>643</v>
      </c>
      <c r="G1187" t="s">
        <v>10</v>
      </c>
      <c r="H1187" t="s">
        <v>11</v>
      </c>
    </row>
    <row r="1188" spans="1:8" x14ac:dyDescent="0.45">
      <c r="A1188">
        <v>7382</v>
      </c>
      <c r="B1188">
        <v>43939</v>
      </c>
      <c r="C1188">
        <v>61</v>
      </c>
      <c r="D1188">
        <v>735.69</v>
      </c>
      <c r="E1188" t="s">
        <v>25</v>
      </c>
      <c r="F1188" t="s">
        <v>644</v>
      </c>
      <c r="G1188" t="s">
        <v>20</v>
      </c>
      <c r="H1188" t="s">
        <v>17</v>
      </c>
    </row>
    <row r="1189" spans="1:8" x14ac:dyDescent="0.45">
      <c r="A1189">
        <v>7383</v>
      </c>
      <c r="B1189">
        <v>43904</v>
      </c>
      <c r="C1189">
        <v>24</v>
      </c>
      <c r="D1189">
        <v>389.34</v>
      </c>
      <c r="E1189" t="s">
        <v>464</v>
      </c>
      <c r="F1189" t="s">
        <v>645</v>
      </c>
      <c r="G1189" t="s">
        <v>20</v>
      </c>
      <c r="H1189" t="s">
        <v>11</v>
      </c>
    </row>
    <row r="1190" spans="1:8" x14ac:dyDescent="0.45">
      <c r="A1190">
        <v>7384</v>
      </c>
      <c r="B1190">
        <v>43961</v>
      </c>
      <c r="C1190">
        <v>60</v>
      </c>
      <c r="D1190">
        <v>309.13</v>
      </c>
      <c r="E1190" t="s">
        <v>25</v>
      </c>
      <c r="F1190" t="s">
        <v>646</v>
      </c>
      <c r="G1190" t="s">
        <v>23</v>
      </c>
      <c r="H1190" t="s">
        <v>17</v>
      </c>
    </row>
    <row r="1191" spans="1:8" x14ac:dyDescent="0.45">
      <c r="A1191">
        <v>7385</v>
      </c>
      <c r="B1191">
        <v>44084</v>
      </c>
      <c r="C1191">
        <v>45</v>
      </c>
      <c r="D1191">
        <v>442.83</v>
      </c>
      <c r="E1191" t="s">
        <v>8</v>
      </c>
      <c r="F1191" t="s">
        <v>647</v>
      </c>
      <c r="G1191" t="s">
        <v>23</v>
      </c>
      <c r="H1191" t="s">
        <v>15</v>
      </c>
    </row>
    <row r="1192" spans="1:8" x14ac:dyDescent="0.45">
      <c r="A1192">
        <v>7386</v>
      </c>
      <c r="B1192">
        <v>44152</v>
      </c>
      <c r="C1192">
        <v>74</v>
      </c>
      <c r="D1192">
        <v>1360.96</v>
      </c>
      <c r="E1192" t="s">
        <v>25</v>
      </c>
      <c r="F1192" t="s">
        <v>648</v>
      </c>
      <c r="G1192" t="s">
        <v>20</v>
      </c>
      <c r="H1192" t="s">
        <v>17</v>
      </c>
    </row>
    <row r="1193" spans="1:8" x14ac:dyDescent="0.45">
      <c r="A1193">
        <v>7387</v>
      </c>
      <c r="B1193">
        <v>44047</v>
      </c>
      <c r="C1193">
        <v>78</v>
      </c>
      <c r="D1193">
        <v>959.57</v>
      </c>
      <c r="E1193" t="s">
        <v>464</v>
      </c>
      <c r="F1193" t="s">
        <v>649</v>
      </c>
      <c r="G1193" t="s">
        <v>20</v>
      </c>
      <c r="H1193" t="s">
        <v>15</v>
      </c>
    </row>
    <row r="1194" spans="1:8" x14ac:dyDescent="0.45">
      <c r="A1194">
        <v>7388</v>
      </c>
      <c r="B1194">
        <v>43893</v>
      </c>
      <c r="C1194">
        <v>20</v>
      </c>
      <c r="D1194">
        <v>93.92</v>
      </c>
      <c r="E1194" t="s">
        <v>8</v>
      </c>
      <c r="F1194" t="s">
        <v>650</v>
      </c>
      <c r="G1194" t="s">
        <v>10</v>
      </c>
      <c r="H1194" t="s">
        <v>11</v>
      </c>
    </row>
    <row r="1195" spans="1:8" x14ac:dyDescent="0.45">
      <c r="A1195">
        <v>7389</v>
      </c>
      <c r="B1195">
        <v>43961</v>
      </c>
      <c r="C1195">
        <v>41</v>
      </c>
      <c r="D1195">
        <v>729.34</v>
      </c>
      <c r="E1195" t="s">
        <v>25</v>
      </c>
      <c r="F1195" t="s">
        <v>651</v>
      </c>
      <c r="G1195" t="s">
        <v>20</v>
      </c>
      <c r="H1195" t="s">
        <v>11</v>
      </c>
    </row>
    <row r="1196" spans="1:8" x14ac:dyDescent="0.45">
      <c r="A1196">
        <v>7390</v>
      </c>
      <c r="B1196">
        <v>44056</v>
      </c>
      <c r="C1196">
        <v>55</v>
      </c>
      <c r="D1196">
        <v>706.59</v>
      </c>
      <c r="E1196" t="s">
        <v>25</v>
      </c>
      <c r="F1196" t="s">
        <v>652</v>
      </c>
      <c r="G1196" t="s">
        <v>20</v>
      </c>
      <c r="H1196" t="s">
        <v>11</v>
      </c>
    </row>
    <row r="1197" spans="1:8" x14ac:dyDescent="0.45">
      <c r="A1197">
        <v>7391</v>
      </c>
      <c r="B1197">
        <v>43914</v>
      </c>
      <c r="C1197">
        <v>93</v>
      </c>
      <c r="D1197">
        <v>245.43</v>
      </c>
      <c r="E1197" t="s">
        <v>8</v>
      </c>
      <c r="F1197" t="s">
        <v>653</v>
      </c>
      <c r="G1197" t="s">
        <v>13</v>
      </c>
      <c r="H1197" t="s">
        <v>17</v>
      </c>
    </row>
    <row r="1198" spans="1:8" x14ac:dyDescent="0.45">
      <c r="A1198">
        <v>7392</v>
      </c>
      <c r="B1198">
        <v>44195</v>
      </c>
      <c r="C1198">
        <v>84</v>
      </c>
      <c r="D1198">
        <v>1342.39</v>
      </c>
      <c r="E1198" t="s">
        <v>25</v>
      </c>
      <c r="F1198" t="s">
        <v>654</v>
      </c>
      <c r="G1198" t="s">
        <v>10</v>
      </c>
      <c r="H1198" t="s">
        <v>17</v>
      </c>
    </row>
    <row r="1199" spans="1:8" x14ac:dyDescent="0.45">
      <c r="A1199">
        <v>7393</v>
      </c>
      <c r="B1199">
        <v>43915</v>
      </c>
      <c r="C1199">
        <v>65</v>
      </c>
      <c r="D1199">
        <v>1229.8499999999999</v>
      </c>
      <c r="E1199" t="s">
        <v>8</v>
      </c>
      <c r="F1199" t="s">
        <v>655</v>
      </c>
      <c r="G1199" t="s">
        <v>13</v>
      </c>
      <c r="H1199" t="s">
        <v>11</v>
      </c>
    </row>
    <row r="1200" spans="1:8" x14ac:dyDescent="0.45">
      <c r="A1200">
        <v>7394</v>
      </c>
      <c r="B1200">
        <v>44157</v>
      </c>
      <c r="C1200">
        <v>87</v>
      </c>
      <c r="D1200">
        <v>1117.42</v>
      </c>
      <c r="E1200" t="s">
        <v>464</v>
      </c>
      <c r="F1200" t="s">
        <v>656</v>
      </c>
      <c r="G1200" t="s">
        <v>20</v>
      </c>
      <c r="H1200" t="s">
        <v>17</v>
      </c>
    </row>
    <row r="1201" spans="1:8" x14ac:dyDescent="0.45">
      <c r="A1201">
        <v>7395</v>
      </c>
      <c r="B1201">
        <v>44168</v>
      </c>
      <c r="C1201">
        <v>49</v>
      </c>
      <c r="D1201">
        <v>1099.6199999999999</v>
      </c>
      <c r="E1201" t="s">
        <v>8</v>
      </c>
      <c r="F1201" t="s">
        <v>657</v>
      </c>
      <c r="G1201" t="s">
        <v>10</v>
      </c>
      <c r="H1201" t="s">
        <v>11</v>
      </c>
    </row>
    <row r="1202" spans="1:8" x14ac:dyDescent="0.45">
      <c r="A1202">
        <v>7396</v>
      </c>
      <c r="B1202">
        <v>44131</v>
      </c>
      <c r="C1202">
        <v>50</v>
      </c>
      <c r="D1202">
        <v>995.17</v>
      </c>
      <c r="E1202" t="s">
        <v>25</v>
      </c>
      <c r="F1202" t="s">
        <v>658</v>
      </c>
      <c r="G1202" t="s">
        <v>20</v>
      </c>
      <c r="H1202" t="s">
        <v>15</v>
      </c>
    </row>
    <row r="1203" spans="1:8" x14ac:dyDescent="0.45">
      <c r="A1203">
        <v>7397</v>
      </c>
      <c r="B1203">
        <v>44145</v>
      </c>
      <c r="C1203">
        <v>58</v>
      </c>
      <c r="D1203">
        <v>931.43</v>
      </c>
      <c r="E1203" t="s">
        <v>464</v>
      </c>
      <c r="F1203" t="s">
        <v>659</v>
      </c>
      <c r="G1203" t="s">
        <v>23</v>
      </c>
      <c r="H1203" t="s">
        <v>15</v>
      </c>
    </row>
    <row r="1204" spans="1:8" x14ac:dyDescent="0.45">
      <c r="A1204">
        <v>7398</v>
      </c>
      <c r="B1204">
        <v>43875</v>
      </c>
      <c r="C1204">
        <v>75</v>
      </c>
      <c r="D1204">
        <v>408.45</v>
      </c>
      <c r="E1204" t="s">
        <v>464</v>
      </c>
      <c r="F1204" t="s">
        <v>660</v>
      </c>
      <c r="G1204" t="s">
        <v>20</v>
      </c>
      <c r="H1204" t="s">
        <v>11</v>
      </c>
    </row>
    <row r="1205" spans="1:8" x14ac:dyDescent="0.45">
      <c r="A1205">
        <v>7399</v>
      </c>
      <c r="B1205">
        <v>44137</v>
      </c>
      <c r="C1205">
        <v>18</v>
      </c>
      <c r="D1205">
        <v>114.99</v>
      </c>
      <c r="E1205" t="s">
        <v>464</v>
      </c>
      <c r="F1205" t="s">
        <v>661</v>
      </c>
      <c r="G1205" t="s">
        <v>13</v>
      </c>
      <c r="H1205" t="s">
        <v>11</v>
      </c>
    </row>
    <row r="1206" spans="1:8" x14ac:dyDescent="0.45">
      <c r="A1206">
        <v>7400</v>
      </c>
      <c r="B1206">
        <v>44109</v>
      </c>
      <c r="C1206">
        <v>24</v>
      </c>
      <c r="D1206">
        <v>1240.08</v>
      </c>
      <c r="E1206" t="s">
        <v>25</v>
      </c>
      <c r="F1206" t="s">
        <v>662</v>
      </c>
      <c r="G1206" t="s">
        <v>23</v>
      </c>
      <c r="H1206" t="s">
        <v>11</v>
      </c>
    </row>
    <row r="1207" spans="1:8" x14ac:dyDescent="0.45">
      <c r="A1207">
        <v>7401</v>
      </c>
      <c r="B1207">
        <v>44127</v>
      </c>
      <c r="C1207">
        <v>33</v>
      </c>
      <c r="D1207">
        <v>732.72</v>
      </c>
      <c r="E1207" t="s">
        <v>25</v>
      </c>
      <c r="F1207" t="s">
        <v>663</v>
      </c>
      <c r="G1207" t="s">
        <v>20</v>
      </c>
      <c r="H1207" t="s">
        <v>17</v>
      </c>
    </row>
    <row r="1208" spans="1:8" x14ac:dyDescent="0.45">
      <c r="A1208">
        <v>7402</v>
      </c>
      <c r="B1208">
        <v>43943</v>
      </c>
      <c r="C1208">
        <v>82</v>
      </c>
      <c r="D1208">
        <v>912.73</v>
      </c>
      <c r="E1208" t="s">
        <v>25</v>
      </c>
      <c r="F1208" t="s">
        <v>664</v>
      </c>
      <c r="G1208" t="s">
        <v>20</v>
      </c>
      <c r="H1208" t="s">
        <v>15</v>
      </c>
    </row>
    <row r="1209" spans="1:8" x14ac:dyDescent="0.45">
      <c r="A1209">
        <v>7403</v>
      </c>
      <c r="B1209">
        <v>44054</v>
      </c>
      <c r="C1209">
        <v>8</v>
      </c>
      <c r="D1209">
        <v>871.64</v>
      </c>
      <c r="E1209" t="s">
        <v>464</v>
      </c>
      <c r="F1209" t="s">
        <v>665</v>
      </c>
      <c r="G1209" t="s">
        <v>23</v>
      </c>
      <c r="H1209" t="s">
        <v>17</v>
      </c>
    </row>
    <row r="1210" spans="1:8" x14ac:dyDescent="0.45">
      <c r="A1210">
        <v>7404</v>
      </c>
      <c r="B1210">
        <v>43913</v>
      </c>
      <c r="C1210">
        <v>38</v>
      </c>
      <c r="D1210">
        <v>789.96</v>
      </c>
      <c r="E1210" t="s">
        <v>25</v>
      </c>
      <c r="F1210" t="s">
        <v>666</v>
      </c>
      <c r="G1210" t="s">
        <v>13</v>
      </c>
      <c r="H1210" t="s">
        <v>11</v>
      </c>
    </row>
    <row r="1211" spans="1:8" x14ac:dyDescent="0.45">
      <c r="A1211">
        <v>7405</v>
      </c>
      <c r="B1211">
        <v>44153</v>
      </c>
      <c r="C1211">
        <v>71</v>
      </c>
      <c r="D1211">
        <v>1426.76</v>
      </c>
      <c r="E1211" t="s">
        <v>464</v>
      </c>
      <c r="F1211" t="s">
        <v>667</v>
      </c>
      <c r="G1211" t="s">
        <v>10</v>
      </c>
      <c r="H1211" t="s">
        <v>11</v>
      </c>
    </row>
    <row r="1212" spans="1:8" x14ac:dyDescent="0.45">
      <c r="A1212">
        <v>7406</v>
      </c>
      <c r="B1212">
        <v>43893</v>
      </c>
      <c r="C1212">
        <v>69</v>
      </c>
      <c r="D1212">
        <v>323.05</v>
      </c>
      <c r="E1212" t="s">
        <v>464</v>
      </c>
      <c r="F1212" t="s">
        <v>668</v>
      </c>
      <c r="G1212" t="s">
        <v>13</v>
      </c>
      <c r="H1212" t="s">
        <v>17</v>
      </c>
    </row>
    <row r="1213" spans="1:8" x14ac:dyDescent="0.45">
      <c r="A1213">
        <v>7407</v>
      </c>
      <c r="B1213">
        <v>43989</v>
      </c>
      <c r="C1213">
        <v>75</v>
      </c>
      <c r="D1213">
        <v>248.63</v>
      </c>
      <c r="E1213" t="s">
        <v>464</v>
      </c>
      <c r="F1213" t="s">
        <v>669</v>
      </c>
      <c r="G1213" t="s">
        <v>13</v>
      </c>
      <c r="H1213" t="s">
        <v>11</v>
      </c>
    </row>
    <row r="1214" spans="1:8" x14ac:dyDescent="0.45">
      <c r="A1214">
        <v>7408</v>
      </c>
      <c r="B1214">
        <v>44078</v>
      </c>
      <c r="C1214">
        <v>45</v>
      </c>
      <c r="D1214">
        <v>981.5</v>
      </c>
      <c r="E1214" t="s">
        <v>25</v>
      </c>
      <c r="F1214" t="s">
        <v>670</v>
      </c>
      <c r="G1214" t="s">
        <v>23</v>
      </c>
      <c r="H1214" t="s">
        <v>15</v>
      </c>
    </row>
    <row r="1215" spans="1:8" x14ac:dyDescent="0.45">
      <c r="A1215">
        <v>7409</v>
      </c>
      <c r="B1215">
        <v>43842</v>
      </c>
      <c r="C1215">
        <v>32</v>
      </c>
      <c r="D1215">
        <v>833.83</v>
      </c>
      <c r="E1215" t="s">
        <v>25</v>
      </c>
      <c r="F1215" t="s">
        <v>671</v>
      </c>
      <c r="G1215" t="s">
        <v>23</v>
      </c>
      <c r="H1215" t="s">
        <v>15</v>
      </c>
    </row>
    <row r="1216" spans="1:8" x14ac:dyDescent="0.45">
      <c r="A1216">
        <v>7410</v>
      </c>
      <c r="B1216">
        <v>44174</v>
      </c>
      <c r="C1216">
        <v>25</v>
      </c>
      <c r="D1216">
        <v>84.3</v>
      </c>
      <c r="E1216" t="s">
        <v>25</v>
      </c>
      <c r="F1216" t="s">
        <v>672</v>
      </c>
      <c r="G1216" t="s">
        <v>23</v>
      </c>
      <c r="H1216" t="s">
        <v>11</v>
      </c>
    </row>
    <row r="1217" spans="1:8" x14ac:dyDescent="0.45">
      <c r="A1217">
        <v>7411</v>
      </c>
      <c r="B1217">
        <v>44104</v>
      </c>
      <c r="C1217">
        <v>33</v>
      </c>
      <c r="D1217">
        <v>719.84</v>
      </c>
      <c r="E1217" t="s">
        <v>25</v>
      </c>
      <c r="F1217" t="s">
        <v>673</v>
      </c>
      <c r="G1217" t="s">
        <v>13</v>
      </c>
      <c r="H1217" t="s">
        <v>17</v>
      </c>
    </row>
    <row r="1218" spans="1:8" x14ac:dyDescent="0.45">
      <c r="A1218">
        <v>7412</v>
      </c>
      <c r="B1218">
        <v>43896</v>
      </c>
      <c r="C1218">
        <v>90</v>
      </c>
      <c r="D1218">
        <v>258.25</v>
      </c>
      <c r="E1218" t="s">
        <v>25</v>
      </c>
      <c r="F1218" t="s">
        <v>674</v>
      </c>
      <c r="G1218" t="s">
        <v>13</v>
      </c>
      <c r="H1218" t="s">
        <v>17</v>
      </c>
    </row>
    <row r="1219" spans="1:8" x14ac:dyDescent="0.45">
      <c r="A1219">
        <v>7413</v>
      </c>
      <c r="B1219">
        <v>43880</v>
      </c>
      <c r="C1219">
        <v>16</v>
      </c>
      <c r="D1219">
        <v>1174.1199999999999</v>
      </c>
      <c r="E1219" t="s">
        <v>464</v>
      </c>
      <c r="F1219" t="s">
        <v>675</v>
      </c>
      <c r="G1219" t="s">
        <v>13</v>
      </c>
      <c r="H1219" t="s">
        <v>17</v>
      </c>
    </row>
    <row r="1220" spans="1:8" x14ac:dyDescent="0.45">
      <c r="A1220">
        <v>7414</v>
      </c>
      <c r="B1220">
        <v>44174</v>
      </c>
      <c r="C1220">
        <v>16</v>
      </c>
      <c r="D1220">
        <v>579.07000000000005</v>
      </c>
      <c r="E1220" t="s">
        <v>8</v>
      </c>
      <c r="F1220" t="s">
        <v>676</v>
      </c>
      <c r="G1220" t="s">
        <v>23</v>
      </c>
      <c r="H1220" t="s">
        <v>11</v>
      </c>
    </row>
    <row r="1221" spans="1:8" x14ac:dyDescent="0.45">
      <c r="A1221">
        <v>7415</v>
      </c>
      <c r="B1221">
        <v>44067</v>
      </c>
      <c r="C1221">
        <v>31</v>
      </c>
      <c r="D1221">
        <v>603.47</v>
      </c>
      <c r="E1221" t="s">
        <v>464</v>
      </c>
      <c r="F1221" t="s">
        <v>677</v>
      </c>
      <c r="G1221" t="s">
        <v>20</v>
      </c>
      <c r="H1221" t="s">
        <v>11</v>
      </c>
    </row>
    <row r="1222" spans="1:8" x14ac:dyDescent="0.45">
      <c r="A1222">
        <v>7416</v>
      </c>
      <c r="B1222">
        <v>43998</v>
      </c>
      <c r="C1222">
        <v>64</v>
      </c>
      <c r="D1222">
        <v>413.24</v>
      </c>
      <c r="E1222" t="s">
        <v>464</v>
      </c>
      <c r="F1222" t="s">
        <v>678</v>
      </c>
      <c r="G1222" t="s">
        <v>20</v>
      </c>
      <c r="H1222" t="s">
        <v>15</v>
      </c>
    </row>
    <row r="1223" spans="1:8" x14ac:dyDescent="0.45">
      <c r="A1223">
        <v>7417</v>
      </c>
      <c r="B1223">
        <v>43848</v>
      </c>
      <c r="C1223">
        <v>3</v>
      </c>
      <c r="D1223">
        <v>1351.76</v>
      </c>
      <c r="E1223" t="s">
        <v>8</v>
      </c>
      <c r="F1223" t="s">
        <v>679</v>
      </c>
      <c r="G1223" t="s">
        <v>10</v>
      </c>
      <c r="H1223" t="s">
        <v>17</v>
      </c>
    </row>
    <row r="1224" spans="1:8" x14ac:dyDescent="0.45">
      <c r="A1224">
        <v>7418</v>
      </c>
      <c r="B1224">
        <v>44172</v>
      </c>
      <c r="C1224">
        <v>22</v>
      </c>
      <c r="D1224">
        <v>830.9</v>
      </c>
      <c r="E1224" t="s">
        <v>25</v>
      </c>
      <c r="F1224" t="s">
        <v>680</v>
      </c>
      <c r="G1224" t="s">
        <v>20</v>
      </c>
      <c r="H1224" t="s">
        <v>15</v>
      </c>
    </row>
    <row r="1225" spans="1:8" x14ac:dyDescent="0.45">
      <c r="A1225">
        <v>7419</v>
      </c>
      <c r="B1225">
        <v>43857</v>
      </c>
      <c r="C1225">
        <v>26</v>
      </c>
      <c r="D1225">
        <v>478.92</v>
      </c>
      <c r="E1225" t="s">
        <v>8</v>
      </c>
      <c r="F1225" t="s">
        <v>681</v>
      </c>
      <c r="G1225" t="s">
        <v>13</v>
      </c>
      <c r="H1225" t="s">
        <v>17</v>
      </c>
    </row>
    <row r="1226" spans="1:8" x14ac:dyDescent="0.45">
      <c r="A1226">
        <v>7420</v>
      </c>
      <c r="B1226">
        <v>44200</v>
      </c>
      <c r="C1226">
        <v>61</v>
      </c>
      <c r="D1226">
        <v>322.73</v>
      </c>
      <c r="E1226" t="s">
        <v>8</v>
      </c>
      <c r="F1226" t="s">
        <v>682</v>
      </c>
      <c r="G1226" t="s">
        <v>20</v>
      </c>
      <c r="H1226" t="s">
        <v>15</v>
      </c>
    </row>
    <row r="1227" spans="1:8" x14ac:dyDescent="0.45">
      <c r="A1227">
        <v>7421</v>
      </c>
      <c r="B1227">
        <v>44063</v>
      </c>
      <c r="C1227">
        <v>99</v>
      </c>
      <c r="D1227">
        <v>566.91999999999996</v>
      </c>
      <c r="E1227" t="s">
        <v>25</v>
      </c>
      <c r="F1227" t="s">
        <v>683</v>
      </c>
      <c r="G1227" t="s">
        <v>13</v>
      </c>
      <c r="H1227" t="s">
        <v>15</v>
      </c>
    </row>
    <row r="1228" spans="1:8" x14ac:dyDescent="0.45">
      <c r="A1228">
        <v>7422</v>
      </c>
      <c r="B1228">
        <v>43905</v>
      </c>
      <c r="C1228">
        <v>22</v>
      </c>
      <c r="D1228">
        <v>675.46</v>
      </c>
      <c r="E1228" t="s">
        <v>25</v>
      </c>
      <c r="F1228" t="s">
        <v>684</v>
      </c>
      <c r="G1228" t="s">
        <v>10</v>
      </c>
      <c r="H1228" t="s">
        <v>17</v>
      </c>
    </row>
    <row r="1229" spans="1:8" x14ac:dyDescent="0.45">
      <c r="A1229">
        <v>7423</v>
      </c>
      <c r="B1229">
        <v>43998</v>
      </c>
      <c r="C1229">
        <v>1</v>
      </c>
      <c r="D1229">
        <v>575.78</v>
      </c>
      <c r="E1229" t="s">
        <v>25</v>
      </c>
      <c r="F1229" t="s">
        <v>685</v>
      </c>
      <c r="G1229" t="s">
        <v>23</v>
      </c>
      <c r="H1229" t="s">
        <v>11</v>
      </c>
    </row>
    <row r="1230" spans="1:8" x14ac:dyDescent="0.45">
      <c r="A1230">
        <v>7424</v>
      </c>
      <c r="B1230">
        <v>44191</v>
      </c>
      <c r="C1230">
        <v>86</v>
      </c>
      <c r="D1230">
        <v>1241.0999999999999</v>
      </c>
      <c r="E1230" t="s">
        <v>25</v>
      </c>
      <c r="F1230" t="s">
        <v>686</v>
      </c>
      <c r="G1230" t="s">
        <v>23</v>
      </c>
      <c r="H1230" t="s">
        <v>15</v>
      </c>
    </row>
    <row r="1231" spans="1:8" x14ac:dyDescent="0.45">
      <c r="A1231">
        <v>7425</v>
      </c>
      <c r="B1231">
        <v>43911</v>
      </c>
      <c r="C1231">
        <v>85</v>
      </c>
      <c r="D1231">
        <v>1268.3800000000001</v>
      </c>
      <c r="E1231" t="s">
        <v>25</v>
      </c>
      <c r="F1231" t="s">
        <v>687</v>
      </c>
      <c r="G1231" t="s">
        <v>23</v>
      </c>
      <c r="H1231" t="s">
        <v>17</v>
      </c>
    </row>
    <row r="1232" spans="1:8" x14ac:dyDescent="0.45">
      <c r="A1232">
        <v>7426</v>
      </c>
      <c r="B1232">
        <v>44091</v>
      </c>
      <c r="C1232">
        <v>77</v>
      </c>
      <c r="D1232">
        <v>923.4</v>
      </c>
      <c r="E1232" t="s">
        <v>464</v>
      </c>
      <c r="F1232" t="s">
        <v>688</v>
      </c>
      <c r="G1232" t="s">
        <v>10</v>
      </c>
      <c r="H1232" t="s">
        <v>17</v>
      </c>
    </row>
    <row r="1233" spans="1:8" x14ac:dyDescent="0.45">
      <c r="A1233">
        <v>7427</v>
      </c>
      <c r="B1233">
        <v>44084</v>
      </c>
      <c r="C1233">
        <v>44</v>
      </c>
      <c r="D1233">
        <v>610.30999999999995</v>
      </c>
      <c r="E1233" t="s">
        <v>8</v>
      </c>
      <c r="F1233" t="s">
        <v>689</v>
      </c>
      <c r="G1233" t="s">
        <v>13</v>
      </c>
      <c r="H1233" t="s">
        <v>11</v>
      </c>
    </row>
    <row r="1234" spans="1:8" x14ac:dyDescent="0.45">
      <c r="A1234">
        <v>7428</v>
      </c>
      <c r="B1234">
        <v>44078</v>
      </c>
      <c r="C1234">
        <v>56</v>
      </c>
      <c r="D1234">
        <v>635.39</v>
      </c>
      <c r="E1234" t="s">
        <v>8</v>
      </c>
      <c r="F1234" t="s">
        <v>690</v>
      </c>
      <c r="G1234" t="s">
        <v>10</v>
      </c>
      <c r="H1234" t="s">
        <v>11</v>
      </c>
    </row>
    <row r="1235" spans="1:8" x14ac:dyDescent="0.45">
      <c r="A1235">
        <v>7429</v>
      </c>
      <c r="B1235">
        <v>43872</v>
      </c>
      <c r="C1235">
        <v>58</v>
      </c>
      <c r="D1235">
        <v>1132.29</v>
      </c>
      <c r="E1235" t="s">
        <v>464</v>
      </c>
      <c r="F1235" t="s">
        <v>691</v>
      </c>
      <c r="G1235" t="s">
        <v>13</v>
      </c>
      <c r="H1235" t="s">
        <v>15</v>
      </c>
    </row>
    <row r="1236" spans="1:8" x14ac:dyDescent="0.45">
      <c r="A1236">
        <v>7430</v>
      </c>
      <c r="B1236">
        <v>43858</v>
      </c>
      <c r="C1236">
        <v>6</v>
      </c>
      <c r="D1236">
        <v>1370.46</v>
      </c>
      <c r="E1236" t="s">
        <v>25</v>
      </c>
      <c r="F1236" t="s">
        <v>692</v>
      </c>
      <c r="G1236" t="s">
        <v>13</v>
      </c>
      <c r="H1236" t="s">
        <v>17</v>
      </c>
    </row>
    <row r="1237" spans="1:8" x14ac:dyDescent="0.45">
      <c r="A1237">
        <v>7431</v>
      </c>
      <c r="B1237">
        <v>44057</v>
      </c>
      <c r="C1237">
        <v>37</v>
      </c>
      <c r="D1237">
        <v>219.68</v>
      </c>
      <c r="E1237" t="s">
        <v>25</v>
      </c>
      <c r="F1237" t="s">
        <v>693</v>
      </c>
      <c r="G1237" t="s">
        <v>23</v>
      </c>
      <c r="H1237" t="s">
        <v>15</v>
      </c>
    </row>
    <row r="1238" spans="1:8" x14ac:dyDescent="0.45">
      <c r="A1238">
        <v>7432</v>
      </c>
      <c r="B1238">
        <v>43991</v>
      </c>
      <c r="C1238">
        <v>80</v>
      </c>
      <c r="D1238">
        <v>290.58999999999997</v>
      </c>
      <c r="E1238" t="s">
        <v>464</v>
      </c>
      <c r="F1238" t="s">
        <v>694</v>
      </c>
      <c r="G1238" t="s">
        <v>10</v>
      </c>
      <c r="H1238" t="s">
        <v>17</v>
      </c>
    </row>
    <row r="1239" spans="1:8" x14ac:dyDescent="0.45">
      <c r="A1239">
        <v>7433</v>
      </c>
      <c r="B1239">
        <v>43910</v>
      </c>
      <c r="C1239">
        <v>44</v>
      </c>
      <c r="D1239">
        <v>200.26</v>
      </c>
      <c r="E1239" t="s">
        <v>464</v>
      </c>
      <c r="F1239" t="s">
        <v>695</v>
      </c>
      <c r="G1239" t="s">
        <v>13</v>
      </c>
      <c r="H1239" t="s">
        <v>11</v>
      </c>
    </row>
    <row r="1240" spans="1:8" x14ac:dyDescent="0.45">
      <c r="A1240">
        <v>7434</v>
      </c>
      <c r="B1240">
        <v>44031</v>
      </c>
      <c r="C1240">
        <v>57</v>
      </c>
      <c r="D1240">
        <v>1347.53</v>
      </c>
      <c r="E1240" t="s">
        <v>464</v>
      </c>
      <c r="F1240" t="s">
        <v>696</v>
      </c>
      <c r="G1240" t="s">
        <v>20</v>
      </c>
      <c r="H1240" t="s">
        <v>15</v>
      </c>
    </row>
    <row r="1241" spans="1:8" x14ac:dyDescent="0.45">
      <c r="A1241">
        <v>7435</v>
      </c>
      <c r="B1241">
        <v>43848</v>
      </c>
      <c r="C1241">
        <v>8</v>
      </c>
      <c r="D1241">
        <v>1155.07</v>
      </c>
      <c r="E1241" t="s">
        <v>8</v>
      </c>
      <c r="F1241" t="s">
        <v>697</v>
      </c>
      <c r="G1241" t="s">
        <v>20</v>
      </c>
      <c r="H1241" t="s">
        <v>17</v>
      </c>
    </row>
    <row r="1242" spans="1:8" x14ac:dyDescent="0.45">
      <c r="A1242">
        <v>7436</v>
      </c>
      <c r="B1242">
        <v>44131</v>
      </c>
      <c r="C1242">
        <v>31</v>
      </c>
      <c r="D1242">
        <v>164.67</v>
      </c>
      <c r="E1242" t="s">
        <v>25</v>
      </c>
      <c r="F1242" t="s">
        <v>698</v>
      </c>
      <c r="G1242" t="s">
        <v>23</v>
      </c>
      <c r="H1242" t="s">
        <v>11</v>
      </c>
    </row>
    <row r="1243" spans="1:8" x14ac:dyDescent="0.45">
      <c r="A1243">
        <v>7437</v>
      </c>
      <c r="B1243">
        <v>44169</v>
      </c>
      <c r="C1243">
        <v>41</v>
      </c>
      <c r="D1243">
        <v>1208.57</v>
      </c>
      <c r="E1243" t="s">
        <v>25</v>
      </c>
      <c r="F1243" t="s">
        <v>699</v>
      </c>
      <c r="G1243" t="s">
        <v>10</v>
      </c>
      <c r="H1243" t="s">
        <v>17</v>
      </c>
    </row>
    <row r="1244" spans="1:8" x14ac:dyDescent="0.45">
      <c r="A1244">
        <v>7438</v>
      </c>
      <c r="B1244">
        <v>44181</v>
      </c>
      <c r="C1244">
        <v>82</v>
      </c>
      <c r="D1244">
        <v>1468.79</v>
      </c>
      <c r="E1244" t="s">
        <v>464</v>
      </c>
      <c r="F1244" t="s">
        <v>700</v>
      </c>
      <c r="G1244" t="s">
        <v>23</v>
      </c>
      <c r="H1244" t="s">
        <v>11</v>
      </c>
    </row>
    <row r="1245" spans="1:8" x14ac:dyDescent="0.45">
      <c r="A1245">
        <v>7439</v>
      </c>
      <c r="B1245">
        <v>44051</v>
      </c>
      <c r="C1245">
        <v>70</v>
      </c>
      <c r="D1245">
        <v>553.24</v>
      </c>
      <c r="E1245" t="s">
        <v>464</v>
      </c>
      <c r="F1245" t="s">
        <v>701</v>
      </c>
      <c r="G1245" t="s">
        <v>13</v>
      </c>
      <c r="H1245" t="s">
        <v>11</v>
      </c>
    </row>
    <row r="1246" spans="1:8" x14ac:dyDescent="0.45">
      <c r="A1246">
        <v>7440</v>
      </c>
      <c r="B1246">
        <v>43840</v>
      </c>
      <c r="C1246">
        <v>79</v>
      </c>
      <c r="D1246">
        <v>1292.56</v>
      </c>
      <c r="E1246" t="s">
        <v>464</v>
      </c>
      <c r="F1246" t="s">
        <v>702</v>
      </c>
      <c r="G1246" t="s">
        <v>20</v>
      </c>
      <c r="H1246" t="s">
        <v>17</v>
      </c>
    </row>
    <row r="1247" spans="1:8" x14ac:dyDescent="0.45">
      <c r="A1247">
        <v>7441</v>
      </c>
      <c r="B1247">
        <v>43889</v>
      </c>
      <c r="C1247">
        <v>34</v>
      </c>
      <c r="D1247">
        <v>1132.73</v>
      </c>
      <c r="E1247" t="s">
        <v>8</v>
      </c>
      <c r="F1247" t="s">
        <v>703</v>
      </c>
      <c r="G1247" t="s">
        <v>20</v>
      </c>
      <c r="H1247" t="s">
        <v>11</v>
      </c>
    </row>
    <row r="1248" spans="1:8" x14ac:dyDescent="0.45">
      <c r="A1248">
        <v>7442</v>
      </c>
      <c r="B1248">
        <v>44110</v>
      </c>
      <c r="C1248">
        <v>5</v>
      </c>
      <c r="D1248">
        <v>537.77</v>
      </c>
      <c r="E1248" t="s">
        <v>8</v>
      </c>
      <c r="F1248" t="s">
        <v>704</v>
      </c>
      <c r="G1248" t="s">
        <v>23</v>
      </c>
      <c r="H1248" t="s">
        <v>17</v>
      </c>
    </row>
    <row r="1249" spans="1:8" x14ac:dyDescent="0.45">
      <c r="A1249">
        <v>7443</v>
      </c>
      <c r="B1249">
        <v>43986</v>
      </c>
      <c r="C1249">
        <v>29</v>
      </c>
      <c r="D1249">
        <v>96.79</v>
      </c>
      <c r="E1249" t="s">
        <v>464</v>
      </c>
      <c r="F1249" t="s">
        <v>705</v>
      </c>
      <c r="G1249" t="s">
        <v>23</v>
      </c>
      <c r="H1249" t="s">
        <v>17</v>
      </c>
    </row>
    <row r="1250" spans="1:8" x14ac:dyDescent="0.45">
      <c r="A1250">
        <v>7444</v>
      </c>
      <c r="B1250">
        <v>44153</v>
      </c>
      <c r="C1250">
        <v>54</v>
      </c>
      <c r="D1250">
        <v>1241.19</v>
      </c>
      <c r="E1250" t="s">
        <v>8</v>
      </c>
      <c r="F1250" t="s">
        <v>706</v>
      </c>
      <c r="G1250" t="s">
        <v>13</v>
      </c>
      <c r="H1250" t="s">
        <v>11</v>
      </c>
    </row>
    <row r="1251" spans="1:8" x14ac:dyDescent="0.45">
      <c r="A1251">
        <v>7445</v>
      </c>
      <c r="B1251">
        <v>44032</v>
      </c>
      <c r="C1251">
        <v>36</v>
      </c>
      <c r="D1251">
        <v>673.72</v>
      </c>
      <c r="E1251" t="s">
        <v>25</v>
      </c>
      <c r="F1251" t="s">
        <v>707</v>
      </c>
      <c r="G1251" t="s">
        <v>10</v>
      </c>
      <c r="H1251" t="s">
        <v>17</v>
      </c>
    </row>
    <row r="1252" spans="1:8" x14ac:dyDescent="0.45">
      <c r="A1252">
        <v>7446</v>
      </c>
      <c r="B1252">
        <v>43869</v>
      </c>
      <c r="C1252">
        <v>68</v>
      </c>
      <c r="D1252">
        <v>807.84</v>
      </c>
      <c r="E1252" t="s">
        <v>8</v>
      </c>
      <c r="F1252" t="s">
        <v>708</v>
      </c>
      <c r="G1252" t="s">
        <v>20</v>
      </c>
      <c r="H1252" t="s">
        <v>17</v>
      </c>
    </row>
    <row r="1253" spans="1:8" x14ac:dyDescent="0.45">
      <c r="A1253">
        <v>7447</v>
      </c>
      <c r="B1253">
        <v>43841</v>
      </c>
      <c r="C1253">
        <v>92</v>
      </c>
      <c r="D1253">
        <v>1200.44</v>
      </c>
      <c r="E1253" t="s">
        <v>8</v>
      </c>
      <c r="F1253" t="s">
        <v>709</v>
      </c>
      <c r="G1253" t="s">
        <v>10</v>
      </c>
      <c r="H1253" t="s">
        <v>17</v>
      </c>
    </row>
    <row r="1254" spans="1:8" x14ac:dyDescent="0.45">
      <c r="A1254">
        <v>7448</v>
      </c>
      <c r="B1254">
        <v>44146</v>
      </c>
      <c r="C1254">
        <v>34</v>
      </c>
      <c r="D1254">
        <v>1148.6500000000001</v>
      </c>
      <c r="E1254" t="s">
        <v>25</v>
      </c>
      <c r="F1254" t="s">
        <v>710</v>
      </c>
      <c r="G1254" t="s">
        <v>10</v>
      </c>
      <c r="H1254" t="s">
        <v>11</v>
      </c>
    </row>
    <row r="1255" spans="1:8" x14ac:dyDescent="0.45">
      <c r="A1255">
        <v>7449</v>
      </c>
      <c r="B1255">
        <v>44003</v>
      </c>
      <c r="C1255">
        <v>8</v>
      </c>
      <c r="D1255">
        <v>962.68</v>
      </c>
      <c r="E1255" t="s">
        <v>25</v>
      </c>
      <c r="F1255" t="s">
        <v>711</v>
      </c>
      <c r="G1255" t="s">
        <v>20</v>
      </c>
      <c r="H1255" t="s">
        <v>15</v>
      </c>
    </row>
    <row r="1256" spans="1:8" x14ac:dyDescent="0.45">
      <c r="A1256">
        <v>7450</v>
      </c>
      <c r="B1256">
        <v>43978</v>
      </c>
      <c r="C1256">
        <v>47</v>
      </c>
      <c r="D1256">
        <v>952.96</v>
      </c>
      <c r="E1256" t="s">
        <v>464</v>
      </c>
      <c r="F1256" t="s">
        <v>712</v>
      </c>
      <c r="G1256" t="s">
        <v>20</v>
      </c>
      <c r="H1256" t="s">
        <v>17</v>
      </c>
    </row>
    <row r="1257" spans="1:8" x14ac:dyDescent="0.45">
      <c r="A1257">
        <v>7451</v>
      </c>
      <c r="B1257">
        <v>43890</v>
      </c>
      <c r="C1257">
        <v>72</v>
      </c>
      <c r="D1257">
        <v>762.99</v>
      </c>
      <c r="E1257" t="s">
        <v>8</v>
      </c>
      <c r="F1257" t="s">
        <v>713</v>
      </c>
      <c r="G1257" t="s">
        <v>10</v>
      </c>
      <c r="H1257" t="s">
        <v>15</v>
      </c>
    </row>
    <row r="1258" spans="1:8" x14ac:dyDescent="0.45">
      <c r="A1258">
        <v>7452</v>
      </c>
      <c r="B1258">
        <v>44163</v>
      </c>
      <c r="C1258">
        <v>17</v>
      </c>
      <c r="D1258">
        <v>1107.83</v>
      </c>
      <c r="E1258" t="s">
        <v>8</v>
      </c>
      <c r="F1258" t="s">
        <v>714</v>
      </c>
      <c r="G1258" t="s">
        <v>13</v>
      </c>
      <c r="H1258" t="s">
        <v>11</v>
      </c>
    </row>
    <row r="1259" spans="1:8" x14ac:dyDescent="0.45">
      <c r="A1259">
        <v>7453</v>
      </c>
      <c r="B1259">
        <v>43871</v>
      </c>
      <c r="C1259">
        <v>88</v>
      </c>
      <c r="D1259">
        <v>932.55</v>
      </c>
      <c r="E1259" t="s">
        <v>8</v>
      </c>
      <c r="F1259" t="s">
        <v>715</v>
      </c>
      <c r="G1259" t="s">
        <v>23</v>
      </c>
      <c r="H1259" t="s">
        <v>15</v>
      </c>
    </row>
    <row r="1260" spans="1:8" x14ac:dyDescent="0.45">
      <c r="A1260">
        <v>7454</v>
      </c>
      <c r="B1260">
        <v>44138</v>
      </c>
      <c r="C1260">
        <v>41</v>
      </c>
      <c r="D1260">
        <v>732</v>
      </c>
      <c r="E1260" t="s">
        <v>25</v>
      </c>
      <c r="F1260" t="s">
        <v>716</v>
      </c>
      <c r="G1260" t="s">
        <v>10</v>
      </c>
      <c r="H1260" t="s">
        <v>11</v>
      </c>
    </row>
    <row r="1261" spans="1:8" x14ac:dyDescent="0.45">
      <c r="A1261">
        <v>7455</v>
      </c>
      <c r="B1261">
        <v>43969</v>
      </c>
      <c r="C1261">
        <v>47</v>
      </c>
      <c r="D1261">
        <v>1126.76</v>
      </c>
      <c r="E1261" t="s">
        <v>464</v>
      </c>
      <c r="F1261" t="s">
        <v>717</v>
      </c>
      <c r="G1261" t="s">
        <v>20</v>
      </c>
      <c r="H1261" t="s">
        <v>15</v>
      </c>
    </row>
    <row r="1262" spans="1:8" x14ac:dyDescent="0.45">
      <c r="A1262">
        <v>7456</v>
      </c>
      <c r="B1262">
        <v>43990</v>
      </c>
      <c r="C1262">
        <v>31</v>
      </c>
      <c r="D1262">
        <v>1293.43</v>
      </c>
      <c r="E1262" t="s">
        <v>8</v>
      </c>
      <c r="F1262" t="s">
        <v>718</v>
      </c>
      <c r="G1262" t="s">
        <v>20</v>
      </c>
      <c r="H1262" t="s">
        <v>17</v>
      </c>
    </row>
    <row r="1263" spans="1:8" x14ac:dyDescent="0.45">
      <c r="A1263">
        <v>7457</v>
      </c>
      <c r="B1263">
        <v>43898</v>
      </c>
      <c r="C1263">
        <v>17</v>
      </c>
      <c r="D1263">
        <v>1291.96</v>
      </c>
      <c r="E1263" t="s">
        <v>464</v>
      </c>
      <c r="F1263" t="s">
        <v>719</v>
      </c>
      <c r="G1263" t="s">
        <v>10</v>
      </c>
      <c r="H1263" t="s">
        <v>17</v>
      </c>
    </row>
    <row r="1264" spans="1:8" x14ac:dyDescent="0.45">
      <c r="A1264">
        <v>7458</v>
      </c>
      <c r="B1264">
        <v>44143</v>
      </c>
      <c r="C1264">
        <v>16</v>
      </c>
      <c r="D1264">
        <v>939.52</v>
      </c>
      <c r="E1264" t="s">
        <v>8</v>
      </c>
      <c r="F1264" t="s">
        <v>720</v>
      </c>
      <c r="G1264" t="s">
        <v>20</v>
      </c>
      <c r="H1264" t="s">
        <v>11</v>
      </c>
    </row>
    <row r="1265" spans="1:8" x14ac:dyDescent="0.45">
      <c r="A1265">
        <v>7459</v>
      </c>
      <c r="B1265">
        <v>43864</v>
      </c>
      <c r="C1265">
        <v>37</v>
      </c>
      <c r="D1265">
        <v>1046.9000000000001</v>
      </c>
      <c r="E1265" t="s">
        <v>25</v>
      </c>
      <c r="F1265" t="s">
        <v>721</v>
      </c>
      <c r="G1265" t="s">
        <v>13</v>
      </c>
      <c r="H1265" t="s">
        <v>17</v>
      </c>
    </row>
    <row r="1266" spans="1:8" x14ac:dyDescent="0.45">
      <c r="A1266">
        <v>7460</v>
      </c>
      <c r="B1266">
        <v>44076</v>
      </c>
      <c r="C1266">
        <v>55</v>
      </c>
      <c r="D1266">
        <v>162.33000000000001</v>
      </c>
      <c r="E1266" t="s">
        <v>8</v>
      </c>
      <c r="F1266" t="s">
        <v>722</v>
      </c>
      <c r="G1266" t="s">
        <v>23</v>
      </c>
      <c r="H1266" t="s">
        <v>17</v>
      </c>
    </row>
    <row r="1267" spans="1:8" x14ac:dyDescent="0.45">
      <c r="A1267">
        <v>7461</v>
      </c>
      <c r="B1267">
        <v>44055</v>
      </c>
      <c r="C1267">
        <v>98</v>
      </c>
      <c r="D1267">
        <v>1349.74</v>
      </c>
      <c r="E1267" t="s">
        <v>8</v>
      </c>
      <c r="F1267" t="s">
        <v>723</v>
      </c>
      <c r="G1267" t="s">
        <v>13</v>
      </c>
      <c r="H1267" t="s">
        <v>11</v>
      </c>
    </row>
    <row r="1268" spans="1:8" x14ac:dyDescent="0.45">
      <c r="A1268">
        <v>7462</v>
      </c>
      <c r="B1268">
        <v>43871</v>
      </c>
      <c r="C1268">
        <v>56</v>
      </c>
      <c r="D1268">
        <v>1375.56</v>
      </c>
      <c r="E1268" t="s">
        <v>464</v>
      </c>
      <c r="F1268" t="s">
        <v>724</v>
      </c>
      <c r="G1268" t="s">
        <v>23</v>
      </c>
      <c r="H1268" t="s">
        <v>15</v>
      </c>
    </row>
    <row r="1269" spans="1:8" x14ac:dyDescent="0.45">
      <c r="A1269">
        <v>7463</v>
      </c>
      <c r="B1269">
        <v>44203</v>
      </c>
      <c r="C1269">
        <v>15</v>
      </c>
      <c r="D1269">
        <v>169.66</v>
      </c>
      <c r="E1269" t="s">
        <v>25</v>
      </c>
      <c r="F1269" t="s">
        <v>725</v>
      </c>
      <c r="G1269" t="s">
        <v>10</v>
      </c>
      <c r="H1269" t="s">
        <v>11</v>
      </c>
    </row>
    <row r="1270" spans="1:8" x14ac:dyDescent="0.45">
      <c r="A1270">
        <v>7464</v>
      </c>
      <c r="B1270">
        <v>44198</v>
      </c>
      <c r="C1270">
        <v>36</v>
      </c>
      <c r="D1270">
        <v>586.65</v>
      </c>
      <c r="E1270" t="s">
        <v>464</v>
      </c>
      <c r="F1270" t="s">
        <v>726</v>
      </c>
      <c r="G1270" t="s">
        <v>20</v>
      </c>
      <c r="H1270" t="s">
        <v>11</v>
      </c>
    </row>
    <row r="1271" spans="1:8" x14ac:dyDescent="0.45">
      <c r="A1271">
        <v>7465</v>
      </c>
      <c r="B1271">
        <v>43914</v>
      </c>
      <c r="C1271">
        <v>71</v>
      </c>
      <c r="D1271">
        <v>1037.44</v>
      </c>
      <c r="E1271" t="s">
        <v>25</v>
      </c>
      <c r="F1271" t="s">
        <v>727</v>
      </c>
      <c r="G1271" t="s">
        <v>23</v>
      </c>
      <c r="H1271" t="s">
        <v>15</v>
      </c>
    </row>
    <row r="1272" spans="1:8" x14ac:dyDescent="0.45">
      <c r="A1272">
        <v>7466</v>
      </c>
      <c r="B1272">
        <v>43981</v>
      </c>
      <c r="C1272">
        <v>32</v>
      </c>
      <c r="D1272">
        <v>488</v>
      </c>
      <c r="E1272" t="s">
        <v>25</v>
      </c>
      <c r="F1272" t="s">
        <v>728</v>
      </c>
      <c r="G1272" t="s">
        <v>23</v>
      </c>
      <c r="H1272" t="s">
        <v>11</v>
      </c>
    </row>
    <row r="1273" spans="1:8" x14ac:dyDescent="0.45">
      <c r="A1273">
        <v>7467</v>
      </c>
      <c r="B1273">
        <v>44098</v>
      </c>
      <c r="C1273">
        <v>89</v>
      </c>
      <c r="D1273">
        <v>465.34</v>
      </c>
      <c r="E1273" t="s">
        <v>8</v>
      </c>
      <c r="F1273" t="s">
        <v>729</v>
      </c>
      <c r="G1273" t="s">
        <v>13</v>
      </c>
      <c r="H1273" t="s">
        <v>17</v>
      </c>
    </row>
    <row r="1274" spans="1:8" x14ac:dyDescent="0.45">
      <c r="A1274">
        <v>7468</v>
      </c>
      <c r="B1274">
        <v>44017</v>
      </c>
      <c r="C1274">
        <v>88</v>
      </c>
      <c r="D1274">
        <v>988.98</v>
      </c>
      <c r="E1274" t="s">
        <v>8</v>
      </c>
      <c r="F1274" t="s">
        <v>730</v>
      </c>
      <c r="G1274" t="s">
        <v>13</v>
      </c>
      <c r="H1274" t="s">
        <v>15</v>
      </c>
    </row>
    <row r="1275" spans="1:8" x14ac:dyDescent="0.45">
      <c r="A1275">
        <v>7469</v>
      </c>
      <c r="B1275">
        <v>44014</v>
      </c>
      <c r="C1275">
        <v>32</v>
      </c>
      <c r="D1275">
        <v>571.80999999999995</v>
      </c>
      <c r="E1275" t="s">
        <v>25</v>
      </c>
      <c r="F1275" t="s">
        <v>731</v>
      </c>
      <c r="G1275" t="s">
        <v>13</v>
      </c>
      <c r="H1275" t="s">
        <v>17</v>
      </c>
    </row>
    <row r="1276" spans="1:8" x14ac:dyDescent="0.45">
      <c r="A1276">
        <v>7470</v>
      </c>
      <c r="B1276">
        <v>43844</v>
      </c>
      <c r="C1276">
        <v>37</v>
      </c>
      <c r="D1276">
        <v>805.74</v>
      </c>
      <c r="E1276" t="s">
        <v>8</v>
      </c>
      <c r="F1276" t="s">
        <v>732</v>
      </c>
      <c r="G1276" t="s">
        <v>10</v>
      </c>
      <c r="H1276" t="s">
        <v>17</v>
      </c>
    </row>
    <row r="1277" spans="1:8" x14ac:dyDescent="0.45">
      <c r="A1277">
        <v>7471</v>
      </c>
      <c r="B1277">
        <v>44079</v>
      </c>
      <c r="C1277">
        <v>36</v>
      </c>
      <c r="D1277">
        <v>676.45</v>
      </c>
      <c r="E1277" t="s">
        <v>8</v>
      </c>
      <c r="F1277" t="s">
        <v>733</v>
      </c>
      <c r="G1277" t="s">
        <v>10</v>
      </c>
      <c r="H1277" t="s">
        <v>17</v>
      </c>
    </row>
    <row r="1278" spans="1:8" x14ac:dyDescent="0.45">
      <c r="A1278">
        <v>7472</v>
      </c>
      <c r="B1278">
        <v>44172</v>
      </c>
      <c r="C1278">
        <v>31</v>
      </c>
      <c r="D1278">
        <v>467.4</v>
      </c>
      <c r="E1278" t="s">
        <v>464</v>
      </c>
      <c r="F1278" t="s">
        <v>734</v>
      </c>
      <c r="G1278" t="s">
        <v>10</v>
      </c>
      <c r="H1278" t="s">
        <v>15</v>
      </c>
    </row>
    <row r="1279" spans="1:8" x14ac:dyDescent="0.45">
      <c r="A1279">
        <v>7473</v>
      </c>
      <c r="B1279">
        <v>44074</v>
      </c>
      <c r="C1279">
        <v>69</v>
      </c>
      <c r="D1279">
        <v>1130.8800000000001</v>
      </c>
      <c r="E1279" t="s">
        <v>464</v>
      </c>
      <c r="F1279" t="s">
        <v>735</v>
      </c>
      <c r="G1279" t="s">
        <v>13</v>
      </c>
      <c r="H1279" t="s">
        <v>17</v>
      </c>
    </row>
    <row r="1280" spans="1:8" x14ac:dyDescent="0.45">
      <c r="A1280">
        <v>7474</v>
      </c>
      <c r="B1280">
        <v>43959</v>
      </c>
      <c r="C1280">
        <v>23</v>
      </c>
      <c r="D1280">
        <v>391.99</v>
      </c>
      <c r="E1280" t="s">
        <v>25</v>
      </c>
      <c r="F1280" t="s">
        <v>736</v>
      </c>
      <c r="G1280" t="s">
        <v>20</v>
      </c>
      <c r="H1280" t="s">
        <v>11</v>
      </c>
    </row>
    <row r="1281" spans="1:8" x14ac:dyDescent="0.45">
      <c r="A1281">
        <v>7475</v>
      </c>
      <c r="B1281">
        <v>44182</v>
      </c>
      <c r="C1281">
        <v>80</v>
      </c>
      <c r="D1281">
        <v>1371.78</v>
      </c>
      <c r="E1281" t="s">
        <v>464</v>
      </c>
      <c r="F1281" t="s">
        <v>737</v>
      </c>
      <c r="G1281" t="s">
        <v>13</v>
      </c>
      <c r="H1281" t="s">
        <v>17</v>
      </c>
    </row>
    <row r="1282" spans="1:8" x14ac:dyDescent="0.45">
      <c r="A1282">
        <v>7476</v>
      </c>
      <c r="B1282">
        <v>44034</v>
      </c>
      <c r="C1282">
        <v>28</v>
      </c>
      <c r="D1282">
        <v>1199.77</v>
      </c>
      <c r="E1282" t="s">
        <v>25</v>
      </c>
      <c r="F1282" t="s">
        <v>738</v>
      </c>
      <c r="G1282" t="s">
        <v>10</v>
      </c>
      <c r="H1282" t="s">
        <v>15</v>
      </c>
    </row>
    <row r="1283" spans="1:8" x14ac:dyDescent="0.45">
      <c r="A1283">
        <v>7477</v>
      </c>
      <c r="B1283">
        <v>43887</v>
      </c>
      <c r="C1283">
        <v>56</v>
      </c>
      <c r="D1283">
        <v>243.13</v>
      </c>
      <c r="E1283" t="s">
        <v>25</v>
      </c>
      <c r="F1283" t="s">
        <v>739</v>
      </c>
      <c r="G1283" t="s">
        <v>20</v>
      </c>
      <c r="H1283" t="s">
        <v>15</v>
      </c>
    </row>
    <row r="1284" spans="1:8" x14ac:dyDescent="0.45">
      <c r="A1284">
        <v>7478</v>
      </c>
      <c r="B1284">
        <v>43994</v>
      </c>
      <c r="C1284">
        <v>73</v>
      </c>
      <c r="D1284">
        <v>446.43</v>
      </c>
      <c r="E1284" t="s">
        <v>8</v>
      </c>
      <c r="F1284" t="s">
        <v>740</v>
      </c>
      <c r="G1284" t="s">
        <v>10</v>
      </c>
      <c r="H1284" t="s">
        <v>11</v>
      </c>
    </row>
    <row r="1285" spans="1:8" x14ac:dyDescent="0.45">
      <c r="A1285">
        <v>7479</v>
      </c>
      <c r="B1285">
        <v>44163</v>
      </c>
      <c r="C1285">
        <v>12</v>
      </c>
      <c r="D1285">
        <v>652.20000000000005</v>
      </c>
      <c r="E1285" t="s">
        <v>25</v>
      </c>
      <c r="F1285" t="s">
        <v>741</v>
      </c>
      <c r="G1285" t="s">
        <v>13</v>
      </c>
      <c r="H1285" t="s">
        <v>11</v>
      </c>
    </row>
    <row r="1286" spans="1:8" x14ac:dyDescent="0.45">
      <c r="A1286">
        <v>7480</v>
      </c>
      <c r="B1286">
        <v>44144</v>
      </c>
      <c r="C1286">
        <v>42</v>
      </c>
      <c r="D1286">
        <v>843.74</v>
      </c>
      <c r="E1286" t="s">
        <v>8</v>
      </c>
      <c r="F1286" t="s">
        <v>742</v>
      </c>
      <c r="G1286" t="s">
        <v>13</v>
      </c>
      <c r="H1286" t="s">
        <v>11</v>
      </c>
    </row>
    <row r="1287" spans="1:8" x14ac:dyDescent="0.45">
      <c r="A1287">
        <v>7481</v>
      </c>
      <c r="B1287">
        <v>44120</v>
      </c>
      <c r="C1287">
        <v>14</v>
      </c>
      <c r="D1287">
        <v>1141.17</v>
      </c>
      <c r="E1287" t="s">
        <v>25</v>
      </c>
      <c r="F1287" t="s">
        <v>743</v>
      </c>
      <c r="G1287" t="s">
        <v>13</v>
      </c>
      <c r="H1287" t="s">
        <v>11</v>
      </c>
    </row>
    <row r="1288" spans="1:8" x14ac:dyDescent="0.45">
      <c r="A1288">
        <v>7482</v>
      </c>
      <c r="B1288">
        <v>44186</v>
      </c>
      <c r="C1288">
        <v>27</v>
      </c>
      <c r="D1288">
        <v>627.69000000000005</v>
      </c>
      <c r="E1288" t="s">
        <v>25</v>
      </c>
      <c r="F1288" t="s">
        <v>744</v>
      </c>
      <c r="G1288" t="s">
        <v>13</v>
      </c>
      <c r="H1288" t="s">
        <v>11</v>
      </c>
    </row>
    <row r="1289" spans="1:8" x14ac:dyDescent="0.45">
      <c r="A1289">
        <v>7483</v>
      </c>
      <c r="B1289">
        <v>43981</v>
      </c>
      <c r="C1289">
        <v>9</v>
      </c>
      <c r="D1289">
        <v>1141.7</v>
      </c>
      <c r="E1289" t="s">
        <v>464</v>
      </c>
      <c r="F1289" t="s">
        <v>745</v>
      </c>
      <c r="G1289" t="s">
        <v>23</v>
      </c>
      <c r="H1289" t="s">
        <v>11</v>
      </c>
    </row>
    <row r="1290" spans="1:8" x14ac:dyDescent="0.45">
      <c r="A1290">
        <v>7484</v>
      </c>
      <c r="B1290">
        <v>44194</v>
      </c>
      <c r="C1290">
        <v>33</v>
      </c>
      <c r="D1290">
        <v>965.42</v>
      </c>
      <c r="E1290" t="s">
        <v>25</v>
      </c>
      <c r="F1290" t="s">
        <v>746</v>
      </c>
      <c r="G1290" t="s">
        <v>10</v>
      </c>
      <c r="H1290" t="s">
        <v>17</v>
      </c>
    </row>
    <row r="1291" spans="1:8" x14ac:dyDescent="0.45">
      <c r="A1291">
        <v>7485</v>
      </c>
      <c r="B1291">
        <v>44045</v>
      </c>
      <c r="C1291">
        <v>93</v>
      </c>
      <c r="D1291">
        <v>154.35</v>
      </c>
      <c r="E1291" t="s">
        <v>25</v>
      </c>
      <c r="F1291" t="s">
        <v>747</v>
      </c>
      <c r="G1291" t="s">
        <v>23</v>
      </c>
      <c r="H1291" t="s">
        <v>11</v>
      </c>
    </row>
    <row r="1292" spans="1:8" x14ac:dyDescent="0.45">
      <c r="A1292">
        <v>7486</v>
      </c>
      <c r="B1292">
        <v>44176</v>
      </c>
      <c r="C1292">
        <v>6</v>
      </c>
      <c r="D1292">
        <v>497.87</v>
      </c>
      <c r="E1292" t="s">
        <v>464</v>
      </c>
      <c r="F1292" t="s">
        <v>748</v>
      </c>
      <c r="G1292" t="s">
        <v>10</v>
      </c>
      <c r="H1292" t="s">
        <v>11</v>
      </c>
    </row>
    <row r="1293" spans="1:8" x14ac:dyDescent="0.45">
      <c r="A1293">
        <v>7487</v>
      </c>
      <c r="B1293">
        <v>44064</v>
      </c>
      <c r="C1293">
        <v>82</v>
      </c>
      <c r="D1293">
        <v>1164.8499999999999</v>
      </c>
      <c r="E1293" t="s">
        <v>8</v>
      </c>
      <c r="F1293" t="s">
        <v>749</v>
      </c>
      <c r="G1293" t="s">
        <v>23</v>
      </c>
      <c r="H1293" t="s">
        <v>17</v>
      </c>
    </row>
    <row r="1294" spans="1:8" x14ac:dyDescent="0.45">
      <c r="A1294">
        <v>7488</v>
      </c>
      <c r="B1294">
        <v>43856</v>
      </c>
      <c r="C1294">
        <v>64</v>
      </c>
      <c r="D1294">
        <v>684.38</v>
      </c>
      <c r="E1294" t="s">
        <v>25</v>
      </c>
      <c r="F1294" t="s">
        <v>750</v>
      </c>
      <c r="G1294" t="s">
        <v>13</v>
      </c>
      <c r="H1294" t="s">
        <v>11</v>
      </c>
    </row>
    <row r="1295" spans="1:8" x14ac:dyDescent="0.45">
      <c r="A1295">
        <v>7489</v>
      </c>
      <c r="B1295">
        <v>43928</v>
      </c>
      <c r="C1295">
        <v>37</v>
      </c>
      <c r="D1295">
        <v>875.82</v>
      </c>
      <c r="E1295" t="s">
        <v>25</v>
      </c>
      <c r="F1295" t="s">
        <v>751</v>
      </c>
      <c r="G1295" t="s">
        <v>10</v>
      </c>
      <c r="H1295" t="s">
        <v>15</v>
      </c>
    </row>
    <row r="1296" spans="1:8" x14ac:dyDescent="0.45">
      <c r="A1296">
        <v>7490</v>
      </c>
      <c r="B1296">
        <v>43892</v>
      </c>
      <c r="C1296">
        <v>13</v>
      </c>
      <c r="D1296">
        <v>1485.68</v>
      </c>
      <c r="E1296" t="s">
        <v>25</v>
      </c>
      <c r="F1296" t="s">
        <v>752</v>
      </c>
      <c r="G1296" t="s">
        <v>13</v>
      </c>
      <c r="H1296" t="s">
        <v>17</v>
      </c>
    </row>
    <row r="1297" spans="1:8" x14ac:dyDescent="0.45">
      <c r="A1297">
        <v>7491</v>
      </c>
      <c r="B1297">
        <v>44163</v>
      </c>
      <c r="C1297">
        <v>54</v>
      </c>
      <c r="D1297">
        <v>1402.47</v>
      </c>
      <c r="E1297" t="s">
        <v>464</v>
      </c>
      <c r="F1297" t="s">
        <v>753</v>
      </c>
      <c r="G1297" t="s">
        <v>20</v>
      </c>
      <c r="H1297" t="s">
        <v>11</v>
      </c>
    </row>
    <row r="1298" spans="1:8" x14ac:dyDescent="0.45">
      <c r="A1298">
        <v>7492</v>
      </c>
      <c r="B1298">
        <v>44038</v>
      </c>
      <c r="C1298">
        <v>34</v>
      </c>
      <c r="D1298">
        <v>101.99</v>
      </c>
      <c r="E1298" t="s">
        <v>25</v>
      </c>
      <c r="F1298" t="s">
        <v>754</v>
      </c>
      <c r="G1298" t="s">
        <v>13</v>
      </c>
      <c r="H1298" t="s">
        <v>15</v>
      </c>
    </row>
    <row r="1299" spans="1:8" x14ac:dyDescent="0.45">
      <c r="A1299">
        <v>7493</v>
      </c>
      <c r="B1299">
        <v>44153</v>
      </c>
      <c r="C1299">
        <v>23</v>
      </c>
      <c r="D1299">
        <v>1270.08</v>
      </c>
      <c r="E1299" t="s">
        <v>464</v>
      </c>
      <c r="F1299" t="s">
        <v>755</v>
      </c>
      <c r="G1299" t="s">
        <v>23</v>
      </c>
      <c r="H1299" t="s">
        <v>17</v>
      </c>
    </row>
    <row r="1300" spans="1:8" x14ac:dyDescent="0.45">
      <c r="A1300">
        <v>7494</v>
      </c>
      <c r="B1300">
        <v>44182</v>
      </c>
      <c r="C1300">
        <v>79</v>
      </c>
      <c r="D1300">
        <v>1051.0899999999999</v>
      </c>
      <c r="E1300" t="s">
        <v>25</v>
      </c>
      <c r="F1300" t="s">
        <v>756</v>
      </c>
      <c r="G1300" t="s">
        <v>23</v>
      </c>
      <c r="H1300" t="s">
        <v>17</v>
      </c>
    </row>
    <row r="1301" spans="1:8" x14ac:dyDescent="0.45">
      <c r="A1301">
        <v>7495</v>
      </c>
      <c r="B1301">
        <v>43952</v>
      </c>
      <c r="C1301">
        <v>68</v>
      </c>
      <c r="D1301">
        <v>1366.76</v>
      </c>
      <c r="E1301" t="s">
        <v>8</v>
      </c>
      <c r="F1301" t="s">
        <v>757</v>
      </c>
      <c r="G1301" t="s">
        <v>10</v>
      </c>
      <c r="H1301" t="s">
        <v>15</v>
      </c>
    </row>
    <row r="1302" spans="1:8" x14ac:dyDescent="0.45">
      <c r="A1302">
        <v>7496</v>
      </c>
      <c r="B1302">
        <v>43969</v>
      </c>
      <c r="C1302">
        <v>1</v>
      </c>
      <c r="D1302">
        <v>191.06</v>
      </c>
      <c r="E1302" t="s">
        <v>464</v>
      </c>
      <c r="F1302" t="s">
        <v>758</v>
      </c>
      <c r="G1302" t="s">
        <v>10</v>
      </c>
      <c r="H1302" t="s">
        <v>15</v>
      </c>
    </row>
    <row r="1303" spans="1:8" x14ac:dyDescent="0.45">
      <c r="A1303">
        <v>7497</v>
      </c>
      <c r="B1303">
        <v>44012</v>
      </c>
      <c r="C1303">
        <v>5</v>
      </c>
      <c r="D1303">
        <v>608.89</v>
      </c>
      <c r="E1303" t="s">
        <v>464</v>
      </c>
      <c r="F1303" t="s">
        <v>759</v>
      </c>
      <c r="G1303" t="s">
        <v>10</v>
      </c>
      <c r="H1303" t="s">
        <v>11</v>
      </c>
    </row>
    <row r="1304" spans="1:8" x14ac:dyDescent="0.45">
      <c r="A1304">
        <v>7498</v>
      </c>
      <c r="B1304">
        <v>44071</v>
      </c>
      <c r="C1304">
        <v>63</v>
      </c>
      <c r="D1304">
        <v>134.46</v>
      </c>
      <c r="E1304" t="s">
        <v>8</v>
      </c>
      <c r="F1304" t="s">
        <v>760</v>
      </c>
      <c r="G1304" t="s">
        <v>13</v>
      </c>
      <c r="H1304" t="s">
        <v>15</v>
      </c>
    </row>
    <row r="1305" spans="1:8" x14ac:dyDescent="0.45">
      <c r="A1305">
        <v>7499</v>
      </c>
      <c r="B1305">
        <v>43943</v>
      </c>
      <c r="C1305">
        <v>87</v>
      </c>
      <c r="D1305">
        <v>804.57</v>
      </c>
      <c r="E1305" t="s">
        <v>464</v>
      </c>
      <c r="F1305" t="s">
        <v>761</v>
      </c>
      <c r="G1305" t="s">
        <v>10</v>
      </c>
      <c r="H1305" t="s">
        <v>11</v>
      </c>
    </row>
    <row r="1306" spans="1:8" x14ac:dyDescent="0.45">
      <c r="A1306">
        <v>7500</v>
      </c>
      <c r="B1306">
        <v>43913</v>
      </c>
      <c r="C1306">
        <v>21</v>
      </c>
      <c r="D1306">
        <v>238.21</v>
      </c>
      <c r="E1306" t="s">
        <v>8</v>
      </c>
      <c r="F1306" t="s">
        <v>762</v>
      </c>
      <c r="G1306" t="s">
        <v>13</v>
      </c>
      <c r="H1306" t="s">
        <v>17</v>
      </c>
    </row>
    <row r="1307" spans="1:8" x14ac:dyDescent="0.45">
      <c r="A1307">
        <v>7501</v>
      </c>
      <c r="B1307">
        <v>44085</v>
      </c>
      <c r="C1307">
        <v>90</v>
      </c>
      <c r="D1307">
        <v>424.01</v>
      </c>
      <c r="E1307" t="s">
        <v>8</v>
      </c>
      <c r="F1307" t="s">
        <v>763</v>
      </c>
      <c r="G1307" t="s">
        <v>10</v>
      </c>
      <c r="H1307" t="s">
        <v>15</v>
      </c>
    </row>
    <row r="1308" spans="1:8" x14ac:dyDescent="0.45">
      <c r="A1308">
        <v>7502</v>
      </c>
      <c r="B1308">
        <v>44202</v>
      </c>
      <c r="C1308">
        <v>41</v>
      </c>
      <c r="D1308">
        <v>821.38</v>
      </c>
      <c r="E1308" t="s">
        <v>25</v>
      </c>
      <c r="F1308" t="s">
        <v>764</v>
      </c>
      <c r="G1308" t="s">
        <v>23</v>
      </c>
      <c r="H1308" t="s">
        <v>17</v>
      </c>
    </row>
    <row r="1309" spans="1:8" x14ac:dyDescent="0.45">
      <c r="A1309">
        <v>7503</v>
      </c>
      <c r="B1309">
        <v>43928</v>
      </c>
      <c r="C1309">
        <v>76</v>
      </c>
      <c r="D1309">
        <v>1481.36</v>
      </c>
      <c r="E1309" t="s">
        <v>464</v>
      </c>
      <c r="F1309" t="s">
        <v>765</v>
      </c>
      <c r="G1309" t="s">
        <v>20</v>
      </c>
      <c r="H1309" t="s">
        <v>11</v>
      </c>
    </row>
    <row r="1310" spans="1:8" x14ac:dyDescent="0.45">
      <c r="A1310">
        <v>7504</v>
      </c>
      <c r="B1310">
        <v>44059</v>
      </c>
      <c r="C1310">
        <v>32</v>
      </c>
      <c r="D1310">
        <v>1297.79</v>
      </c>
      <c r="E1310" t="s">
        <v>464</v>
      </c>
      <c r="F1310" t="s">
        <v>766</v>
      </c>
      <c r="G1310" t="s">
        <v>20</v>
      </c>
      <c r="H1310" t="s">
        <v>15</v>
      </c>
    </row>
    <row r="1311" spans="1:8" x14ac:dyDescent="0.45">
      <c r="A1311">
        <v>7505</v>
      </c>
      <c r="B1311">
        <v>43981</v>
      </c>
      <c r="C1311">
        <v>44</v>
      </c>
      <c r="D1311">
        <v>748.4</v>
      </c>
      <c r="E1311" t="s">
        <v>464</v>
      </c>
      <c r="F1311" t="s">
        <v>767</v>
      </c>
      <c r="G1311" t="s">
        <v>20</v>
      </c>
      <c r="H1311" t="s">
        <v>11</v>
      </c>
    </row>
    <row r="1312" spans="1:8" x14ac:dyDescent="0.45">
      <c r="A1312">
        <v>7506</v>
      </c>
      <c r="B1312">
        <v>44071</v>
      </c>
      <c r="C1312">
        <v>36</v>
      </c>
      <c r="D1312">
        <v>491.1</v>
      </c>
      <c r="E1312" t="s">
        <v>8</v>
      </c>
      <c r="F1312" t="s">
        <v>768</v>
      </c>
      <c r="G1312" t="s">
        <v>10</v>
      </c>
      <c r="H1312" t="s">
        <v>15</v>
      </c>
    </row>
    <row r="1313" spans="1:8" x14ac:dyDescent="0.45">
      <c r="A1313">
        <v>7507</v>
      </c>
      <c r="B1313">
        <v>44174</v>
      </c>
      <c r="C1313">
        <v>16</v>
      </c>
      <c r="D1313">
        <v>573.30999999999995</v>
      </c>
      <c r="E1313" t="s">
        <v>464</v>
      </c>
      <c r="F1313" t="s">
        <v>769</v>
      </c>
      <c r="G1313" t="s">
        <v>20</v>
      </c>
      <c r="H1313" t="s">
        <v>11</v>
      </c>
    </row>
    <row r="1314" spans="1:8" x14ac:dyDescent="0.45">
      <c r="A1314">
        <v>7508</v>
      </c>
      <c r="B1314">
        <v>44130</v>
      </c>
      <c r="C1314">
        <v>18</v>
      </c>
      <c r="D1314">
        <v>1280.42</v>
      </c>
      <c r="E1314" t="s">
        <v>464</v>
      </c>
      <c r="F1314" t="s">
        <v>770</v>
      </c>
      <c r="G1314" t="s">
        <v>10</v>
      </c>
      <c r="H1314" t="s">
        <v>11</v>
      </c>
    </row>
    <row r="1315" spans="1:8" x14ac:dyDescent="0.45">
      <c r="A1315">
        <v>7509</v>
      </c>
      <c r="B1315">
        <v>43859</v>
      </c>
      <c r="C1315">
        <v>39</v>
      </c>
      <c r="D1315">
        <v>72.22</v>
      </c>
      <c r="E1315" t="s">
        <v>25</v>
      </c>
      <c r="F1315" t="s">
        <v>771</v>
      </c>
      <c r="G1315" t="s">
        <v>20</v>
      </c>
      <c r="H1315" t="s">
        <v>17</v>
      </c>
    </row>
    <row r="1316" spans="1:8" x14ac:dyDescent="0.45">
      <c r="A1316">
        <v>7510</v>
      </c>
      <c r="B1316">
        <v>43959</v>
      </c>
      <c r="C1316">
        <v>67</v>
      </c>
      <c r="D1316">
        <v>512.78</v>
      </c>
      <c r="E1316" t="s">
        <v>8</v>
      </c>
      <c r="F1316" t="s">
        <v>772</v>
      </c>
      <c r="G1316" t="s">
        <v>23</v>
      </c>
      <c r="H1316" t="s">
        <v>17</v>
      </c>
    </row>
    <row r="1317" spans="1:8" x14ac:dyDescent="0.45">
      <c r="A1317">
        <v>7511</v>
      </c>
      <c r="B1317">
        <v>43951</v>
      </c>
      <c r="C1317">
        <v>41</v>
      </c>
      <c r="D1317">
        <v>1420.63</v>
      </c>
      <c r="E1317" t="s">
        <v>8</v>
      </c>
      <c r="F1317" t="s">
        <v>773</v>
      </c>
      <c r="G1317" t="s">
        <v>20</v>
      </c>
      <c r="H1317" t="s">
        <v>15</v>
      </c>
    </row>
    <row r="1318" spans="1:8" x14ac:dyDescent="0.45">
      <c r="A1318">
        <v>7512</v>
      </c>
      <c r="B1318">
        <v>43956</v>
      </c>
      <c r="C1318">
        <v>15</v>
      </c>
      <c r="D1318">
        <v>109.48</v>
      </c>
      <c r="E1318" t="s">
        <v>25</v>
      </c>
      <c r="F1318" t="s">
        <v>774</v>
      </c>
      <c r="G1318" t="s">
        <v>20</v>
      </c>
      <c r="H1318" t="s">
        <v>11</v>
      </c>
    </row>
    <row r="1319" spans="1:8" x14ac:dyDescent="0.45">
      <c r="A1319">
        <v>7513</v>
      </c>
      <c r="B1319">
        <v>43999</v>
      </c>
      <c r="C1319">
        <v>74</v>
      </c>
      <c r="D1319">
        <v>1253.6199999999999</v>
      </c>
      <c r="E1319" t="s">
        <v>8</v>
      </c>
      <c r="F1319" t="s">
        <v>775</v>
      </c>
      <c r="G1319" t="s">
        <v>13</v>
      </c>
      <c r="H1319" t="s">
        <v>11</v>
      </c>
    </row>
    <row r="1320" spans="1:8" x14ac:dyDescent="0.45">
      <c r="A1320">
        <v>7514</v>
      </c>
      <c r="B1320">
        <v>44141</v>
      </c>
      <c r="C1320">
        <v>28</v>
      </c>
      <c r="D1320">
        <v>102.1</v>
      </c>
      <c r="E1320" t="s">
        <v>8</v>
      </c>
      <c r="F1320" t="s">
        <v>776</v>
      </c>
      <c r="G1320" t="s">
        <v>13</v>
      </c>
      <c r="H1320" t="s">
        <v>17</v>
      </c>
    </row>
    <row r="1321" spans="1:8" x14ac:dyDescent="0.45">
      <c r="A1321">
        <v>7515</v>
      </c>
      <c r="B1321">
        <v>44100</v>
      </c>
      <c r="C1321">
        <v>21</v>
      </c>
      <c r="D1321">
        <v>567.20000000000005</v>
      </c>
      <c r="E1321" t="s">
        <v>25</v>
      </c>
      <c r="F1321" t="s">
        <v>777</v>
      </c>
      <c r="G1321" t="s">
        <v>20</v>
      </c>
      <c r="H1321" t="s">
        <v>15</v>
      </c>
    </row>
    <row r="1322" spans="1:8" x14ac:dyDescent="0.45">
      <c r="A1322">
        <v>7516</v>
      </c>
      <c r="B1322">
        <v>44002</v>
      </c>
      <c r="C1322">
        <v>59</v>
      </c>
      <c r="D1322">
        <v>472.05</v>
      </c>
      <c r="E1322" t="s">
        <v>25</v>
      </c>
      <c r="F1322" t="s">
        <v>778</v>
      </c>
      <c r="G1322" t="s">
        <v>13</v>
      </c>
      <c r="H1322" t="s">
        <v>11</v>
      </c>
    </row>
    <row r="1323" spans="1:8" x14ac:dyDescent="0.45">
      <c r="A1323">
        <v>7517</v>
      </c>
      <c r="B1323">
        <v>44096</v>
      </c>
      <c r="C1323">
        <v>54</v>
      </c>
      <c r="D1323">
        <v>892.14</v>
      </c>
      <c r="E1323" t="s">
        <v>8</v>
      </c>
      <c r="F1323" t="s">
        <v>779</v>
      </c>
      <c r="G1323" t="s">
        <v>10</v>
      </c>
      <c r="H1323" t="s">
        <v>15</v>
      </c>
    </row>
    <row r="1324" spans="1:8" x14ac:dyDescent="0.45">
      <c r="A1324">
        <v>7518</v>
      </c>
      <c r="B1324">
        <v>43863</v>
      </c>
      <c r="C1324">
        <v>99</v>
      </c>
      <c r="D1324">
        <v>652.58000000000004</v>
      </c>
      <c r="E1324" t="s">
        <v>8</v>
      </c>
      <c r="F1324" t="s">
        <v>780</v>
      </c>
      <c r="G1324" t="s">
        <v>23</v>
      </c>
      <c r="H1324" t="s">
        <v>15</v>
      </c>
    </row>
    <row r="1325" spans="1:8" x14ac:dyDescent="0.45">
      <c r="A1325">
        <v>7519</v>
      </c>
      <c r="B1325">
        <v>44106</v>
      </c>
      <c r="C1325">
        <v>73</v>
      </c>
      <c r="D1325">
        <v>511.42</v>
      </c>
      <c r="E1325" t="s">
        <v>8</v>
      </c>
      <c r="F1325" t="s">
        <v>781</v>
      </c>
      <c r="G1325" t="s">
        <v>20</v>
      </c>
      <c r="H1325" t="s">
        <v>15</v>
      </c>
    </row>
    <row r="1326" spans="1:8" x14ac:dyDescent="0.45">
      <c r="A1326">
        <v>7520</v>
      </c>
      <c r="B1326">
        <v>43902</v>
      </c>
      <c r="C1326">
        <v>6</v>
      </c>
      <c r="D1326">
        <v>828.11</v>
      </c>
      <c r="E1326" t="s">
        <v>25</v>
      </c>
      <c r="F1326" t="s">
        <v>782</v>
      </c>
      <c r="G1326" t="s">
        <v>13</v>
      </c>
      <c r="H1326" t="s">
        <v>11</v>
      </c>
    </row>
    <row r="1327" spans="1:8" x14ac:dyDescent="0.45">
      <c r="A1327">
        <v>7521</v>
      </c>
      <c r="B1327">
        <v>44094</v>
      </c>
      <c r="C1327">
        <v>34</v>
      </c>
      <c r="D1327">
        <v>1432.03</v>
      </c>
      <c r="E1327" t="s">
        <v>25</v>
      </c>
      <c r="F1327" t="s">
        <v>783</v>
      </c>
      <c r="G1327" t="s">
        <v>20</v>
      </c>
      <c r="H1327" t="s">
        <v>17</v>
      </c>
    </row>
    <row r="1328" spans="1:8" x14ac:dyDescent="0.45">
      <c r="A1328">
        <v>7522</v>
      </c>
      <c r="B1328">
        <v>43936</v>
      </c>
      <c r="C1328">
        <v>81</v>
      </c>
      <c r="D1328">
        <v>968.47</v>
      </c>
      <c r="E1328" t="s">
        <v>8</v>
      </c>
      <c r="F1328" t="s">
        <v>784</v>
      </c>
      <c r="G1328" t="s">
        <v>10</v>
      </c>
      <c r="H1328" t="s">
        <v>17</v>
      </c>
    </row>
    <row r="1329" spans="1:8" x14ac:dyDescent="0.45">
      <c r="A1329">
        <v>7523</v>
      </c>
      <c r="B1329">
        <v>43892</v>
      </c>
      <c r="C1329">
        <v>24</v>
      </c>
      <c r="D1329">
        <v>325.89999999999998</v>
      </c>
      <c r="E1329" t="s">
        <v>464</v>
      </c>
      <c r="F1329" t="s">
        <v>785</v>
      </c>
      <c r="G1329" t="s">
        <v>10</v>
      </c>
      <c r="H1329" t="s">
        <v>15</v>
      </c>
    </row>
    <row r="1330" spans="1:8" x14ac:dyDescent="0.45">
      <c r="A1330">
        <v>7524</v>
      </c>
      <c r="B1330">
        <v>43847</v>
      </c>
      <c r="C1330">
        <v>54</v>
      </c>
      <c r="D1330">
        <v>891.54</v>
      </c>
      <c r="E1330" t="s">
        <v>8</v>
      </c>
      <c r="F1330" t="s">
        <v>786</v>
      </c>
      <c r="G1330" t="s">
        <v>10</v>
      </c>
      <c r="H1330" t="s">
        <v>11</v>
      </c>
    </row>
    <row r="1331" spans="1:8" x14ac:dyDescent="0.45">
      <c r="A1331">
        <v>7525</v>
      </c>
      <c r="B1331">
        <v>44022</v>
      </c>
      <c r="C1331">
        <v>38</v>
      </c>
      <c r="D1331">
        <v>1384.73</v>
      </c>
      <c r="E1331" t="s">
        <v>8</v>
      </c>
      <c r="F1331" t="s">
        <v>787</v>
      </c>
      <c r="G1331" t="s">
        <v>23</v>
      </c>
      <c r="H1331" t="s">
        <v>15</v>
      </c>
    </row>
    <row r="1332" spans="1:8" x14ac:dyDescent="0.45">
      <c r="A1332">
        <v>7526</v>
      </c>
      <c r="B1332">
        <v>43962</v>
      </c>
      <c r="C1332">
        <v>87</v>
      </c>
      <c r="D1332">
        <v>302.14999999999998</v>
      </c>
      <c r="E1332" t="s">
        <v>8</v>
      </c>
      <c r="F1332" t="s">
        <v>788</v>
      </c>
      <c r="G1332" t="s">
        <v>23</v>
      </c>
      <c r="H1332" t="s">
        <v>11</v>
      </c>
    </row>
    <row r="1333" spans="1:8" x14ac:dyDescent="0.45">
      <c r="A1333">
        <v>7527</v>
      </c>
      <c r="B1333">
        <v>43930</v>
      </c>
      <c r="C1333">
        <v>24</v>
      </c>
      <c r="D1333">
        <v>216.82</v>
      </c>
      <c r="E1333" t="s">
        <v>25</v>
      </c>
      <c r="F1333" t="s">
        <v>789</v>
      </c>
      <c r="G1333" t="s">
        <v>20</v>
      </c>
      <c r="H1333" t="s">
        <v>17</v>
      </c>
    </row>
    <row r="1334" spans="1:8" x14ac:dyDescent="0.45">
      <c r="A1334">
        <v>7528</v>
      </c>
      <c r="B1334">
        <v>44089</v>
      </c>
      <c r="C1334">
        <v>72</v>
      </c>
      <c r="D1334">
        <v>759.85</v>
      </c>
      <c r="E1334" t="s">
        <v>25</v>
      </c>
      <c r="F1334" t="s">
        <v>790</v>
      </c>
      <c r="G1334" t="s">
        <v>20</v>
      </c>
      <c r="H1334" t="s">
        <v>17</v>
      </c>
    </row>
    <row r="1335" spans="1:8" x14ac:dyDescent="0.45">
      <c r="A1335">
        <v>7529</v>
      </c>
      <c r="B1335">
        <v>43987</v>
      </c>
      <c r="C1335">
        <v>91</v>
      </c>
      <c r="D1335">
        <v>383.51</v>
      </c>
      <c r="E1335" t="s">
        <v>8</v>
      </c>
      <c r="F1335" t="s">
        <v>791</v>
      </c>
      <c r="G1335" t="s">
        <v>20</v>
      </c>
      <c r="H1335" t="s">
        <v>17</v>
      </c>
    </row>
    <row r="1336" spans="1:8" x14ac:dyDescent="0.45">
      <c r="A1336">
        <v>7530</v>
      </c>
      <c r="B1336">
        <v>44011</v>
      </c>
      <c r="C1336">
        <v>96</v>
      </c>
      <c r="D1336">
        <v>765.45</v>
      </c>
      <c r="E1336" t="s">
        <v>464</v>
      </c>
      <c r="F1336" t="s">
        <v>792</v>
      </c>
      <c r="G1336" t="s">
        <v>13</v>
      </c>
      <c r="H1336" t="s">
        <v>11</v>
      </c>
    </row>
    <row r="1337" spans="1:8" x14ac:dyDescent="0.45">
      <c r="A1337">
        <v>7531</v>
      </c>
      <c r="B1337">
        <v>44196</v>
      </c>
      <c r="C1337">
        <v>40</v>
      </c>
      <c r="D1337">
        <v>1400.38</v>
      </c>
      <c r="E1337" t="s">
        <v>8</v>
      </c>
      <c r="F1337" t="s">
        <v>793</v>
      </c>
      <c r="G1337" t="s">
        <v>10</v>
      </c>
      <c r="H1337" t="s">
        <v>17</v>
      </c>
    </row>
    <row r="1338" spans="1:8" x14ac:dyDescent="0.45">
      <c r="A1338">
        <v>7532</v>
      </c>
      <c r="B1338">
        <v>44018</v>
      </c>
      <c r="C1338">
        <v>78</v>
      </c>
      <c r="D1338">
        <v>132.82</v>
      </c>
      <c r="E1338" t="s">
        <v>8</v>
      </c>
      <c r="F1338" t="s">
        <v>794</v>
      </c>
      <c r="G1338" t="s">
        <v>23</v>
      </c>
      <c r="H1338" t="s">
        <v>11</v>
      </c>
    </row>
    <row r="1339" spans="1:8" x14ac:dyDescent="0.45">
      <c r="A1339">
        <v>7533</v>
      </c>
      <c r="B1339">
        <v>44141</v>
      </c>
      <c r="C1339">
        <v>65</v>
      </c>
      <c r="D1339">
        <v>1395.72</v>
      </c>
      <c r="E1339" t="s">
        <v>25</v>
      </c>
      <c r="F1339" t="s">
        <v>795</v>
      </c>
      <c r="G1339" t="s">
        <v>23</v>
      </c>
      <c r="H1339" t="s">
        <v>11</v>
      </c>
    </row>
    <row r="1340" spans="1:8" x14ac:dyDescent="0.45">
      <c r="A1340">
        <v>7534</v>
      </c>
      <c r="B1340">
        <v>43885</v>
      </c>
      <c r="C1340">
        <v>74</v>
      </c>
      <c r="D1340">
        <v>251.84</v>
      </c>
      <c r="E1340" t="s">
        <v>25</v>
      </c>
      <c r="F1340" t="s">
        <v>796</v>
      </c>
      <c r="G1340" t="s">
        <v>10</v>
      </c>
      <c r="H1340" t="s">
        <v>17</v>
      </c>
    </row>
    <row r="1341" spans="1:8" x14ac:dyDescent="0.45">
      <c r="A1341">
        <v>7535</v>
      </c>
      <c r="B1341">
        <v>44017</v>
      </c>
      <c r="C1341">
        <v>45</v>
      </c>
      <c r="D1341">
        <v>183.94</v>
      </c>
      <c r="E1341" t="s">
        <v>464</v>
      </c>
      <c r="F1341" t="s">
        <v>797</v>
      </c>
      <c r="G1341" t="s">
        <v>23</v>
      </c>
      <c r="H1341" t="s">
        <v>15</v>
      </c>
    </row>
    <row r="1342" spans="1:8" x14ac:dyDescent="0.45">
      <c r="A1342">
        <v>7536</v>
      </c>
      <c r="B1342">
        <v>44085</v>
      </c>
      <c r="C1342">
        <v>84</v>
      </c>
      <c r="D1342">
        <v>621.57000000000005</v>
      </c>
      <c r="E1342" t="s">
        <v>25</v>
      </c>
      <c r="F1342" t="s">
        <v>798</v>
      </c>
      <c r="G1342" t="s">
        <v>23</v>
      </c>
      <c r="H1342" t="s">
        <v>15</v>
      </c>
    </row>
    <row r="1343" spans="1:8" x14ac:dyDescent="0.45">
      <c r="A1343">
        <v>7537</v>
      </c>
      <c r="B1343">
        <v>44064</v>
      </c>
      <c r="C1343">
        <v>27</v>
      </c>
      <c r="D1343">
        <v>130.38</v>
      </c>
      <c r="E1343" t="s">
        <v>464</v>
      </c>
      <c r="F1343" t="s">
        <v>799</v>
      </c>
      <c r="G1343" t="s">
        <v>10</v>
      </c>
      <c r="H1343" t="s">
        <v>17</v>
      </c>
    </row>
    <row r="1344" spans="1:8" x14ac:dyDescent="0.45">
      <c r="A1344">
        <v>7538</v>
      </c>
      <c r="B1344">
        <v>44165</v>
      </c>
      <c r="C1344">
        <v>70</v>
      </c>
      <c r="D1344">
        <v>305.93</v>
      </c>
      <c r="E1344" t="s">
        <v>464</v>
      </c>
      <c r="F1344" t="s">
        <v>800</v>
      </c>
      <c r="G1344" t="s">
        <v>20</v>
      </c>
      <c r="H1344" t="s">
        <v>15</v>
      </c>
    </row>
    <row r="1345" spans="1:8" x14ac:dyDescent="0.45">
      <c r="A1345">
        <v>7539</v>
      </c>
      <c r="B1345">
        <v>43960</v>
      </c>
      <c r="C1345">
        <v>9</v>
      </c>
      <c r="D1345">
        <v>358.54</v>
      </c>
      <c r="E1345" t="s">
        <v>464</v>
      </c>
      <c r="F1345" t="s">
        <v>801</v>
      </c>
      <c r="G1345" t="s">
        <v>20</v>
      </c>
      <c r="H1345" t="s">
        <v>11</v>
      </c>
    </row>
    <row r="1346" spans="1:8" x14ac:dyDescent="0.45">
      <c r="A1346">
        <v>7540</v>
      </c>
      <c r="B1346">
        <v>43862</v>
      </c>
      <c r="C1346">
        <v>29</v>
      </c>
      <c r="D1346">
        <v>853.43</v>
      </c>
      <c r="E1346" t="s">
        <v>25</v>
      </c>
      <c r="F1346" t="s">
        <v>802</v>
      </c>
      <c r="G1346" t="s">
        <v>23</v>
      </c>
      <c r="H1346" t="s">
        <v>15</v>
      </c>
    </row>
    <row r="1347" spans="1:8" x14ac:dyDescent="0.45">
      <c r="A1347">
        <v>7541</v>
      </c>
      <c r="B1347">
        <v>43869</v>
      </c>
      <c r="C1347">
        <v>81</v>
      </c>
      <c r="D1347">
        <v>1297.6400000000001</v>
      </c>
      <c r="E1347" t="s">
        <v>8</v>
      </c>
      <c r="F1347" t="s">
        <v>803</v>
      </c>
      <c r="G1347" t="s">
        <v>13</v>
      </c>
      <c r="H1347" t="s">
        <v>15</v>
      </c>
    </row>
    <row r="1348" spans="1:8" x14ac:dyDescent="0.45">
      <c r="A1348">
        <v>7542</v>
      </c>
      <c r="B1348">
        <v>44168</v>
      </c>
      <c r="C1348">
        <v>78</v>
      </c>
      <c r="D1348">
        <v>651.54999999999995</v>
      </c>
      <c r="E1348" t="s">
        <v>464</v>
      </c>
      <c r="F1348" t="s">
        <v>804</v>
      </c>
      <c r="G1348" t="s">
        <v>13</v>
      </c>
      <c r="H1348" t="s">
        <v>17</v>
      </c>
    </row>
    <row r="1349" spans="1:8" x14ac:dyDescent="0.45">
      <c r="A1349">
        <v>7543</v>
      </c>
      <c r="B1349">
        <v>44179</v>
      </c>
      <c r="C1349">
        <v>90</v>
      </c>
      <c r="D1349">
        <v>626.23</v>
      </c>
      <c r="E1349" t="s">
        <v>8</v>
      </c>
      <c r="F1349" t="s">
        <v>805</v>
      </c>
      <c r="G1349" t="s">
        <v>23</v>
      </c>
      <c r="H1349" t="s">
        <v>15</v>
      </c>
    </row>
    <row r="1350" spans="1:8" x14ac:dyDescent="0.45">
      <c r="A1350">
        <v>7544</v>
      </c>
      <c r="B1350">
        <v>44194</v>
      </c>
      <c r="C1350">
        <v>52</v>
      </c>
      <c r="D1350">
        <v>412.09</v>
      </c>
      <c r="E1350" t="s">
        <v>25</v>
      </c>
      <c r="F1350" t="s">
        <v>806</v>
      </c>
      <c r="G1350" t="s">
        <v>13</v>
      </c>
      <c r="H1350" t="s">
        <v>15</v>
      </c>
    </row>
    <row r="1351" spans="1:8" x14ac:dyDescent="0.45">
      <c r="A1351">
        <v>7545</v>
      </c>
      <c r="B1351">
        <v>44131</v>
      </c>
      <c r="C1351">
        <v>43</v>
      </c>
      <c r="D1351">
        <v>892.85</v>
      </c>
      <c r="E1351" t="s">
        <v>25</v>
      </c>
      <c r="F1351" t="s">
        <v>807</v>
      </c>
      <c r="G1351" t="s">
        <v>23</v>
      </c>
      <c r="H1351" t="s">
        <v>11</v>
      </c>
    </row>
    <row r="1352" spans="1:8" x14ac:dyDescent="0.45">
      <c r="A1352">
        <v>7546</v>
      </c>
      <c r="B1352">
        <v>43913</v>
      </c>
      <c r="C1352">
        <v>70</v>
      </c>
      <c r="D1352">
        <v>1014.14</v>
      </c>
      <c r="E1352" t="s">
        <v>464</v>
      </c>
      <c r="F1352" t="s">
        <v>808</v>
      </c>
      <c r="G1352" t="s">
        <v>13</v>
      </c>
      <c r="H1352" t="s">
        <v>15</v>
      </c>
    </row>
    <row r="1353" spans="1:8" x14ac:dyDescent="0.45">
      <c r="A1353">
        <v>7547</v>
      </c>
      <c r="B1353">
        <v>43888</v>
      </c>
      <c r="C1353">
        <v>90</v>
      </c>
      <c r="D1353">
        <v>201.51</v>
      </c>
      <c r="E1353" t="s">
        <v>464</v>
      </c>
      <c r="F1353" t="s">
        <v>809</v>
      </c>
      <c r="G1353" t="s">
        <v>20</v>
      </c>
      <c r="H1353" t="s">
        <v>15</v>
      </c>
    </row>
    <row r="1354" spans="1:8" x14ac:dyDescent="0.45">
      <c r="A1354">
        <v>7548</v>
      </c>
      <c r="B1354">
        <v>44050</v>
      </c>
      <c r="C1354">
        <v>98</v>
      </c>
      <c r="D1354">
        <v>123.82</v>
      </c>
      <c r="E1354" t="s">
        <v>464</v>
      </c>
      <c r="F1354" t="s">
        <v>810</v>
      </c>
      <c r="G1354" t="s">
        <v>13</v>
      </c>
      <c r="H1354" t="s">
        <v>11</v>
      </c>
    </row>
    <row r="1355" spans="1:8" x14ac:dyDescent="0.45">
      <c r="A1355">
        <v>7549</v>
      </c>
      <c r="B1355">
        <v>43960</v>
      </c>
      <c r="C1355">
        <v>19</v>
      </c>
      <c r="D1355">
        <v>919.13</v>
      </c>
      <c r="E1355" t="s">
        <v>25</v>
      </c>
      <c r="F1355" t="s">
        <v>811</v>
      </c>
      <c r="G1355" t="s">
        <v>13</v>
      </c>
      <c r="H1355" t="s">
        <v>11</v>
      </c>
    </row>
    <row r="1356" spans="1:8" x14ac:dyDescent="0.45">
      <c r="A1356">
        <v>7550</v>
      </c>
      <c r="B1356">
        <v>43934</v>
      </c>
      <c r="C1356">
        <v>73</v>
      </c>
      <c r="D1356">
        <v>1487.94</v>
      </c>
      <c r="E1356" t="s">
        <v>25</v>
      </c>
      <c r="F1356" t="s">
        <v>812</v>
      </c>
      <c r="G1356" t="s">
        <v>20</v>
      </c>
      <c r="H1356" t="s">
        <v>15</v>
      </c>
    </row>
    <row r="1357" spans="1:8" x14ac:dyDescent="0.45">
      <c r="A1357">
        <v>7551</v>
      </c>
      <c r="B1357">
        <v>44203</v>
      </c>
      <c r="C1357">
        <v>76</v>
      </c>
      <c r="D1357">
        <v>484.88</v>
      </c>
      <c r="E1357" t="s">
        <v>8</v>
      </c>
      <c r="F1357" t="s">
        <v>813</v>
      </c>
      <c r="G1357" t="s">
        <v>10</v>
      </c>
      <c r="H1357" t="s">
        <v>11</v>
      </c>
    </row>
    <row r="1358" spans="1:8" x14ac:dyDescent="0.45">
      <c r="A1358">
        <v>7552</v>
      </c>
      <c r="B1358">
        <v>43856</v>
      </c>
      <c r="C1358">
        <v>11</v>
      </c>
      <c r="D1358">
        <v>1204.01</v>
      </c>
      <c r="E1358" t="s">
        <v>25</v>
      </c>
      <c r="F1358" t="s">
        <v>814</v>
      </c>
      <c r="G1358" t="s">
        <v>23</v>
      </c>
      <c r="H1358" t="s">
        <v>11</v>
      </c>
    </row>
    <row r="1359" spans="1:8" x14ac:dyDescent="0.45">
      <c r="A1359">
        <v>7553</v>
      </c>
      <c r="B1359">
        <v>43924</v>
      </c>
      <c r="C1359">
        <v>47</v>
      </c>
      <c r="D1359">
        <v>733.15</v>
      </c>
      <c r="E1359" t="s">
        <v>464</v>
      </c>
      <c r="F1359" t="s">
        <v>815</v>
      </c>
      <c r="G1359" t="s">
        <v>10</v>
      </c>
      <c r="H1359" t="s">
        <v>17</v>
      </c>
    </row>
    <row r="1360" spans="1:8" x14ac:dyDescent="0.45">
      <c r="A1360">
        <v>7554</v>
      </c>
      <c r="B1360">
        <v>43960</v>
      </c>
      <c r="C1360">
        <v>46</v>
      </c>
      <c r="D1360">
        <v>136.43</v>
      </c>
      <c r="E1360" t="s">
        <v>464</v>
      </c>
      <c r="F1360" t="s">
        <v>816</v>
      </c>
      <c r="G1360" t="s">
        <v>20</v>
      </c>
      <c r="H1360" t="s">
        <v>17</v>
      </c>
    </row>
    <row r="1361" spans="1:8" x14ac:dyDescent="0.45">
      <c r="A1361">
        <v>7555</v>
      </c>
      <c r="B1361">
        <v>44112</v>
      </c>
      <c r="C1361">
        <v>78</v>
      </c>
      <c r="D1361">
        <v>1133.8699999999999</v>
      </c>
      <c r="E1361" t="s">
        <v>25</v>
      </c>
      <c r="F1361" t="s">
        <v>817</v>
      </c>
      <c r="G1361" t="s">
        <v>10</v>
      </c>
      <c r="H1361" t="s">
        <v>11</v>
      </c>
    </row>
    <row r="1362" spans="1:8" x14ac:dyDescent="0.45">
      <c r="A1362">
        <v>7556</v>
      </c>
      <c r="B1362">
        <v>44146</v>
      </c>
      <c r="C1362">
        <v>34</v>
      </c>
      <c r="D1362">
        <v>367.01</v>
      </c>
      <c r="E1362" t="s">
        <v>25</v>
      </c>
      <c r="F1362" t="s">
        <v>818</v>
      </c>
      <c r="G1362" t="s">
        <v>20</v>
      </c>
      <c r="H1362" t="s">
        <v>11</v>
      </c>
    </row>
    <row r="1363" spans="1:8" x14ac:dyDescent="0.45">
      <c r="A1363">
        <v>7557</v>
      </c>
      <c r="B1363">
        <v>44168</v>
      </c>
      <c r="C1363">
        <v>8</v>
      </c>
      <c r="D1363">
        <v>637.4</v>
      </c>
      <c r="E1363" t="s">
        <v>464</v>
      </c>
      <c r="F1363" t="s">
        <v>819</v>
      </c>
      <c r="G1363" t="s">
        <v>13</v>
      </c>
      <c r="H1363" t="s">
        <v>17</v>
      </c>
    </row>
    <row r="1364" spans="1:8" x14ac:dyDescent="0.45">
      <c r="A1364">
        <v>7558</v>
      </c>
      <c r="B1364">
        <v>44194</v>
      </c>
      <c r="C1364">
        <v>66</v>
      </c>
      <c r="D1364">
        <v>1040.71</v>
      </c>
      <c r="E1364" t="s">
        <v>8</v>
      </c>
      <c r="F1364" t="s">
        <v>820</v>
      </c>
      <c r="G1364" t="s">
        <v>10</v>
      </c>
      <c r="H1364" t="s">
        <v>11</v>
      </c>
    </row>
    <row r="1365" spans="1:8" x14ac:dyDescent="0.45">
      <c r="A1365">
        <v>7559</v>
      </c>
      <c r="B1365">
        <v>43910</v>
      </c>
      <c r="C1365">
        <v>58</v>
      </c>
      <c r="D1365">
        <v>1082.51</v>
      </c>
      <c r="E1365" t="s">
        <v>8</v>
      </c>
      <c r="F1365" t="s">
        <v>821</v>
      </c>
      <c r="G1365" t="s">
        <v>10</v>
      </c>
      <c r="H1365" t="s">
        <v>11</v>
      </c>
    </row>
    <row r="1366" spans="1:8" x14ac:dyDescent="0.45">
      <c r="A1366">
        <v>7560</v>
      </c>
      <c r="B1366">
        <v>44134</v>
      </c>
      <c r="C1366">
        <v>24</v>
      </c>
      <c r="D1366">
        <v>1293.76</v>
      </c>
      <c r="E1366" t="s">
        <v>8</v>
      </c>
      <c r="F1366" t="s">
        <v>822</v>
      </c>
      <c r="G1366" t="s">
        <v>13</v>
      </c>
      <c r="H1366" t="s">
        <v>17</v>
      </c>
    </row>
    <row r="1367" spans="1:8" x14ac:dyDescent="0.45">
      <c r="A1367">
        <v>7561</v>
      </c>
      <c r="B1367">
        <v>43911</v>
      </c>
      <c r="C1367">
        <v>25</v>
      </c>
      <c r="D1367">
        <v>968.81</v>
      </c>
      <c r="E1367" t="s">
        <v>464</v>
      </c>
      <c r="F1367" t="s">
        <v>823</v>
      </c>
      <c r="G1367" t="s">
        <v>23</v>
      </c>
      <c r="H1367" t="s">
        <v>15</v>
      </c>
    </row>
    <row r="1368" spans="1:8" x14ac:dyDescent="0.45">
      <c r="A1368">
        <v>7562</v>
      </c>
      <c r="B1368">
        <v>44177</v>
      </c>
      <c r="C1368">
        <v>65</v>
      </c>
      <c r="D1368">
        <v>441.42</v>
      </c>
      <c r="E1368" t="s">
        <v>8</v>
      </c>
      <c r="F1368" t="s">
        <v>824</v>
      </c>
      <c r="G1368" t="s">
        <v>20</v>
      </c>
      <c r="H1368" t="s">
        <v>11</v>
      </c>
    </row>
    <row r="1369" spans="1:8" x14ac:dyDescent="0.45">
      <c r="A1369">
        <v>7563</v>
      </c>
      <c r="B1369">
        <v>44129</v>
      </c>
      <c r="C1369">
        <v>40</v>
      </c>
      <c r="D1369">
        <v>1403.52</v>
      </c>
      <c r="E1369" t="s">
        <v>8</v>
      </c>
      <c r="F1369" t="s">
        <v>825</v>
      </c>
      <c r="G1369" t="s">
        <v>23</v>
      </c>
      <c r="H1369" t="s">
        <v>17</v>
      </c>
    </row>
    <row r="1370" spans="1:8" x14ac:dyDescent="0.45">
      <c r="A1370">
        <v>7564</v>
      </c>
      <c r="B1370">
        <v>43958</v>
      </c>
      <c r="C1370">
        <v>55</v>
      </c>
      <c r="D1370">
        <v>1396.07</v>
      </c>
      <c r="E1370" t="s">
        <v>25</v>
      </c>
      <c r="F1370" t="s">
        <v>826</v>
      </c>
      <c r="G1370" t="s">
        <v>10</v>
      </c>
      <c r="H1370" t="s">
        <v>11</v>
      </c>
    </row>
    <row r="1371" spans="1:8" x14ac:dyDescent="0.45">
      <c r="A1371">
        <v>7565</v>
      </c>
      <c r="B1371">
        <v>44200</v>
      </c>
      <c r="C1371">
        <v>1</v>
      </c>
      <c r="D1371">
        <v>830.58</v>
      </c>
      <c r="E1371" t="s">
        <v>8</v>
      </c>
      <c r="F1371" t="s">
        <v>827</v>
      </c>
      <c r="G1371" t="s">
        <v>20</v>
      </c>
      <c r="H1371" t="s">
        <v>15</v>
      </c>
    </row>
    <row r="1372" spans="1:8" x14ac:dyDescent="0.45">
      <c r="A1372">
        <v>7566</v>
      </c>
      <c r="B1372">
        <v>43998</v>
      </c>
      <c r="C1372">
        <v>10</v>
      </c>
      <c r="D1372">
        <v>998.01</v>
      </c>
      <c r="E1372" t="s">
        <v>8</v>
      </c>
      <c r="F1372" t="s">
        <v>828</v>
      </c>
      <c r="G1372" t="s">
        <v>13</v>
      </c>
      <c r="H1372" t="s">
        <v>11</v>
      </c>
    </row>
    <row r="1373" spans="1:8" x14ac:dyDescent="0.45">
      <c r="A1373">
        <v>7567</v>
      </c>
      <c r="B1373">
        <v>44159</v>
      </c>
      <c r="C1373">
        <v>23</v>
      </c>
      <c r="D1373">
        <v>158.01</v>
      </c>
      <c r="E1373" t="s">
        <v>25</v>
      </c>
      <c r="F1373" t="s">
        <v>829</v>
      </c>
      <c r="G1373" t="s">
        <v>23</v>
      </c>
      <c r="H1373" t="s">
        <v>15</v>
      </c>
    </row>
    <row r="1374" spans="1:8" x14ac:dyDescent="0.45">
      <c r="A1374">
        <v>7568</v>
      </c>
      <c r="B1374">
        <v>43850</v>
      </c>
      <c r="C1374">
        <v>79</v>
      </c>
      <c r="D1374">
        <v>597.94000000000005</v>
      </c>
      <c r="E1374" t="s">
        <v>464</v>
      </c>
      <c r="F1374" t="s">
        <v>830</v>
      </c>
      <c r="G1374" t="s">
        <v>13</v>
      </c>
      <c r="H1374" t="s">
        <v>15</v>
      </c>
    </row>
    <row r="1375" spans="1:8" x14ac:dyDescent="0.45">
      <c r="A1375">
        <v>7569</v>
      </c>
      <c r="B1375">
        <v>44182</v>
      </c>
      <c r="C1375">
        <v>60</v>
      </c>
      <c r="D1375">
        <v>1209.5899999999999</v>
      </c>
      <c r="E1375" t="s">
        <v>8</v>
      </c>
      <c r="F1375" t="s">
        <v>831</v>
      </c>
      <c r="G1375" t="s">
        <v>13</v>
      </c>
      <c r="H1375" t="s">
        <v>17</v>
      </c>
    </row>
    <row r="1376" spans="1:8" x14ac:dyDescent="0.45">
      <c r="A1376">
        <v>7570</v>
      </c>
      <c r="B1376">
        <v>43952</v>
      </c>
      <c r="C1376">
        <v>84</v>
      </c>
      <c r="D1376">
        <v>413.33</v>
      </c>
      <c r="E1376" t="s">
        <v>8</v>
      </c>
      <c r="F1376" t="s">
        <v>832</v>
      </c>
      <c r="G1376" t="s">
        <v>10</v>
      </c>
      <c r="H1376" t="s">
        <v>17</v>
      </c>
    </row>
    <row r="1377" spans="1:8" x14ac:dyDescent="0.45">
      <c r="A1377">
        <v>7571</v>
      </c>
      <c r="B1377">
        <v>44127</v>
      </c>
      <c r="C1377">
        <v>44</v>
      </c>
      <c r="D1377">
        <v>62.74</v>
      </c>
      <c r="E1377" t="s">
        <v>8</v>
      </c>
      <c r="F1377" t="s">
        <v>833</v>
      </c>
      <c r="G1377" t="s">
        <v>10</v>
      </c>
      <c r="H1377" t="s">
        <v>15</v>
      </c>
    </row>
    <row r="1378" spans="1:8" x14ac:dyDescent="0.45">
      <c r="A1378">
        <v>7572</v>
      </c>
      <c r="B1378">
        <v>44196</v>
      </c>
      <c r="C1378">
        <v>16</v>
      </c>
      <c r="D1378">
        <v>260.91000000000003</v>
      </c>
      <c r="E1378" t="s">
        <v>8</v>
      </c>
      <c r="F1378" t="s">
        <v>834</v>
      </c>
      <c r="G1378" t="s">
        <v>13</v>
      </c>
      <c r="H1378" t="s">
        <v>11</v>
      </c>
    </row>
    <row r="1379" spans="1:8" x14ac:dyDescent="0.45">
      <c r="A1379">
        <v>7573</v>
      </c>
      <c r="B1379">
        <v>43838</v>
      </c>
      <c r="C1379">
        <v>82</v>
      </c>
      <c r="D1379">
        <v>367.36</v>
      </c>
      <c r="E1379" t="s">
        <v>464</v>
      </c>
      <c r="F1379" t="s">
        <v>835</v>
      </c>
      <c r="G1379" t="s">
        <v>13</v>
      </c>
      <c r="H1379" t="s">
        <v>17</v>
      </c>
    </row>
    <row r="1380" spans="1:8" x14ac:dyDescent="0.45">
      <c r="A1380">
        <v>7574</v>
      </c>
      <c r="B1380">
        <v>44135</v>
      </c>
      <c r="C1380">
        <v>45</v>
      </c>
      <c r="D1380">
        <v>1187.8699999999999</v>
      </c>
      <c r="E1380" t="s">
        <v>25</v>
      </c>
      <c r="F1380" t="s">
        <v>836</v>
      </c>
      <c r="G1380" t="s">
        <v>10</v>
      </c>
      <c r="H1380" t="s">
        <v>17</v>
      </c>
    </row>
    <row r="1381" spans="1:8" x14ac:dyDescent="0.45">
      <c r="A1381">
        <v>7575</v>
      </c>
      <c r="B1381">
        <v>43856</v>
      </c>
      <c r="C1381">
        <v>13</v>
      </c>
      <c r="D1381">
        <v>392.21</v>
      </c>
      <c r="E1381" t="s">
        <v>8</v>
      </c>
      <c r="F1381" t="s">
        <v>837</v>
      </c>
      <c r="G1381" t="s">
        <v>20</v>
      </c>
      <c r="H1381" t="s">
        <v>15</v>
      </c>
    </row>
    <row r="1382" spans="1:8" x14ac:dyDescent="0.45">
      <c r="A1382">
        <v>7576</v>
      </c>
      <c r="B1382">
        <v>43912</v>
      </c>
      <c r="C1382">
        <v>16</v>
      </c>
      <c r="D1382">
        <v>501.74</v>
      </c>
      <c r="E1382" t="s">
        <v>464</v>
      </c>
      <c r="F1382" t="s">
        <v>838</v>
      </c>
      <c r="G1382" t="s">
        <v>20</v>
      </c>
      <c r="H1382" t="s">
        <v>15</v>
      </c>
    </row>
    <row r="1383" spans="1:8" x14ac:dyDescent="0.45">
      <c r="A1383">
        <v>7577</v>
      </c>
      <c r="B1383">
        <v>44107</v>
      </c>
      <c r="C1383">
        <v>3</v>
      </c>
      <c r="D1383">
        <v>683.78</v>
      </c>
      <c r="E1383" t="s">
        <v>464</v>
      </c>
      <c r="F1383" t="s">
        <v>839</v>
      </c>
      <c r="G1383" t="s">
        <v>23</v>
      </c>
      <c r="H1383" t="s">
        <v>17</v>
      </c>
    </row>
    <row r="1384" spans="1:8" x14ac:dyDescent="0.45">
      <c r="A1384">
        <v>7578</v>
      </c>
      <c r="B1384">
        <v>43978</v>
      </c>
      <c r="C1384">
        <v>67</v>
      </c>
      <c r="D1384">
        <v>1146.27</v>
      </c>
      <c r="E1384" t="s">
        <v>464</v>
      </c>
      <c r="F1384" t="s">
        <v>840</v>
      </c>
      <c r="G1384" t="s">
        <v>20</v>
      </c>
      <c r="H1384" t="s">
        <v>11</v>
      </c>
    </row>
    <row r="1385" spans="1:8" x14ac:dyDescent="0.45">
      <c r="A1385">
        <v>7579</v>
      </c>
      <c r="B1385">
        <v>44034</v>
      </c>
      <c r="C1385">
        <v>23</v>
      </c>
      <c r="D1385">
        <v>867.37</v>
      </c>
      <c r="E1385" t="s">
        <v>25</v>
      </c>
      <c r="F1385" t="s">
        <v>841</v>
      </c>
      <c r="G1385" t="s">
        <v>20</v>
      </c>
      <c r="H1385" t="s">
        <v>17</v>
      </c>
    </row>
    <row r="1386" spans="1:8" x14ac:dyDescent="0.45">
      <c r="A1386">
        <v>7580</v>
      </c>
      <c r="B1386">
        <v>43891</v>
      </c>
      <c r="C1386">
        <v>23</v>
      </c>
      <c r="D1386">
        <v>675.74</v>
      </c>
      <c r="E1386" t="s">
        <v>25</v>
      </c>
      <c r="F1386" t="s">
        <v>842</v>
      </c>
      <c r="G1386" t="s">
        <v>20</v>
      </c>
      <c r="H1386" t="s">
        <v>11</v>
      </c>
    </row>
    <row r="1387" spans="1:8" x14ac:dyDescent="0.45">
      <c r="A1387">
        <v>7581</v>
      </c>
      <c r="B1387">
        <v>44062</v>
      </c>
      <c r="C1387">
        <v>58</v>
      </c>
      <c r="D1387">
        <v>695.05</v>
      </c>
      <c r="E1387" t="s">
        <v>464</v>
      </c>
      <c r="F1387" t="s">
        <v>843</v>
      </c>
      <c r="G1387" t="s">
        <v>23</v>
      </c>
      <c r="H1387" t="s">
        <v>11</v>
      </c>
    </row>
    <row r="1388" spans="1:8" x14ac:dyDescent="0.45">
      <c r="A1388">
        <v>7582</v>
      </c>
      <c r="B1388">
        <v>43887</v>
      </c>
      <c r="C1388">
        <v>31</v>
      </c>
      <c r="D1388">
        <v>148.52000000000001</v>
      </c>
      <c r="E1388" t="s">
        <v>464</v>
      </c>
      <c r="F1388" t="s">
        <v>844</v>
      </c>
      <c r="G1388" t="s">
        <v>10</v>
      </c>
      <c r="H1388" t="s">
        <v>11</v>
      </c>
    </row>
    <row r="1389" spans="1:8" x14ac:dyDescent="0.45">
      <c r="A1389">
        <v>7583</v>
      </c>
      <c r="B1389">
        <v>43897</v>
      </c>
      <c r="C1389">
        <v>57</v>
      </c>
      <c r="D1389">
        <v>1462.97</v>
      </c>
      <c r="E1389" t="s">
        <v>464</v>
      </c>
      <c r="F1389" t="s">
        <v>845</v>
      </c>
      <c r="G1389" t="s">
        <v>23</v>
      </c>
      <c r="H1389" t="s">
        <v>11</v>
      </c>
    </row>
    <row r="1390" spans="1:8" x14ac:dyDescent="0.45">
      <c r="A1390">
        <v>7584</v>
      </c>
      <c r="B1390">
        <v>43981</v>
      </c>
      <c r="C1390">
        <v>99</v>
      </c>
      <c r="D1390">
        <v>600.92999999999995</v>
      </c>
      <c r="E1390" t="s">
        <v>25</v>
      </c>
      <c r="F1390" t="s">
        <v>846</v>
      </c>
      <c r="G1390" t="s">
        <v>20</v>
      </c>
      <c r="H1390" t="s">
        <v>11</v>
      </c>
    </row>
    <row r="1391" spans="1:8" x14ac:dyDescent="0.45">
      <c r="A1391">
        <v>7585</v>
      </c>
      <c r="B1391">
        <v>43840</v>
      </c>
      <c r="C1391">
        <v>97</v>
      </c>
      <c r="D1391">
        <v>701.3</v>
      </c>
      <c r="E1391" t="s">
        <v>25</v>
      </c>
      <c r="F1391" t="s">
        <v>847</v>
      </c>
      <c r="G1391" t="s">
        <v>13</v>
      </c>
      <c r="H1391" t="s">
        <v>17</v>
      </c>
    </row>
    <row r="1392" spans="1:8" x14ac:dyDescent="0.45">
      <c r="A1392">
        <v>7586</v>
      </c>
      <c r="B1392">
        <v>44033</v>
      </c>
      <c r="C1392">
        <v>3</v>
      </c>
      <c r="D1392">
        <v>583.66999999999996</v>
      </c>
      <c r="E1392" t="s">
        <v>25</v>
      </c>
      <c r="F1392" t="s">
        <v>848</v>
      </c>
      <c r="G1392" t="s">
        <v>10</v>
      </c>
      <c r="H1392" t="s">
        <v>15</v>
      </c>
    </row>
    <row r="1393" spans="1:8" x14ac:dyDescent="0.45">
      <c r="A1393">
        <v>7587</v>
      </c>
      <c r="B1393">
        <v>43920</v>
      </c>
      <c r="C1393">
        <v>83</v>
      </c>
      <c r="D1393">
        <v>1242.99</v>
      </c>
      <c r="E1393" t="s">
        <v>8</v>
      </c>
      <c r="F1393" t="s">
        <v>849</v>
      </c>
      <c r="G1393" t="s">
        <v>13</v>
      </c>
      <c r="H1393" t="s">
        <v>15</v>
      </c>
    </row>
    <row r="1394" spans="1:8" x14ac:dyDescent="0.45">
      <c r="A1394">
        <v>7588</v>
      </c>
      <c r="B1394">
        <v>43903</v>
      </c>
      <c r="C1394">
        <v>9</v>
      </c>
      <c r="D1394">
        <v>272.55</v>
      </c>
      <c r="E1394" t="s">
        <v>8</v>
      </c>
      <c r="F1394" t="s">
        <v>850</v>
      </c>
      <c r="G1394" t="s">
        <v>20</v>
      </c>
      <c r="H1394" t="s">
        <v>17</v>
      </c>
    </row>
    <row r="1395" spans="1:8" x14ac:dyDescent="0.45">
      <c r="A1395">
        <v>7589</v>
      </c>
      <c r="B1395">
        <v>44186</v>
      </c>
      <c r="C1395">
        <v>91</v>
      </c>
      <c r="D1395">
        <v>105.06</v>
      </c>
      <c r="E1395" t="s">
        <v>25</v>
      </c>
      <c r="F1395" t="s">
        <v>851</v>
      </c>
      <c r="G1395" t="s">
        <v>10</v>
      </c>
      <c r="H1395" t="s">
        <v>17</v>
      </c>
    </row>
    <row r="1396" spans="1:8" x14ac:dyDescent="0.45">
      <c r="A1396">
        <v>7590</v>
      </c>
      <c r="B1396">
        <v>43970</v>
      </c>
      <c r="C1396">
        <v>58</v>
      </c>
      <c r="D1396">
        <v>606.6</v>
      </c>
      <c r="E1396" t="s">
        <v>464</v>
      </c>
      <c r="F1396" t="s">
        <v>852</v>
      </c>
      <c r="G1396" t="s">
        <v>13</v>
      </c>
      <c r="H1396" t="s">
        <v>11</v>
      </c>
    </row>
    <row r="1397" spans="1:8" x14ac:dyDescent="0.45">
      <c r="A1397">
        <v>7591</v>
      </c>
      <c r="B1397">
        <v>43947</v>
      </c>
      <c r="C1397">
        <v>17</v>
      </c>
      <c r="D1397">
        <v>1151.7</v>
      </c>
      <c r="E1397" t="s">
        <v>8</v>
      </c>
      <c r="F1397" t="s">
        <v>853</v>
      </c>
      <c r="G1397" t="s">
        <v>13</v>
      </c>
      <c r="H1397" t="s">
        <v>15</v>
      </c>
    </row>
    <row r="1398" spans="1:8" x14ac:dyDescent="0.45">
      <c r="A1398">
        <v>7592</v>
      </c>
      <c r="B1398">
        <v>43888</v>
      </c>
      <c r="C1398">
        <v>67</v>
      </c>
      <c r="D1398">
        <v>870.2</v>
      </c>
      <c r="E1398" t="s">
        <v>8</v>
      </c>
      <c r="F1398" t="s">
        <v>854</v>
      </c>
      <c r="G1398" t="s">
        <v>23</v>
      </c>
      <c r="H1398" t="s">
        <v>11</v>
      </c>
    </row>
    <row r="1399" spans="1:8" x14ac:dyDescent="0.45">
      <c r="A1399">
        <v>7593</v>
      </c>
      <c r="B1399">
        <v>44026</v>
      </c>
      <c r="C1399">
        <v>45</v>
      </c>
      <c r="D1399">
        <v>347.63</v>
      </c>
      <c r="E1399" t="s">
        <v>8</v>
      </c>
      <c r="F1399" t="s">
        <v>855</v>
      </c>
      <c r="G1399" t="s">
        <v>10</v>
      </c>
      <c r="H1399" t="s">
        <v>17</v>
      </c>
    </row>
    <row r="1400" spans="1:8" x14ac:dyDescent="0.45">
      <c r="A1400">
        <v>7594</v>
      </c>
      <c r="B1400">
        <v>43924</v>
      </c>
      <c r="C1400">
        <v>20</v>
      </c>
      <c r="D1400">
        <v>276.61</v>
      </c>
      <c r="E1400" t="s">
        <v>8</v>
      </c>
      <c r="F1400" t="s">
        <v>856</v>
      </c>
      <c r="G1400" t="s">
        <v>10</v>
      </c>
      <c r="H1400" t="s">
        <v>17</v>
      </c>
    </row>
    <row r="1401" spans="1:8" x14ac:dyDescent="0.45">
      <c r="A1401">
        <v>7595</v>
      </c>
      <c r="B1401">
        <v>44069</v>
      </c>
      <c r="C1401">
        <v>12</v>
      </c>
      <c r="D1401">
        <v>894.79</v>
      </c>
      <c r="E1401" t="s">
        <v>464</v>
      </c>
      <c r="F1401" t="s">
        <v>857</v>
      </c>
      <c r="G1401" t="s">
        <v>13</v>
      </c>
      <c r="H1401" t="s">
        <v>17</v>
      </c>
    </row>
    <row r="1402" spans="1:8" x14ac:dyDescent="0.45">
      <c r="A1402">
        <v>7596</v>
      </c>
      <c r="B1402">
        <v>44177</v>
      </c>
      <c r="C1402">
        <v>90</v>
      </c>
      <c r="D1402">
        <v>189.22</v>
      </c>
      <c r="E1402" t="s">
        <v>464</v>
      </c>
      <c r="F1402" t="s">
        <v>858</v>
      </c>
      <c r="G1402" t="s">
        <v>23</v>
      </c>
      <c r="H1402" t="s">
        <v>17</v>
      </c>
    </row>
    <row r="1403" spans="1:8" x14ac:dyDescent="0.45">
      <c r="A1403">
        <v>7597</v>
      </c>
      <c r="B1403">
        <v>43923</v>
      </c>
      <c r="C1403">
        <v>91</v>
      </c>
      <c r="D1403">
        <v>285.85000000000002</v>
      </c>
      <c r="E1403" t="s">
        <v>25</v>
      </c>
      <c r="F1403" t="s">
        <v>859</v>
      </c>
      <c r="G1403" t="s">
        <v>20</v>
      </c>
      <c r="H1403" t="s">
        <v>11</v>
      </c>
    </row>
    <row r="1404" spans="1:8" x14ac:dyDescent="0.45">
      <c r="A1404">
        <v>7598</v>
      </c>
      <c r="B1404">
        <v>44186</v>
      </c>
      <c r="C1404">
        <v>99</v>
      </c>
      <c r="D1404">
        <v>890.45</v>
      </c>
      <c r="E1404" t="s">
        <v>8</v>
      </c>
      <c r="F1404" t="s">
        <v>860</v>
      </c>
      <c r="G1404" t="s">
        <v>23</v>
      </c>
      <c r="H1404" t="s">
        <v>11</v>
      </c>
    </row>
    <row r="1405" spans="1:8" x14ac:dyDescent="0.45">
      <c r="A1405">
        <v>7599</v>
      </c>
      <c r="B1405">
        <v>44047</v>
      </c>
      <c r="C1405">
        <v>46</v>
      </c>
      <c r="D1405">
        <v>455.23</v>
      </c>
      <c r="E1405" t="s">
        <v>25</v>
      </c>
      <c r="F1405" t="s">
        <v>861</v>
      </c>
      <c r="G1405" t="s">
        <v>20</v>
      </c>
      <c r="H1405" t="s">
        <v>11</v>
      </c>
    </row>
    <row r="1406" spans="1:8" x14ac:dyDescent="0.45">
      <c r="A1406">
        <v>7600</v>
      </c>
      <c r="B1406">
        <v>44049</v>
      </c>
      <c r="C1406">
        <v>10</v>
      </c>
      <c r="D1406">
        <v>199.62</v>
      </c>
      <c r="E1406" t="s">
        <v>25</v>
      </c>
      <c r="F1406" t="s">
        <v>862</v>
      </c>
      <c r="G1406" t="s">
        <v>13</v>
      </c>
      <c r="H1406" t="s">
        <v>11</v>
      </c>
    </row>
    <row r="1407" spans="1:8" x14ac:dyDescent="0.45">
      <c r="A1407">
        <v>7601</v>
      </c>
      <c r="B1407">
        <v>43855</v>
      </c>
      <c r="C1407">
        <v>37</v>
      </c>
      <c r="D1407">
        <v>903.68</v>
      </c>
      <c r="E1407" t="s">
        <v>25</v>
      </c>
      <c r="F1407" t="s">
        <v>863</v>
      </c>
      <c r="G1407" t="s">
        <v>20</v>
      </c>
      <c r="H1407" t="s">
        <v>17</v>
      </c>
    </row>
    <row r="1408" spans="1:8" x14ac:dyDescent="0.45">
      <c r="A1408">
        <v>7602</v>
      </c>
      <c r="B1408">
        <v>44055</v>
      </c>
      <c r="C1408">
        <v>31</v>
      </c>
      <c r="D1408">
        <v>818.46</v>
      </c>
      <c r="E1408" t="s">
        <v>8</v>
      </c>
      <c r="F1408" t="s">
        <v>864</v>
      </c>
      <c r="G1408" t="s">
        <v>10</v>
      </c>
      <c r="H1408" t="s">
        <v>15</v>
      </c>
    </row>
    <row r="1409" spans="1:8" x14ac:dyDescent="0.45">
      <c r="A1409">
        <v>7603</v>
      </c>
      <c r="B1409">
        <v>43878</v>
      </c>
      <c r="C1409">
        <v>82</v>
      </c>
      <c r="D1409">
        <v>780.63</v>
      </c>
      <c r="E1409" t="s">
        <v>464</v>
      </c>
      <c r="F1409" t="s">
        <v>865</v>
      </c>
      <c r="G1409" t="s">
        <v>20</v>
      </c>
      <c r="H1409" t="s">
        <v>17</v>
      </c>
    </row>
    <row r="1410" spans="1:8" x14ac:dyDescent="0.45">
      <c r="A1410">
        <v>7604</v>
      </c>
      <c r="B1410">
        <v>44091</v>
      </c>
      <c r="C1410">
        <v>44</v>
      </c>
      <c r="D1410">
        <v>1235.3499999999999</v>
      </c>
      <c r="E1410" t="s">
        <v>8</v>
      </c>
      <c r="F1410" t="s">
        <v>866</v>
      </c>
      <c r="G1410" t="s">
        <v>10</v>
      </c>
      <c r="H1410" t="s">
        <v>15</v>
      </c>
    </row>
    <row r="1411" spans="1:8" x14ac:dyDescent="0.45">
      <c r="A1411">
        <v>7605</v>
      </c>
      <c r="B1411">
        <v>43857</v>
      </c>
      <c r="C1411">
        <v>23</v>
      </c>
      <c r="D1411">
        <v>615.58000000000004</v>
      </c>
      <c r="E1411" t="s">
        <v>464</v>
      </c>
      <c r="F1411" t="s">
        <v>867</v>
      </c>
      <c r="G1411" t="s">
        <v>23</v>
      </c>
      <c r="H1411" t="s">
        <v>11</v>
      </c>
    </row>
    <row r="1412" spans="1:8" x14ac:dyDescent="0.45">
      <c r="A1412">
        <v>7606</v>
      </c>
      <c r="B1412">
        <v>43953</v>
      </c>
      <c r="C1412">
        <v>58</v>
      </c>
      <c r="D1412">
        <v>855.93</v>
      </c>
      <c r="E1412" t="s">
        <v>464</v>
      </c>
      <c r="F1412" t="s">
        <v>868</v>
      </c>
      <c r="G1412" t="s">
        <v>23</v>
      </c>
      <c r="H1412" t="s">
        <v>15</v>
      </c>
    </row>
    <row r="1413" spans="1:8" x14ac:dyDescent="0.45">
      <c r="A1413">
        <v>7607</v>
      </c>
      <c r="B1413">
        <v>44150</v>
      </c>
      <c r="C1413">
        <v>70</v>
      </c>
      <c r="D1413">
        <v>1079.3</v>
      </c>
      <c r="E1413" t="s">
        <v>8</v>
      </c>
      <c r="F1413" t="s">
        <v>869</v>
      </c>
      <c r="G1413" t="s">
        <v>10</v>
      </c>
      <c r="H1413" t="s">
        <v>17</v>
      </c>
    </row>
    <row r="1414" spans="1:8" x14ac:dyDescent="0.45">
      <c r="A1414">
        <v>7608</v>
      </c>
      <c r="B1414">
        <v>44138</v>
      </c>
      <c r="C1414">
        <v>46</v>
      </c>
      <c r="D1414">
        <v>441.83</v>
      </c>
      <c r="E1414" t="s">
        <v>8</v>
      </c>
      <c r="F1414" t="s">
        <v>870</v>
      </c>
      <c r="G1414" t="s">
        <v>23</v>
      </c>
      <c r="H1414" t="s">
        <v>11</v>
      </c>
    </row>
    <row r="1415" spans="1:8" x14ac:dyDescent="0.45">
      <c r="A1415">
        <v>7609</v>
      </c>
      <c r="B1415">
        <v>44063</v>
      </c>
      <c r="C1415">
        <v>24</v>
      </c>
      <c r="D1415">
        <v>114.78</v>
      </c>
      <c r="E1415" t="s">
        <v>464</v>
      </c>
      <c r="F1415" t="s">
        <v>871</v>
      </c>
      <c r="G1415" t="s">
        <v>13</v>
      </c>
      <c r="H1415" t="s">
        <v>17</v>
      </c>
    </row>
    <row r="1416" spans="1:8" x14ac:dyDescent="0.45">
      <c r="A1416">
        <v>7610</v>
      </c>
      <c r="B1416">
        <v>44014</v>
      </c>
      <c r="C1416">
        <v>64</v>
      </c>
      <c r="D1416">
        <v>547.04999999999995</v>
      </c>
      <c r="E1416" t="s">
        <v>25</v>
      </c>
      <c r="F1416" t="s">
        <v>872</v>
      </c>
      <c r="G1416" t="s">
        <v>20</v>
      </c>
      <c r="H1416" t="s">
        <v>11</v>
      </c>
    </row>
    <row r="1417" spans="1:8" x14ac:dyDescent="0.45">
      <c r="A1417">
        <v>7611</v>
      </c>
      <c r="B1417">
        <v>44159</v>
      </c>
      <c r="C1417">
        <v>2</v>
      </c>
      <c r="D1417">
        <v>1019.11</v>
      </c>
      <c r="E1417" t="s">
        <v>8</v>
      </c>
      <c r="F1417" t="s">
        <v>873</v>
      </c>
      <c r="G1417" t="s">
        <v>10</v>
      </c>
      <c r="H1417" t="s">
        <v>15</v>
      </c>
    </row>
    <row r="1418" spans="1:8" x14ac:dyDescent="0.45">
      <c r="A1418">
        <v>7612</v>
      </c>
      <c r="B1418">
        <v>44016</v>
      </c>
      <c r="C1418">
        <v>31</v>
      </c>
      <c r="D1418">
        <v>766.23</v>
      </c>
      <c r="E1418" t="s">
        <v>8</v>
      </c>
      <c r="F1418" t="s">
        <v>874</v>
      </c>
      <c r="G1418" t="s">
        <v>10</v>
      </c>
      <c r="H1418" t="s">
        <v>15</v>
      </c>
    </row>
    <row r="1419" spans="1:8" x14ac:dyDescent="0.45">
      <c r="A1419">
        <v>7613</v>
      </c>
      <c r="B1419">
        <v>43956</v>
      </c>
      <c r="C1419">
        <v>51</v>
      </c>
      <c r="D1419">
        <v>428.72</v>
      </c>
      <c r="E1419" t="s">
        <v>464</v>
      </c>
      <c r="F1419" t="s">
        <v>875</v>
      </c>
      <c r="G1419" t="s">
        <v>23</v>
      </c>
      <c r="H1419" t="s">
        <v>15</v>
      </c>
    </row>
    <row r="1420" spans="1:8" x14ac:dyDescent="0.45">
      <c r="A1420">
        <v>7614</v>
      </c>
      <c r="B1420">
        <v>44091</v>
      </c>
      <c r="C1420">
        <v>16</v>
      </c>
      <c r="D1420">
        <v>119.99</v>
      </c>
      <c r="E1420" t="s">
        <v>464</v>
      </c>
      <c r="F1420" t="s">
        <v>876</v>
      </c>
      <c r="G1420" t="s">
        <v>20</v>
      </c>
      <c r="H1420" t="s">
        <v>15</v>
      </c>
    </row>
    <row r="1421" spans="1:8" x14ac:dyDescent="0.45">
      <c r="A1421">
        <v>7615</v>
      </c>
      <c r="B1421">
        <v>43844</v>
      </c>
      <c r="C1421">
        <v>67</v>
      </c>
      <c r="D1421">
        <v>638.17999999999995</v>
      </c>
      <c r="E1421" t="s">
        <v>25</v>
      </c>
      <c r="F1421" t="s">
        <v>877</v>
      </c>
      <c r="G1421" t="s">
        <v>13</v>
      </c>
      <c r="H1421" t="s">
        <v>17</v>
      </c>
    </row>
    <row r="1422" spans="1:8" x14ac:dyDescent="0.45">
      <c r="A1422">
        <v>7616</v>
      </c>
      <c r="B1422">
        <v>44102</v>
      </c>
      <c r="C1422">
        <v>66</v>
      </c>
      <c r="D1422">
        <v>428.87</v>
      </c>
      <c r="E1422" t="s">
        <v>8</v>
      </c>
      <c r="F1422" t="s">
        <v>878</v>
      </c>
      <c r="G1422" t="s">
        <v>10</v>
      </c>
      <c r="H1422" t="s">
        <v>11</v>
      </c>
    </row>
    <row r="1423" spans="1:8" x14ac:dyDescent="0.45">
      <c r="A1423">
        <v>7617</v>
      </c>
      <c r="B1423">
        <v>43895</v>
      </c>
      <c r="C1423">
        <v>60</v>
      </c>
      <c r="D1423">
        <v>66.56</v>
      </c>
      <c r="E1423" t="s">
        <v>25</v>
      </c>
      <c r="F1423" t="s">
        <v>879</v>
      </c>
      <c r="G1423" t="s">
        <v>13</v>
      </c>
      <c r="H1423" t="s">
        <v>11</v>
      </c>
    </row>
    <row r="1424" spans="1:8" x14ac:dyDescent="0.45">
      <c r="A1424">
        <v>7618</v>
      </c>
      <c r="B1424">
        <v>44066</v>
      </c>
      <c r="C1424">
        <v>11</v>
      </c>
      <c r="D1424">
        <v>500.12</v>
      </c>
      <c r="E1424" t="s">
        <v>25</v>
      </c>
      <c r="F1424" t="s">
        <v>880</v>
      </c>
      <c r="G1424" t="s">
        <v>13</v>
      </c>
      <c r="H1424" t="s">
        <v>17</v>
      </c>
    </row>
    <row r="1425" spans="1:8" x14ac:dyDescent="0.45">
      <c r="A1425">
        <v>7619</v>
      </c>
      <c r="B1425">
        <v>43940</v>
      </c>
      <c r="C1425">
        <v>91</v>
      </c>
      <c r="D1425">
        <v>194.59</v>
      </c>
      <c r="E1425" t="s">
        <v>25</v>
      </c>
      <c r="F1425" t="s">
        <v>881</v>
      </c>
      <c r="G1425" t="s">
        <v>23</v>
      </c>
      <c r="H1425" t="s">
        <v>11</v>
      </c>
    </row>
    <row r="1426" spans="1:8" x14ac:dyDescent="0.45">
      <c r="A1426">
        <v>7620</v>
      </c>
      <c r="B1426">
        <v>44072</v>
      </c>
      <c r="C1426">
        <v>13</v>
      </c>
      <c r="D1426">
        <v>510.23</v>
      </c>
      <c r="E1426" t="s">
        <v>8</v>
      </c>
      <c r="F1426" t="s">
        <v>882</v>
      </c>
      <c r="G1426" t="s">
        <v>23</v>
      </c>
      <c r="H1426" t="s">
        <v>11</v>
      </c>
    </row>
    <row r="1427" spans="1:8" x14ac:dyDescent="0.45">
      <c r="A1427">
        <v>7621</v>
      </c>
      <c r="B1427">
        <v>43865</v>
      </c>
      <c r="C1427">
        <v>79</v>
      </c>
      <c r="D1427">
        <v>240.89</v>
      </c>
      <c r="E1427" t="s">
        <v>25</v>
      </c>
      <c r="F1427" t="s">
        <v>883</v>
      </c>
      <c r="G1427" t="s">
        <v>20</v>
      </c>
      <c r="H1427" t="s">
        <v>11</v>
      </c>
    </row>
    <row r="1428" spans="1:8" x14ac:dyDescent="0.45">
      <c r="A1428">
        <v>7622</v>
      </c>
      <c r="B1428">
        <v>43904</v>
      </c>
      <c r="C1428">
        <v>55</v>
      </c>
      <c r="D1428">
        <v>1208.4100000000001</v>
      </c>
      <c r="E1428" t="s">
        <v>25</v>
      </c>
      <c r="F1428" t="s">
        <v>884</v>
      </c>
      <c r="G1428" t="s">
        <v>13</v>
      </c>
      <c r="H1428" t="s">
        <v>11</v>
      </c>
    </row>
    <row r="1429" spans="1:8" x14ac:dyDescent="0.45">
      <c r="A1429">
        <v>7623</v>
      </c>
      <c r="B1429">
        <v>44012</v>
      </c>
      <c r="C1429">
        <v>52</v>
      </c>
      <c r="D1429">
        <v>390.77</v>
      </c>
      <c r="E1429" t="s">
        <v>8</v>
      </c>
      <c r="F1429" t="s">
        <v>885</v>
      </c>
      <c r="G1429" t="s">
        <v>10</v>
      </c>
      <c r="H1429" t="s">
        <v>15</v>
      </c>
    </row>
    <row r="1430" spans="1:8" x14ac:dyDescent="0.45">
      <c r="A1430">
        <v>7624</v>
      </c>
      <c r="B1430">
        <v>44116</v>
      </c>
      <c r="C1430">
        <v>14</v>
      </c>
      <c r="D1430">
        <v>1478.71</v>
      </c>
      <c r="E1430" t="s">
        <v>8</v>
      </c>
      <c r="F1430" t="s">
        <v>886</v>
      </c>
      <c r="G1430" t="s">
        <v>20</v>
      </c>
      <c r="H1430" t="s">
        <v>17</v>
      </c>
    </row>
    <row r="1431" spans="1:8" x14ac:dyDescent="0.45">
      <c r="A1431">
        <v>7625</v>
      </c>
      <c r="B1431">
        <v>43878</v>
      </c>
      <c r="C1431">
        <v>36</v>
      </c>
      <c r="D1431">
        <v>382.37</v>
      </c>
      <c r="E1431" t="s">
        <v>8</v>
      </c>
      <c r="F1431" t="s">
        <v>887</v>
      </c>
      <c r="G1431" t="s">
        <v>23</v>
      </c>
      <c r="H1431" t="s">
        <v>15</v>
      </c>
    </row>
    <row r="1432" spans="1:8" x14ac:dyDescent="0.45">
      <c r="A1432">
        <v>7626</v>
      </c>
      <c r="B1432">
        <v>43876</v>
      </c>
      <c r="C1432">
        <v>9</v>
      </c>
      <c r="D1432">
        <v>378.68</v>
      </c>
      <c r="E1432" t="s">
        <v>8</v>
      </c>
      <c r="F1432" t="s">
        <v>888</v>
      </c>
      <c r="G1432" t="s">
        <v>10</v>
      </c>
      <c r="H1432" t="s">
        <v>17</v>
      </c>
    </row>
    <row r="1433" spans="1:8" x14ac:dyDescent="0.45">
      <c r="A1433">
        <v>7627</v>
      </c>
      <c r="B1433">
        <v>44019</v>
      </c>
      <c r="C1433">
        <v>57</v>
      </c>
      <c r="D1433">
        <v>1153.06</v>
      </c>
      <c r="E1433" t="s">
        <v>8</v>
      </c>
      <c r="F1433" t="s">
        <v>889</v>
      </c>
      <c r="G1433" t="s">
        <v>13</v>
      </c>
      <c r="H1433" t="s">
        <v>17</v>
      </c>
    </row>
    <row r="1434" spans="1:8" x14ac:dyDescent="0.45">
      <c r="A1434">
        <v>7628</v>
      </c>
      <c r="B1434">
        <v>43996</v>
      </c>
      <c r="C1434">
        <v>75</v>
      </c>
      <c r="D1434">
        <v>1038.17</v>
      </c>
      <c r="E1434" t="s">
        <v>25</v>
      </c>
      <c r="F1434" t="s">
        <v>890</v>
      </c>
      <c r="G1434" t="s">
        <v>20</v>
      </c>
      <c r="H1434" t="s">
        <v>15</v>
      </c>
    </row>
    <row r="1435" spans="1:8" x14ac:dyDescent="0.45">
      <c r="A1435">
        <v>7629</v>
      </c>
      <c r="B1435">
        <v>44113</v>
      </c>
      <c r="C1435">
        <v>41</v>
      </c>
      <c r="D1435">
        <v>412.24</v>
      </c>
      <c r="E1435" t="s">
        <v>25</v>
      </c>
      <c r="F1435" t="s">
        <v>891</v>
      </c>
      <c r="G1435" t="s">
        <v>10</v>
      </c>
      <c r="H1435" t="s">
        <v>11</v>
      </c>
    </row>
    <row r="1436" spans="1:8" x14ac:dyDescent="0.45">
      <c r="A1436">
        <v>7630</v>
      </c>
      <c r="B1436">
        <v>44054</v>
      </c>
      <c r="C1436">
        <v>10</v>
      </c>
      <c r="D1436">
        <v>671.07</v>
      </c>
      <c r="E1436" t="s">
        <v>8</v>
      </c>
      <c r="F1436" t="s">
        <v>892</v>
      </c>
      <c r="G1436" t="s">
        <v>10</v>
      </c>
      <c r="H1436" t="s">
        <v>17</v>
      </c>
    </row>
    <row r="1437" spans="1:8" x14ac:dyDescent="0.45">
      <c r="A1437">
        <v>7631</v>
      </c>
      <c r="B1437">
        <v>43878</v>
      </c>
      <c r="C1437">
        <v>23</v>
      </c>
      <c r="D1437">
        <v>114.82</v>
      </c>
      <c r="E1437" t="s">
        <v>8</v>
      </c>
      <c r="F1437" t="s">
        <v>893</v>
      </c>
      <c r="G1437" t="s">
        <v>20</v>
      </c>
      <c r="H1437" t="s">
        <v>15</v>
      </c>
    </row>
    <row r="1438" spans="1:8" x14ac:dyDescent="0.45">
      <c r="A1438">
        <v>7632</v>
      </c>
      <c r="B1438">
        <v>44162</v>
      </c>
      <c r="C1438">
        <v>6</v>
      </c>
      <c r="D1438">
        <v>859.02</v>
      </c>
      <c r="E1438" t="s">
        <v>25</v>
      </c>
      <c r="F1438" t="s">
        <v>894</v>
      </c>
      <c r="G1438" t="s">
        <v>10</v>
      </c>
      <c r="H1438" t="s">
        <v>11</v>
      </c>
    </row>
    <row r="1439" spans="1:8" x14ac:dyDescent="0.45">
      <c r="A1439">
        <v>7633</v>
      </c>
      <c r="B1439">
        <v>43852</v>
      </c>
      <c r="C1439">
        <v>16</v>
      </c>
      <c r="D1439">
        <v>1224.49</v>
      </c>
      <c r="E1439" t="s">
        <v>464</v>
      </c>
      <c r="F1439" t="s">
        <v>895</v>
      </c>
      <c r="G1439" t="s">
        <v>13</v>
      </c>
      <c r="H1439" t="s">
        <v>11</v>
      </c>
    </row>
    <row r="1440" spans="1:8" x14ac:dyDescent="0.45">
      <c r="A1440">
        <v>7634</v>
      </c>
      <c r="B1440">
        <v>43971</v>
      </c>
      <c r="C1440">
        <v>7</v>
      </c>
      <c r="D1440">
        <v>891.43</v>
      </c>
      <c r="E1440" t="s">
        <v>8</v>
      </c>
      <c r="F1440" t="s">
        <v>896</v>
      </c>
      <c r="G1440" t="s">
        <v>20</v>
      </c>
      <c r="H1440" t="s">
        <v>17</v>
      </c>
    </row>
    <row r="1441" spans="1:8" x14ac:dyDescent="0.45">
      <c r="A1441">
        <v>7635</v>
      </c>
      <c r="B1441">
        <v>44055</v>
      </c>
      <c r="C1441">
        <v>82</v>
      </c>
      <c r="D1441">
        <v>763.82</v>
      </c>
      <c r="E1441" t="s">
        <v>8</v>
      </c>
      <c r="F1441" t="s">
        <v>897</v>
      </c>
      <c r="G1441" t="s">
        <v>13</v>
      </c>
      <c r="H1441" t="s">
        <v>17</v>
      </c>
    </row>
    <row r="1442" spans="1:8" x14ac:dyDescent="0.45">
      <c r="A1442">
        <v>7636</v>
      </c>
      <c r="B1442">
        <v>44169</v>
      </c>
      <c r="C1442">
        <v>70</v>
      </c>
      <c r="D1442">
        <v>1061.46</v>
      </c>
      <c r="E1442" t="s">
        <v>464</v>
      </c>
      <c r="F1442" t="s">
        <v>898</v>
      </c>
      <c r="G1442" t="s">
        <v>23</v>
      </c>
      <c r="H1442" t="s">
        <v>17</v>
      </c>
    </row>
    <row r="1443" spans="1:8" x14ac:dyDescent="0.45">
      <c r="A1443">
        <v>7637</v>
      </c>
      <c r="B1443">
        <v>44027</v>
      </c>
      <c r="C1443">
        <v>11</v>
      </c>
      <c r="D1443">
        <v>418.12</v>
      </c>
      <c r="E1443" t="s">
        <v>8</v>
      </c>
      <c r="F1443" t="s">
        <v>899</v>
      </c>
      <c r="G1443" t="s">
        <v>13</v>
      </c>
      <c r="H1443" t="s">
        <v>17</v>
      </c>
    </row>
    <row r="1444" spans="1:8" x14ac:dyDescent="0.45">
      <c r="A1444">
        <v>7638</v>
      </c>
      <c r="B1444">
        <v>44094</v>
      </c>
      <c r="C1444">
        <v>35</v>
      </c>
      <c r="D1444">
        <v>369.14</v>
      </c>
      <c r="E1444" t="s">
        <v>464</v>
      </c>
      <c r="F1444" t="s">
        <v>900</v>
      </c>
      <c r="G1444" t="s">
        <v>10</v>
      </c>
      <c r="H1444" t="s">
        <v>15</v>
      </c>
    </row>
    <row r="1445" spans="1:8" x14ac:dyDescent="0.45">
      <c r="A1445">
        <v>7639</v>
      </c>
      <c r="B1445">
        <v>44079</v>
      </c>
      <c r="C1445">
        <v>84</v>
      </c>
      <c r="D1445">
        <v>1344.85</v>
      </c>
      <c r="E1445" t="s">
        <v>464</v>
      </c>
      <c r="F1445" t="s">
        <v>901</v>
      </c>
      <c r="G1445" t="s">
        <v>23</v>
      </c>
      <c r="H1445" t="s">
        <v>15</v>
      </c>
    </row>
    <row r="1446" spans="1:8" x14ac:dyDescent="0.45">
      <c r="A1446">
        <v>7640</v>
      </c>
      <c r="B1446">
        <v>43970</v>
      </c>
      <c r="C1446">
        <v>100</v>
      </c>
      <c r="D1446">
        <v>441.19</v>
      </c>
      <c r="E1446" t="s">
        <v>464</v>
      </c>
      <c r="F1446" t="s">
        <v>902</v>
      </c>
      <c r="G1446" t="s">
        <v>20</v>
      </c>
      <c r="H1446" t="s">
        <v>15</v>
      </c>
    </row>
    <row r="1447" spans="1:8" x14ac:dyDescent="0.45">
      <c r="A1447">
        <v>7641</v>
      </c>
      <c r="B1447">
        <v>44151</v>
      </c>
      <c r="C1447">
        <v>32</v>
      </c>
      <c r="D1447">
        <v>799.16</v>
      </c>
      <c r="E1447" t="s">
        <v>464</v>
      </c>
      <c r="F1447" t="s">
        <v>903</v>
      </c>
      <c r="G1447" t="s">
        <v>13</v>
      </c>
      <c r="H1447" t="s">
        <v>17</v>
      </c>
    </row>
    <row r="1448" spans="1:8" x14ac:dyDescent="0.45">
      <c r="A1448">
        <v>7642</v>
      </c>
      <c r="B1448">
        <v>44009</v>
      </c>
      <c r="C1448">
        <v>11</v>
      </c>
      <c r="D1448">
        <v>1272.58</v>
      </c>
      <c r="E1448" t="s">
        <v>25</v>
      </c>
      <c r="F1448" t="s">
        <v>904</v>
      </c>
      <c r="G1448" t="s">
        <v>23</v>
      </c>
      <c r="H1448" t="s">
        <v>17</v>
      </c>
    </row>
    <row r="1449" spans="1:8" x14ac:dyDescent="0.45">
      <c r="A1449">
        <v>7643</v>
      </c>
      <c r="B1449">
        <v>44188</v>
      </c>
      <c r="C1449">
        <v>57</v>
      </c>
      <c r="D1449">
        <v>1161.29</v>
      </c>
      <c r="E1449" t="s">
        <v>8</v>
      </c>
      <c r="F1449" t="s">
        <v>905</v>
      </c>
      <c r="G1449" t="s">
        <v>23</v>
      </c>
      <c r="H1449" t="s">
        <v>17</v>
      </c>
    </row>
    <row r="1450" spans="1:8" x14ac:dyDescent="0.45">
      <c r="A1450">
        <v>7644</v>
      </c>
      <c r="B1450">
        <v>43920</v>
      </c>
      <c r="C1450">
        <v>68</v>
      </c>
      <c r="D1450">
        <v>929.39</v>
      </c>
      <c r="E1450" t="s">
        <v>25</v>
      </c>
      <c r="F1450" t="s">
        <v>906</v>
      </c>
      <c r="G1450" t="s">
        <v>13</v>
      </c>
      <c r="H1450" t="s">
        <v>17</v>
      </c>
    </row>
    <row r="1451" spans="1:8" x14ac:dyDescent="0.45">
      <c r="A1451">
        <v>7645</v>
      </c>
      <c r="B1451">
        <v>43877</v>
      </c>
      <c r="C1451">
        <v>12</v>
      </c>
      <c r="D1451">
        <v>492.81</v>
      </c>
      <c r="E1451" t="s">
        <v>8</v>
      </c>
      <c r="F1451" t="s">
        <v>907</v>
      </c>
      <c r="G1451" t="s">
        <v>13</v>
      </c>
      <c r="H1451" t="s">
        <v>11</v>
      </c>
    </row>
    <row r="1452" spans="1:8" x14ac:dyDescent="0.45">
      <c r="A1452">
        <v>7646</v>
      </c>
      <c r="B1452">
        <v>43887</v>
      </c>
      <c r="C1452">
        <v>42</v>
      </c>
      <c r="D1452">
        <v>599.14</v>
      </c>
      <c r="E1452" t="s">
        <v>464</v>
      </c>
      <c r="F1452" t="s">
        <v>908</v>
      </c>
      <c r="G1452" t="s">
        <v>10</v>
      </c>
      <c r="H1452" t="s">
        <v>17</v>
      </c>
    </row>
    <row r="1453" spans="1:8" x14ac:dyDescent="0.45">
      <c r="A1453">
        <v>7647</v>
      </c>
      <c r="B1453">
        <v>44024</v>
      </c>
      <c r="C1453">
        <v>8</v>
      </c>
      <c r="D1453">
        <v>1010.83</v>
      </c>
      <c r="E1453" t="s">
        <v>8</v>
      </c>
      <c r="F1453" t="s">
        <v>909</v>
      </c>
      <c r="G1453" t="s">
        <v>10</v>
      </c>
      <c r="H1453" t="s">
        <v>17</v>
      </c>
    </row>
    <row r="1454" spans="1:8" x14ac:dyDescent="0.45">
      <c r="A1454">
        <v>7648</v>
      </c>
      <c r="B1454">
        <v>43849</v>
      </c>
      <c r="C1454">
        <v>12</v>
      </c>
      <c r="D1454">
        <v>424.17</v>
      </c>
      <c r="E1454" t="s">
        <v>8</v>
      </c>
      <c r="F1454" t="s">
        <v>910</v>
      </c>
      <c r="G1454" t="s">
        <v>20</v>
      </c>
      <c r="H1454" t="s">
        <v>17</v>
      </c>
    </row>
    <row r="1455" spans="1:8" x14ac:dyDescent="0.45">
      <c r="A1455">
        <v>7649</v>
      </c>
      <c r="B1455">
        <v>43874</v>
      </c>
      <c r="C1455">
        <v>74</v>
      </c>
      <c r="D1455">
        <v>1143.23</v>
      </c>
      <c r="E1455" t="s">
        <v>8</v>
      </c>
      <c r="F1455" t="s">
        <v>911</v>
      </c>
      <c r="G1455" t="s">
        <v>23</v>
      </c>
      <c r="H1455" t="s">
        <v>11</v>
      </c>
    </row>
    <row r="1456" spans="1:8" x14ac:dyDescent="0.45">
      <c r="A1456">
        <v>7650</v>
      </c>
      <c r="B1456">
        <v>44073</v>
      </c>
      <c r="C1456">
        <v>93</v>
      </c>
      <c r="D1456">
        <v>584.52</v>
      </c>
      <c r="E1456" t="s">
        <v>25</v>
      </c>
      <c r="F1456" t="s">
        <v>912</v>
      </c>
      <c r="G1456" t="s">
        <v>20</v>
      </c>
      <c r="H1456" t="s">
        <v>11</v>
      </c>
    </row>
    <row r="1457" spans="1:8" x14ac:dyDescent="0.45">
      <c r="A1457">
        <v>7651</v>
      </c>
      <c r="B1457">
        <v>43922</v>
      </c>
      <c r="C1457">
        <v>96</v>
      </c>
      <c r="D1457">
        <v>689.18</v>
      </c>
      <c r="E1457" t="s">
        <v>25</v>
      </c>
      <c r="F1457" t="s">
        <v>913</v>
      </c>
      <c r="G1457" t="s">
        <v>23</v>
      </c>
      <c r="H1457" t="s">
        <v>15</v>
      </c>
    </row>
    <row r="1458" spans="1:8" x14ac:dyDescent="0.45">
      <c r="A1458">
        <v>7652</v>
      </c>
      <c r="B1458">
        <v>44182</v>
      </c>
      <c r="C1458">
        <v>86</v>
      </c>
      <c r="D1458">
        <v>1309.6099999999999</v>
      </c>
      <c r="E1458" t="s">
        <v>8</v>
      </c>
      <c r="F1458" t="s">
        <v>914</v>
      </c>
      <c r="G1458" t="s">
        <v>10</v>
      </c>
      <c r="H1458" t="s">
        <v>15</v>
      </c>
    </row>
    <row r="1459" spans="1:8" x14ac:dyDescent="0.45">
      <c r="A1459">
        <v>7653</v>
      </c>
      <c r="B1459">
        <v>44126</v>
      </c>
      <c r="C1459">
        <v>48</v>
      </c>
      <c r="D1459">
        <v>931.53</v>
      </c>
      <c r="E1459" t="s">
        <v>8</v>
      </c>
      <c r="F1459" t="s">
        <v>915</v>
      </c>
      <c r="G1459" t="s">
        <v>20</v>
      </c>
      <c r="H1459" t="s">
        <v>15</v>
      </c>
    </row>
    <row r="1460" spans="1:8" x14ac:dyDescent="0.45">
      <c r="A1460">
        <v>7654</v>
      </c>
      <c r="B1460">
        <v>43866</v>
      </c>
      <c r="C1460">
        <v>56</v>
      </c>
      <c r="D1460">
        <v>308.58</v>
      </c>
      <c r="E1460" t="s">
        <v>25</v>
      </c>
      <c r="F1460" t="s">
        <v>916</v>
      </c>
      <c r="G1460" t="s">
        <v>10</v>
      </c>
      <c r="H1460" t="s">
        <v>11</v>
      </c>
    </row>
    <row r="1461" spans="1:8" x14ac:dyDescent="0.45">
      <c r="A1461">
        <v>7655</v>
      </c>
      <c r="B1461">
        <v>43931</v>
      </c>
      <c r="C1461">
        <v>38</v>
      </c>
      <c r="D1461">
        <v>386.21</v>
      </c>
      <c r="E1461" t="s">
        <v>25</v>
      </c>
      <c r="F1461" t="s">
        <v>917</v>
      </c>
      <c r="G1461" t="s">
        <v>20</v>
      </c>
      <c r="H1461" t="s">
        <v>15</v>
      </c>
    </row>
    <row r="1462" spans="1:8" x14ac:dyDescent="0.45">
      <c r="A1462">
        <v>7656</v>
      </c>
      <c r="B1462">
        <v>44108</v>
      </c>
      <c r="C1462">
        <v>53</v>
      </c>
      <c r="D1462">
        <v>1341.41</v>
      </c>
      <c r="E1462" t="s">
        <v>8</v>
      </c>
      <c r="F1462" t="s">
        <v>918</v>
      </c>
      <c r="G1462" t="s">
        <v>10</v>
      </c>
      <c r="H1462" t="s">
        <v>11</v>
      </c>
    </row>
    <row r="1463" spans="1:8" x14ac:dyDescent="0.45">
      <c r="A1463">
        <v>7657</v>
      </c>
      <c r="B1463">
        <v>43853</v>
      </c>
      <c r="C1463">
        <v>15</v>
      </c>
      <c r="D1463">
        <v>277.82</v>
      </c>
      <c r="E1463" t="s">
        <v>8</v>
      </c>
      <c r="F1463" t="s">
        <v>919</v>
      </c>
      <c r="G1463" t="s">
        <v>20</v>
      </c>
      <c r="H1463" t="s">
        <v>11</v>
      </c>
    </row>
    <row r="1464" spans="1:8" x14ac:dyDescent="0.45">
      <c r="A1464">
        <v>7658</v>
      </c>
      <c r="B1464">
        <v>43879</v>
      </c>
      <c r="C1464">
        <v>18</v>
      </c>
      <c r="D1464">
        <v>347.42</v>
      </c>
      <c r="E1464" t="s">
        <v>8</v>
      </c>
      <c r="F1464" t="s">
        <v>920</v>
      </c>
      <c r="G1464" t="s">
        <v>13</v>
      </c>
      <c r="H1464" t="s">
        <v>17</v>
      </c>
    </row>
    <row r="1465" spans="1:8" x14ac:dyDescent="0.45">
      <c r="A1465">
        <v>7659</v>
      </c>
      <c r="B1465">
        <v>44142</v>
      </c>
      <c r="C1465">
        <v>63</v>
      </c>
      <c r="D1465">
        <v>447.83</v>
      </c>
      <c r="E1465" t="s">
        <v>8</v>
      </c>
      <c r="F1465" t="s">
        <v>921</v>
      </c>
      <c r="G1465" t="s">
        <v>10</v>
      </c>
      <c r="H1465" t="s">
        <v>11</v>
      </c>
    </row>
    <row r="1466" spans="1:8" x14ac:dyDescent="0.45">
      <c r="A1466">
        <v>7660</v>
      </c>
      <c r="B1466">
        <v>43908</v>
      </c>
      <c r="C1466">
        <v>95</v>
      </c>
      <c r="D1466">
        <v>1387.53</v>
      </c>
      <c r="E1466" t="s">
        <v>25</v>
      </c>
      <c r="F1466" t="s">
        <v>922</v>
      </c>
      <c r="G1466" t="s">
        <v>20</v>
      </c>
      <c r="H1466" t="s">
        <v>17</v>
      </c>
    </row>
    <row r="1467" spans="1:8" x14ac:dyDescent="0.45">
      <c r="A1467">
        <v>7661</v>
      </c>
      <c r="B1467">
        <v>44128</v>
      </c>
      <c r="C1467">
        <v>17</v>
      </c>
      <c r="D1467">
        <v>449.17</v>
      </c>
      <c r="E1467" t="s">
        <v>25</v>
      </c>
      <c r="F1467" t="s">
        <v>923</v>
      </c>
      <c r="G1467" t="s">
        <v>20</v>
      </c>
      <c r="H1467" t="s">
        <v>17</v>
      </c>
    </row>
    <row r="1468" spans="1:8" x14ac:dyDescent="0.45">
      <c r="A1468">
        <v>7662</v>
      </c>
      <c r="B1468">
        <v>44184</v>
      </c>
      <c r="C1468">
        <v>27</v>
      </c>
      <c r="D1468">
        <v>973.65</v>
      </c>
      <c r="E1468" t="s">
        <v>25</v>
      </c>
      <c r="F1468" t="s">
        <v>924</v>
      </c>
      <c r="G1468" t="s">
        <v>23</v>
      </c>
      <c r="H1468" t="s">
        <v>17</v>
      </c>
    </row>
    <row r="1469" spans="1:8" x14ac:dyDescent="0.45">
      <c r="A1469">
        <v>7663</v>
      </c>
      <c r="B1469">
        <v>43892</v>
      </c>
      <c r="C1469">
        <v>6</v>
      </c>
      <c r="D1469">
        <v>1357.72</v>
      </c>
      <c r="E1469" t="s">
        <v>8</v>
      </c>
      <c r="F1469" t="s">
        <v>925</v>
      </c>
      <c r="G1469" t="s">
        <v>10</v>
      </c>
      <c r="H1469" t="s">
        <v>15</v>
      </c>
    </row>
    <row r="1470" spans="1:8" x14ac:dyDescent="0.45">
      <c r="A1470">
        <v>7664</v>
      </c>
      <c r="B1470">
        <v>43954</v>
      </c>
      <c r="C1470">
        <v>52</v>
      </c>
      <c r="D1470">
        <v>835.59</v>
      </c>
      <c r="E1470" t="s">
        <v>8</v>
      </c>
      <c r="F1470" t="s">
        <v>926</v>
      </c>
      <c r="G1470" t="s">
        <v>13</v>
      </c>
      <c r="H1470" t="s">
        <v>17</v>
      </c>
    </row>
    <row r="1471" spans="1:8" x14ac:dyDescent="0.45">
      <c r="A1471">
        <v>7665</v>
      </c>
      <c r="B1471">
        <v>43855</v>
      </c>
      <c r="C1471">
        <v>21</v>
      </c>
      <c r="D1471">
        <v>741.55</v>
      </c>
      <c r="E1471" t="s">
        <v>464</v>
      </c>
      <c r="F1471" t="s">
        <v>927</v>
      </c>
      <c r="G1471" t="s">
        <v>13</v>
      </c>
      <c r="H1471" t="s">
        <v>11</v>
      </c>
    </row>
    <row r="1472" spans="1:8" x14ac:dyDescent="0.45">
      <c r="A1472">
        <v>7666</v>
      </c>
      <c r="B1472">
        <v>43850</v>
      </c>
      <c r="C1472">
        <v>74</v>
      </c>
      <c r="D1472">
        <v>1106.4000000000001</v>
      </c>
      <c r="E1472" t="s">
        <v>464</v>
      </c>
      <c r="F1472" t="s">
        <v>928</v>
      </c>
      <c r="G1472" t="s">
        <v>23</v>
      </c>
      <c r="H1472" t="s">
        <v>17</v>
      </c>
    </row>
    <row r="1473" spans="1:8" x14ac:dyDescent="0.45">
      <c r="A1473">
        <v>7667</v>
      </c>
      <c r="B1473">
        <v>44048</v>
      </c>
      <c r="C1473">
        <v>7</v>
      </c>
      <c r="D1473">
        <v>861.59</v>
      </c>
      <c r="E1473" t="s">
        <v>464</v>
      </c>
      <c r="F1473" t="s">
        <v>929</v>
      </c>
      <c r="G1473" t="s">
        <v>13</v>
      </c>
      <c r="H1473" t="s">
        <v>15</v>
      </c>
    </row>
    <row r="1474" spans="1:8" x14ac:dyDescent="0.45">
      <c r="A1474">
        <v>7668</v>
      </c>
      <c r="B1474">
        <v>43938</v>
      </c>
      <c r="C1474">
        <v>3</v>
      </c>
      <c r="D1474">
        <v>1137.94</v>
      </c>
      <c r="E1474" t="s">
        <v>464</v>
      </c>
      <c r="F1474" t="s">
        <v>930</v>
      </c>
      <c r="G1474" t="s">
        <v>20</v>
      </c>
      <c r="H1474" t="s">
        <v>17</v>
      </c>
    </row>
    <row r="1475" spans="1:8" x14ac:dyDescent="0.45">
      <c r="A1475">
        <v>7669</v>
      </c>
      <c r="B1475">
        <v>44081</v>
      </c>
      <c r="C1475">
        <v>86</v>
      </c>
      <c r="D1475">
        <v>1361.54</v>
      </c>
      <c r="E1475" t="s">
        <v>25</v>
      </c>
      <c r="F1475" t="s">
        <v>931</v>
      </c>
      <c r="G1475" t="s">
        <v>23</v>
      </c>
      <c r="H1475" t="s">
        <v>11</v>
      </c>
    </row>
    <row r="1476" spans="1:8" x14ac:dyDescent="0.45">
      <c r="A1476">
        <v>7670</v>
      </c>
      <c r="B1476">
        <v>43909</v>
      </c>
      <c r="C1476">
        <v>31</v>
      </c>
      <c r="D1476">
        <v>842.97</v>
      </c>
      <c r="E1476" t="s">
        <v>8</v>
      </c>
      <c r="F1476" t="s">
        <v>932</v>
      </c>
      <c r="G1476" t="s">
        <v>10</v>
      </c>
      <c r="H1476" t="s">
        <v>15</v>
      </c>
    </row>
    <row r="1477" spans="1:8" x14ac:dyDescent="0.45">
      <c r="A1477">
        <v>7671</v>
      </c>
      <c r="B1477">
        <v>44085</v>
      </c>
      <c r="C1477">
        <v>25</v>
      </c>
      <c r="D1477">
        <v>1198.24</v>
      </c>
      <c r="E1477" t="s">
        <v>25</v>
      </c>
      <c r="F1477" t="s">
        <v>933</v>
      </c>
      <c r="G1477" t="s">
        <v>20</v>
      </c>
      <c r="H1477" t="s">
        <v>15</v>
      </c>
    </row>
    <row r="1478" spans="1:8" x14ac:dyDescent="0.45">
      <c r="A1478">
        <v>7672</v>
      </c>
      <c r="B1478">
        <v>44147</v>
      </c>
      <c r="C1478">
        <v>26</v>
      </c>
      <c r="D1478">
        <v>1457.57</v>
      </c>
      <c r="E1478" t="s">
        <v>25</v>
      </c>
      <c r="F1478" t="s">
        <v>934</v>
      </c>
      <c r="G1478" t="s">
        <v>10</v>
      </c>
      <c r="H1478" t="s">
        <v>11</v>
      </c>
    </row>
    <row r="1479" spans="1:8" x14ac:dyDescent="0.45">
      <c r="A1479">
        <v>7673</v>
      </c>
      <c r="B1479">
        <v>44019</v>
      </c>
      <c r="C1479">
        <v>81</v>
      </c>
      <c r="D1479">
        <v>100.11</v>
      </c>
      <c r="E1479" t="s">
        <v>464</v>
      </c>
      <c r="F1479" t="s">
        <v>935</v>
      </c>
      <c r="G1479" t="s">
        <v>10</v>
      </c>
      <c r="H1479" t="s">
        <v>17</v>
      </c>
    </row>
    <row r="1480" spans="1:8" x14ac:dyDescent="0.45">
      <c r="A1480">
        <v>7674</v>
      </c>
      <c r="B1480">
        <v>44002</v>
      </c>
      <c r="C1480">
        <v>62</v>
      </c>
      <c r="D1480">
        <v>260.74</v>
      </c>
      <c r="E1480" t="s">
        <v>25</v>
      </c>
      <c r="F1480" t="s">
        <v>936</v>
      </c>
      <c r="G1480" t="s">
        <v>23</v>
      </c>
      <c r="H1480" t="s">
        <v>17</v>
      </c>
    </row>
    <row r="1481" spans="1:8" x14ac:dyDescent="0.45">
      <c r="A1481">
        <v>7675</v>
      </c>
      <c r="B1481">
        <v>43844</v>
      </c>
      <c r="C1481">
        <v>67</v>
      </c>
      <c r="D1481">
        <v>618.76</v>
      </c>
      <c r="E1481" t="s">
        <v>25</v>
      </c>
      <c r="F1481" t="s">
        <v>937</v>
      </c>
      <c r="G1481" t="s">
        <v>10</v>
      </c>
      <c r="H1481" t="s">
        <v>17</v>
      </c>
    </row>
    <row r="1482" spans="1:8" x14ac:dyDescent="0.45">
      <c r="A1482">
        <v>7676</v>
      </c>
      <c r="B1482">
        <v>43916</v>
      </c>
      <c r="C1482">
        <v>46</v>
      </c>
      <c r="D1482">
        <v>332.94</v>
      </c>
      <c r="E1482" t="s">
        <v>8</v>
      </c>
      <c r="F1482" t="s">
        <v>938</v>
      </c>
      <c r="G1482" t="s">
        <v>20</v>
      </c>
      <c r="H1482" t="s">
        <v>15</v>
      </c>
    </row>
    <row r="1483" spans="1:8" x14ac:dyDescent="0.45">
      <c r="A1483">
        <v>7677</v>
      </c>
      <c r="B1483">
        <v>43850</v>
      </c>
      <c r="C1483">
        <v>17</v>
      </c>
      <c r="D1483">
        <v>933.18</v>
      </c>
      <c r="E1483" t="s">
        <v>464</v>
      </c>
      <c r="F1483" t="s">
        <v>939</v>
      </c>
      <c r="G1483" t="s">
        <v>10</v>
      </c>
      <c r="H1483" t="s">
        <v>11</v>
      </c>
    </row>
    <row r="1484" spans="1:8" x14ac:dyDescent="0.45">
      <c r="A1484">
        <v>7678</v>
      </c>
      <c r="B1484">
        <v>44180</v>
      </c>
      <c r="C1484">
        <v>43</v>
      </c>
      <c r="D1484">
        <v>584.57000000000005</v>
      </c>
      <c r="E1484" t="s">
        <v>8</v>
      </c>
      <c r="F1484" t="s">
        <v>940</v>
      </c>
      <c r="G1484" t="s">
        <v>23</v>
      </c>
      <c r="H1484" t="s">
        <v>17</v>
      </c>
    </row>
    <row r="1485" spans="1:8" x14ac:dyDescent="0.45">
      <c r="A1485">
        <v>7679</v>
      </c>
      <c r="B1485">
        <v>44014</v>
      </c>
      <c r="C1485">
        <v>92</v>
      </c>
      <c r="D1485">
        <v>375.4</v>
      </c>
      <c r="E1485" t="s">
        <v>464</v>
      </c>
      <c r="F1485" t="s">
        <v>941</v>
      </c>
      <c r="G1485" t="s">
        <v>23</v>
      </c>
      <c r="H1485" t="s">
        <v>11</v>
      </c>
    </row>
    <row r="1486" spans="1:8" x14ac:dyDescent="0.45">
      <c r="A1486">
        <v>7680</v>
      </c>
      <c r="B1486">
        <v>43987</v>
      </c>
      <c r="C1486">
        <v>77</v>
      </c>
      <c r="D1486">
        <v>575.57000000000005</v>
      </c>
      <c r="E1486" t="s">
        <v>25</v>
      </c>
      <c r="F1486" t="s">
        <v>942</v>
      </c>
      <c r="G1486" t="s">
        <v>23</v>
      </c>
      <c r="H1486" t="s">
        <v>17</v>
      </c>
    </row>
    <row r="1487" spans="1:8" x14ac:dyDescent="0.45">
      <c r="A1487">
        <v>7681</v>
      </c>
      <c r="B1487">
        <v>43885</v>
      </c>
      <c r="C1487">
        <v>12</v>
      </c>
      <c r="D1487">
        <v>1373.32</v>
      </c>
      <c r="E1487" t="s">
        <v>25</v>
      </c>
      <c r="F1487" t="s">
        <v>943</v>
      </c>
      <c r="G1487" t="s">
        <v>23</v>
      </c>
      <c r="H1487" t="s">
        <v>15</v>
      </c>
    </row>
    <row r="1488" spans="1:8" x14ac:dyDescent="0.45">
      <c r="A1488">
        <v>7682</v>
      </c>
      <c r="B1488">
        <v>44187</v>
      </c>
      <c r="C1488">
        <v>74</v>
      </c>
      <c r="D1488">
        <v>1434.91</v>
      </c>
      <c r="E1488" t="s">
        <v>25</v>
      </c>
      <c r="F1488" t="s">
        <v>944</v>
      </c>
      <c r="G1488" t="s">
        <v>20</v>
      </c>
      <c r="H1488" t="s">
        <v>15</v>
      </c>
    </row>
    <row r="1489" spans="1:8" x14ac:dyDescent="0.45">
      <c r="A1489">
        <v>7683</v>
      </c>
      <c r="B1489">
        <v>43967</v>
      </c>
      <c r="C1489">
        <v>44</v>
      </c>
      <c r="D1489">
        <v>101.94</v>
      </c>
      <c r="E1489" t="s">
        <v>8</v>
      </c>
      <c r="F1489" t="s">
        <v>945</v>
      </c>
      <c r="G1489" t="s">
        <v>20</v>
      </c>
      <c r="H1489" t="s">
        <v>17</v>
      </c>
    </row>
    <row r="1490" spans="1:8" x14ac:dyDescent="0.45">
      <c r="A1490">
        <v>7684</v>
      </c>
      <c r="B1490">
        <v>44122</v>
      </c>
      <c r="C1490">
        <v>16</v>
      </c>
      <c r="D1490">
        <v>121.87</v>
      </c>
      <c r="E1490" t="s">
        <v>464</v>
      </c>
      <c r="F1490" t="s">
        <v>946</v>
      </c>
      <c r="G1490" t="s">
        <v>23</v>
      </c>
      <c r="H1490" t="s">
        <v>11</v>
      </c>
    </row>
    <row r="1491" spans="1:8" x14ac:dyDescent="0.45">
      <c r="A1491">
        <v>7685</v>
      </c>
      <c r="B1491">
        <v>44072</v>
      </c>
      <c r="C1491">
        <v>15</v>
      </c>
      <c r="D1491">
        <v>1283.23</v>
      </c>
      <c r="E1491" t="s">
        <v>25</v>
      </c>
      <c r="F1491" t="s">
        <v>947</v>
      </c>
      <c r="G1491" t="s">
        <v>20</v>
      </c>
      <c r="H1491" t="s">
        <v>11</v>
      </c>
    </row>
    <row r="1492" spans="1:8" x14ac:dyDescent="0.45">
      <c r="A1492">
        <v>7686</v>
      </c>
      <c r="B1492">
        <v>44050</v>
      </c>
      <c r="C1492">
        <v>51</v>
      </c>
      <c r="D1492">
        <v>724.92</v>
      </c>
      <c r="E1492" t="s">
        <v>8</v>
      </c>
      <c r="F1492" t="s">
        <v>948</v>
      </c>
      <c r="G1492" t="s">
        <v>10</v>
      </c>
      <c r="H1492" t="s">
        <v>17</v>
      </c>
    </row>
    <row r="1493" spans="1:8" x14ac:dyDescent="0.45">
      <c r="A1493">
        <v>7687</v>
      </c>
      <c r="B1493">
        <v>43931</v>
      </c>
      <c r="C1493">
        <v>79</v>
      </c>
      <c r="D1493">
        <v>224.99</v>
      </c>
      <c r="E1493" t="s">
        <v>464</v>
      </c>
      <c r="F1493" t="s">
        <v>949</v>
      </c>
      <c r="G1493" t="s">
        <v>13</v>
      </c>
      <c r="H1493" t="s">
        <v>15</v>
      </c>
    </row>
    <row r="1494" spans="1:8" x14ac:dyDescent="0.45">
      <c r="A1494">
        <v>7688</v>
      </c>
      <c r="B1494">
        <v>44134</v>
      </c>
      <c r="C1494">
        <v>50</v>
      </c>
      <c r="D1494">
        <v>692.56</v>
      </c>
      <c r="E1494" t="s">
        <v>25</v>
      </c>
      <c r="F1494" t="s">
        <v>950</v>
      </c>
      <c r="G1494" t="s">
        <v>20</v>
      </c>
      <c r="H1494" t="s">
        <v>11</v>
      </c>
    </row>
    <row r="1495" spans="1:8" x14ac:dyDescent="0.45">
      <c r="A1495">
        <v>7689</v>
      </c>
      <c r="B1495">
        <v>43981</v>
      </c>
      <c r="C1495">
        <v>40</v>
      </c>
      <c r="D1495">
        <v>1408.19</v>
      </c>
      <c r="E1495" t="s">
        <v>25</v>
      </c>
      <c r="F1495" t="s">
        <v>951</v>
      </c>
      <c r="G1495" t="s">
        <v>20</v>
      </c>
      <c r="H1495" t="s">
        <v>17</v>
      </c>
    </row>
    <row r="1496" spans="1:8" x14ac:dyDescent="0.45">
      <c r="A1496">
        <v>7690</v>
      </c>
      <c r="B1496">
        <v>44072</v>
      </c>
      <c r="C1496">
        <v>4</v>
      </c>
      <c r="D1496">
        <v>1366.33</v>
      </c>
      <c r="E1496" t="s">
        <v>8</v>
      </c>
      <c r="F1496" t="s">
        <v>952</v>
      </c>
      <c r="G1496" t="s">
        <v>10</v>
      </c>
      <c r="H1496" t="s">
        <v>17</v>
      </c>
    </row>
    <row r="1497" spans="1:8" x14ac:dyDescent="0.45">
      <c r="A1497">
        <v>7691</v>
      </c>
      <c r="B1497">
        <v>44080</v>
      </c>
      <c r="C1497">
        <v>18</v>
      </c>
      <c r="D1497">
        <v>107.22</v>
      </c>
      <c r="E1497" t="s">
        <v>464</v>
      </c>
      <c r="F1497" t="s">
        <v>953</v>
      </c>
      <c r="G1497" t="s">
        <v>20</v>
      </c>
      <c r="H1497" t="s">
        <v>11</v>
      </c>
    </row>
    <row r="1498" spans="1:8" x14ac:dyDescent="0.45">
      <c r="A1498">
        <v>7692</v>
      </c>
      <c r="B1498">
        <v>43971</v>
      </c>
      <c r="C1498">
        <v>36</v>
      </c>
      <c r="D1498">
        <v>658.97</v>
      </c>
      <c r="E1498" t="s">
        <v>464</v>
      </c>
      <c r="F1498" t="s">
        <v>954</v>
      </c>
      <c r="G1498" t="s">
        <v>23</v>
      </c>
      <c r="H1498" t="s">
        <v>17</v>
      </c>
    </row>
    <row r="1499" spans="1:8" x14ac:dyDescent="0.45">
      <c r="A1499">
        <v>7693</v>
      </c>
      <c r="B1499">
        <v>43938</v>
      </c>
      <c r="C1499">
        <v>2</v>
      </c>
      <c r="D1499">
        <v>1386.9</v>
      </c>
      <c r="E1499" t="s">
        <v>8</v>
      </c>
      <c r="F1499" t="s">
        <v>955</v>
      </c>
      <c r="G1499" t="s">
        <v>23</v>
      </c>
      <c r="H1499" t="s">
        <v>11</v>
      </c>
    </row>
    <row r="1500" spans="1:8" x14ac:dyDescent="0.45">
      <c r="A1500">
        <v>7694</v>
      </c>
      <c r="B1500">
        <v>44200</v>
      </c>
      <c r="C1500">
        <v>88</v>
      </c>
      <c r="D1500">
        <v>433.7</v>
      </c>
      <c r="E1500" t="s">
        <v>8</v>
      </c>
      <c r="F1500" t="s">
        <v>956</v>
      </c>
      <c r="G1500" t="s">
        <v>23</v>
      </c>
      <c r="H1500" t="s">
        <v>11</v>
      </c>
    </row>
    <row r="1501" spans="1:8" x14ac:dyDescent="0.45">
      <c r="A1501">
        <v>7695</v>
      </c>
      <c r="B1501">
        <v>43967</v>
      </c>
      <c r="C1501">
        <v>88</v>
      </c>
      <c r="D1501">
        <v>624.99</v>
      </c>
      <c r="E1501" t="s">
        <v>25</v>
      </c>
      <c r="F1501" t="s">
        <v>957</v>
      </c>
      <c r="G1501" t="s">
        <v>23</v>
      </c>
      <c r="H1501" t="s">
        <v>11</v>
      </c>
    </row>
    <row r="1502" spans="1:8" x14ac:dyDescent="0.45">
      <c r="A1502">
        <v>7696</v>
      </c>
      <c r="B1502">
        <v>44143</v>
      </c>
      <c r="C1502">
        <v>19</v>
      </c>
      <c r="D1502">
        <v>1400.35</v>
      </c>
      <c r="E1502" t="s">
        <v>25</v>
      </c>
      <c r="F1502" t="s">
        <v>958</v>
      </c>
      <c r="G1502" t="s">
        <v>10</v>
      </c>
      <c r="H1502" t="s">
        <v>15</v>
      </c>
    </row>
    <row r="1503" spans="1:8" x14ac:dyDescent="0.45">
      <c r="A1503">
        <v>7697</v>
      </c>
      <c r="B1503">
        <v>43922</v>
      </c>
      <c r="C1503">
        <v>24</v>
      </c>
      <c r="D1503">
        <v>265.20999999999998</v>
      </c>
      <c r="E1503" t="s">
        <v>8</v>
      </c>
      <c r="F1503" t="s">
        <v>959</v>
      </c>
      <c r="G1503" t="s">
        <v>23</v>
      </c>
      <c r="H1503" t="s">
        <v>15</v>
      </c>
    </row>
    <row r="1504" spans="1:8" x14ac:dyDescent="0.45">
      <c r="A1504">
        <v>7698</v>
      </c>
      <c r="B1504">
        <v>44195</v>
      </c>
      <c r="C1504">
        <v>79</v>
      </c>
      <c r="D1504">
        <v>853.51</v>
      </c>
      <c r="E1504" t="s">
        <v>464</v>
      </c>
      <c r="F1504" t="s">
        <v>960</v>
      </c>
      <c r="G1504" t="s">
        <v>20</v>
      </c>
      <c r="H1504" t="s">
        <v>11</v>
      </c>
    </row>
    <row r="1505" spans="1:8" x14ac:dyDescent="0.45">
      <c r="A1505">
        <v>7699</v>
      </c>
      <c r="B1505">
        <v>44088</v>
      </c>
      <c r="C1505">
        <v>21</v>
      </c>
      <c r="D1505">
        <v>292.08</v>
      </c>
      <c r="E1505" t="s">
        <v>464</v>
      </c>
      <c r="F1505" t="s">
        <v>961</v>
      </c>
      <c r="G1505" t="s">
        <v>20</v>
      </c>
      <c r="H1505" t="s">
        <v>17</v>
      </c>
    </row>
    <row r="1506" spans="1:8" x14ac:dyDescent="0.45">
      <c r="A1506">
        <v>7700</v>
      </c>
      <c r="B1506">
        <v>43856</v>
      </c>
      <c r="C1506">
        <v>77</v>
      </c>
      <c r="D1506">
        <v>772.43</v>
      </c>
      <c r="E1506" t="s">
        <v>25</v>
      </c>
      <c r="F1506" t="s">
        <v>962</v>
      </c>
      <c r="G1506" t="s">
        <v>23</v>
      </c>
      <c r="H1506" t="s">
        <v>11</v>
      </c>
    </row>
    <row r="1507" spans="1:8" x14ac:dyDescent="0.45">
      <c r="A1507">
        <v>7701</v>
      </c>
      <c r="B1507">
        <v>44194</v>
      </c>
      <c r="C1507">
        <v>20</v>
      </c>
      <c r="D1507">
        <v>964.65</v>
      </c>
      <c r="E1507" t="s">
        <v>464</v>
      </c>
      <c r="F1507" t="s">
        <v>963</v>
      </c>
      <c r="G1507" t="s">
        <v>23</v>
      </c>
      <c r="H1507" t="s">
        <v>11</v>
      </c>
    </row>
    <row r="1508" spans="1:8" x14ac:dyDescent="0.45">
      <c r="A1508">
        <v>7702</v>
      </c>
      <c r="B1508">
        <v>44131</v>
      </c>
      <c r="C1508">
        <v>96</v>
      </c>
      <c r="D1508">
        <v>536.30999999999995</v>
      </c>
      <c r="E1508" t="s">
        <v>8</v>
      </c>
      <c r="F1508" t="s">
        <v>964</v>
      </c>
      <c r="G1508" t="s">
        <v>20</v>
      </c>
      <c r="H1508" t="s">
        <v>11</v>
      </c>
    </row>
    <row r="1509" spans="1:8" x14ac:dyDescent="0.45">
      <c r="A1509">
        <v>7703</v>
      </c>
      <c r="B1509">
        <v>44152</v>
      </c>
      <c r="C1509">
        <v>57</v>
      </c>
      <c r="D1509">
        <v>1342.23</v>
      </c>
      <c r="E1509" t="s">
        <v>464</v>
      </c>
      <c r="F1509" t="s">
        <v>965</v>
      </c>
      <c r="G1509" t="s">
        <v>20</v>
      </c>
      <c r="H1509" t="s">
        <v>11</v>
      </c>
    </row>
    <row r="1510" spans="1:8" x14ac:dyDescent="0.45">
      <c r="A1510">
        <v>7704</v>
      </c>
      <c r="B1510">
        <v>44191</v>
      </c>
      <c r="C1510">
        <v>43</v>
      </c>
      <c r="D1510">
        <v>1020.33</v>
      </c>
      <c r="E1510" t="s">
        <v>25</v>
      </c>
      <c r="F1510" t="s">
        <v>966</v>
      </c>
      <c r="G1510" t="s">
        <v>23</v>
      </c>
      <c r="H1510" t="s">
        <v>17</v>
      </c>
    </row>
    <row r="1511" spans="1:8" x14ac:dyDescent="0.45">
      <c r="A1511">
        <v>7705</v>
      </c>
      <c r="B1511">
        <v>43944</v>
      </c>
      <c r="C1511">
        <v>71</v>
      </c>
      <c r="D1511">
        <v>663.54</v>
      </c>
      <c r="E1511" t="s">
        <v>464</v>
      </c>
      <c r="F1511" t="s">
        <v>967</v>
      </c>
      <c r="G1511" t="s">
        <v>13</v>
      </c>
      <c r="H1511" t="s">
        <v>11</v>
      </c>
    </row>
    <row r="1512" spans="1:8" x14ac:dyDescent="0.45">
      <c r="A1512">
        <v>7706</v>
      </c>
      <c r="B1512">
        <v>43866</v>
      </c>
      <c r="C1512">
        <v>64</v>
      </c>
      <c r="D1512">
        <v>822.49</v>
      </c>
      <c r="E1512" t="s">
        <v>25</v>
      </c>
      <c r="F1512" t="s">
        <v>968</v>
      </c>
      <c r="G1512" t="s">
        <v>13</v>
      </c>
      <c r="H1512" t="s">
        <v>15</v>
      </c>
    </row>
    <row r="1513" spans="1:8" x14ac:dyDescent="0.45">
      <c r="A1513">
        <v>7707</v>
      </c>
      <c r="B1513">
        <v>44073</v>
      </c>
      <c r="C1513">
        <v>53</v>
      </c>
      <c r="D1513">
        <v>824.15</v>
      </c>
      <c r="E1513" t="s">
        <v>464</v>
      </c>
      <c r="F1513" t="s">
        <v>969</v>
      </c>
      <c r="G1513" t="s">
        <v>10</v>
      </c>
      <c r="H1513" t="s">
        <v>15</v>
      </c>
    </row>
    <row r="1514" spans="1:8" x14ac:dyDescent="0.45">
      <c r="A1514">
        <v>7708</v>
      </c>
      <c r="B1514">
        <v>44190</v>
      </c>
      <c r="C1514">
        <v>96</v>
      </c>
      <c r="D1514">
        <v>690.52</v>
      </c>
      <c r="E1514" t="s">
        <v>25</v>
      </c>
      <c r="F1514" t="s">
        <v>970</v>
      </c>
      <c r="G1514" t="s">
        <v>10</v>
      </c>
      <c r="H1514" t="s">
        <v>17</v>
      </c>
    </row>
    <row r="1515" spans="1:8" x14ac:dyDescent="0.45">
      <c r="A1515">
        <v>7709</v>
      </c>
      <c r="B1515">
        <v>44135</v>
      </c>
      <c r="C1515">
        <v>12</v>
      </c>
      <c r="D1515">
        <v>1494.14</v>
      </c>
      <c r="E1515" t="s">
        <v>25</v>
      </c>
      <c r="F1515" t="s">
        <v>971</v>
      </c>
      <c r="G1515" t="s">
        <v>23</v>
      </c>
      <c r="H1515" t="s">
        <v>11</v>
      </c>
    </row>
    <row r="1516" spans="1:8" x14ac:dyDescent="0.45">
      <c r="A1516">
        <v>7710</v>
      </c>
      <c r="B1516">
        <v>44068</v>
      </c>
      <c r="C1516">
        <v>27</v>
      </c>
      <c r="D1516">
        <v>1250.1300000000001</v>
      </c>
      <c r="E1516" t="s">
        <v>8</v>
      </c>
      <c r="F1516" t="s">
        <v>972</v>
      </c>
      <c r="G1516" t="s">
        <v>13</v>
      </c>
      <c r="H1516" t="s">
        <v>15</v>
      </c>
    </row>
    <row r="1517" spans="1:8" x14ac:dyDescent="0.45">
      <c r="A1517">
        <v>7711</v>
      </c>
      <c r="B1517">
        <v>43948</v>
      </c>
      <c r="C1517">
        <v>40</v>
      </c>
      <c r="D1517">
        <v>1048.95</v>
      </c>
      <c r="E1517" t="s">
        <v>25</v>
      </c>
      <c r="F1517" t="s">
        <v>973</v>
      </c>
      <c r="G1517" t="s">
        <v>10</v>
      </c>
      <c r="H1517" t="s">
        <v>15</v>
      </c>
    </row>
    <row r="1518" spans="1:8" x14ac:dyDescent="0.45">
      <c r="A1518">
        <v>7712</v>
      </c>
      <c r="B1518">
        <v>44171</v>
      </c>
      <c r="C1518">
        <v>45</v>
      </c>
      <c r="D1518">
        <v>510.67</v>
      </c>
      <c r="E1518" t="s">
        <v>25</v>
      </c>
      <c r="F1518" t="s">
        <v>974</v>
      </c>
      <c r="G1518" t="s">
        <v>13</v>
      </c>
      <c r="H1518" t="s">
        <v>11</v>
      </c>
    </row>
    <row r="1519" spans="1:8" x14ac:dyDescent="0.45">
      <c r="A1519">
        <v>7713</v>
      </c>
      <c r="B1519">
        <v>43963</v>
      </c>
      <c r="C1519">
        <v>78</v>
      </c>
      <c r="D1519">
        <v>1071.26</v>
      </c>
      <c r="E1519" t="s">
        <v>464</v>
      </c>
      <c r="F1519" t="s">
        <v>975</v>
      </c>
      <c r="G1519" t="s">
        <v>10</v>
      </c>
      <c r="H1519" t="s">
        <v>11</v>
      </c>
    </row>
    <row r="1520" spans="1:8" x14ac:dyDescent="0.45">
      <c r="A1520">
        <v>7714</v>
      </c>
      <c r="B1520">
        <v>43989</v>
      </c>
      <c r="C1520">
        <v>97</v>
      </c>
      <c r="D1520">
        <v>743.46</v>
      </c>
      <c r="E1520" t="s">
        <v>25</v>
      </c>
      <c r="F1520" t="s">
        <v>976</v>
      </c>
      <c r="G1520" t="s">
        <v>13</v>
      </c>
      <c r="H1520" t="s">
        <v>15</v>
      </c>
    </row>
    <row r="1521" spans="1:8" x14ac:dyDescent="0.45">
      <c r="A1521">
        <v>7715</v>
      </c>
      <c r="B1521">
        <v>44016</v>
      </c>
      <c r="C1521">
        <v>58</v>
      </c>
      <c r="D1521">
        <v>1088.33</v>
      </c>
      <c r="E1521" t="s">
        <v>25</v>
      </c>
      <c r="F1521" t="s">
        <v>977</v>
      </c>
      <c r="G1521" t="s">
        <v>20</v>
      </c>
      <c r="H1521" t="s">
        <v>11</v>
      </c>
    </row>
    <row r="1522" spans="1:8" x14ac:dyDescent="0.45">
      <c r="A1522">
        <v>7716</v>
      </c>
      <c r="B1522">
        <v>44049</v>
      </c>
      <c r="C1522">
        <v>21</v>
      </c>
      <c r="D1522">
        <v>1489.04</v>
      </c>
      <c r="E1522" t="s">
        <v>8</v>
      </c>
      <c r="F1522" t="s">
        <v>978</v>
      </c>
      <c r="G1522" t="s">
        <v>23</v>
      </c>
      <c r="H1522" t="s">
        <v>17</v>
      </c>
    </row>
    <row r="1523" spans="1:8" x14ac:dyDescent="0.45">
      <c r="A1523">
        <v>7717</v>
      </c>
      <c r="B1523">
        <v>43909</v>
      </c>
      <c r="C1523">
        <v>29</v>
      </c>
      <c r="D1523">
        <v>1462.28</v>
      </c>
      <c r="E1523" t="s">
        <v>25</v>
      </c>
      <c r="F1523" t="s">
        <v>979</v>
      </c>
      <c r="G1523" t="s">
        <v>13</v>
      </c>
      <c r="H1523" t="s">
        <v>11</v>
      </c>
    </row>
    <row r="1524" spans="1:8" x14ac:dyDescent="0.45">
      <c r="A1524">
        <v>7718</v>
      </c>
      <c r="B1524">
        <v>44181</v>
      </c>
      <c r="C1524">
        <v>10</v>
      </c>
      <c r="D1524">
        <v>203.08</v>
      </c>
      <c r="E1524" t="s">
        <v>8</v>
      </c>
      <c r="F1524" t="s">
        <v>980</v>
      </c>
      <c r="G1524" t="s">
        <v>10</v>
      </c>
      <c r="H1524" t="s">
        <v>17</v>
      </c>
    </row>
    <row r="1525" spans="1:8" x14ac:dyDescent="0.45">
      <c r="A1525">
        <v>7719</v>
      </c>
      <c r="B1525">
        <v>43991</v>
      </c>
      <c r="C1525">
        <v>20</v>
      </c>
      <c r="D1525">
        <v>1371.06</v>
      </c>
      <c r="E1525" t="s">
        <v>8</v>
      </c>
      <c r="F1525" t="s">
        <v>981</v>
      </c>
      <c r="G1525" t="s">
        <v>23</v>
      </c>
      <c r="H1525" t="s">
        <v>15</v>
      </c>
    </row>
    <row r="1526" spans="1:8" x14ac:dyDescent="0.45">
      <c r="A1526">
        <v>7720</v>
      </c>
      <c r="B1526">
        <v>44127</v>
      </c>
      <c r="C1526">
        <v>6</v>
      </c>
      <c r="D1526">
        <v>611.32000000000005</v>
      </c>
      <c r="E1526" t="s">
        <v>25</v>
      </c>
      <c r="F1526" t="s">
        <v>982</v>
      </c>
      <c r="G1526" t="s">
        <v>10</v>
      </c>
      <c r="H1526" t="s">
        <v>11</v>
      </c>
    </row>
    <row r="1527" spans="1:8" x14ac:dyDescent="0.45">
      <c r="A1527">
        <v>7721</v>
      </c>
      <c r="B1527">
        <v>44008</v>
      </c>
      <c r="C1527">
        <v>39</v>
      </c>
      <c r="D1527">
        <v>320.7</v>
      </c>
      <c r="E1527" t="s">
        <v>25</v>
      </c>
      <c r="F1527" t="s">
        <v>983</v>
      </c>
      <c r="G1527" t="s">
        <v>20</v>
      </c>
      <c r="H1527" t="s">
        <v>11</v>
      </c>
    </row>
    <row r="1528" spans="1:8" x14ac:dyDescent="0.45">
      <c r="A1528">
        <v>7722</v>
      </c>
      <c r="B1528">
        <v>44179</v>
      </c>
      <c r="C1528">
        <v>14</v>
      </c>
      <c r="D1528">
        <v>436.87</v>
      </c>
      <c r="E1528" t="s">
        <v>464</v>
      </c>
      <c r="F1528" t="s">
        <v>984</v>
      </c>
      <c r="G1528" t="s">
        <v>20</v>
      </c>
      <c r="H1528" t="s">
        <v>11</v>
      </c>
    </row>
    <row r="1529" spans="1:8" x14ac:dyDescent="0.45">
      <c r="A1529">
        <v>7723</v>
      </c>
      <c r="B1529">
        <v>43885</v>
      </c>
      <c r="C1529">
        <v>51</v>
      </c>
      <c r="D1529">
        <v>1164.1500000000001</v>
      </c>
      <c r="E1529" t="s">
        <v>464</v>
      </c>
      <c r="F1529" t="s">
        <v>985</v>
      </c>
      <c r="G1529" t="s">
        <v>23</v>
      </c>
      <c r="H1529" t="s">
        <v>11</v>
      </c>
    </row>
    <row r="1530" spans="1:8" x14ac:dyDescent="0.45">
      <c r="A1530">
        <v>7724</v>
      </c>
      <c r="B1530">
        <v>44080</v>
      </c>
      <c r="C1530">
        <v>59</v>
      </c>
      <c r="D1530">
        <v>1189.17</v>
      </c>
      <c r="E1530" t="s">
        <v>8</v>
      </c>
      <c r="F1530" t="s">
        <v>986</v>
      </c>
      <c r="G1530" t="s">
        <v>23</v>
      </c>
      <c r="H1530" t="s">
        <v>11</v>
      </c>
    </row>
    <row r="1531" spans="1:8" x14ac:dyDescent="0.45">
      <c r="A1531">
        <v>7725</v>
      </c>
      <c r="B1531">
        <v>44040</v>
      </c>
      <c r="C1531">
        <v>35</v>
      </c>
      <c r="D1531">
        <v>695.43</v>
      </c>
      <c r="E1531" t="s">
        <v>8</v>
      </c>
      <c r="F1531" t="s">
        <v>987</v>
      </c>
      <c r="G1531" t="s">
        <v>20</v>
      </c>
      <c r="H1531" t="s">
        <v>17</v>
      </c>
    </row>
    <row r="1532" spans="1:8" x14ac:dyDescent="0.45">
      <c r="A1532">
        <v>7726</v>
      </c>
      <c r="B1532">
        <v>43868</v>
      </c>
      <c r="C1532">
        <v>83</v>
      </c>
      <c r="D1532">
        <v>564.37</v>
      </c>
      <c r="E1532" t="s">
        <v>464</v>
      </c>
      <c r="F1532" t="s">
        <v>988</v>
      </c>
      <c r="G1532" t="s">
        <v>10</v>
      </c>
      <c r="H1532" t="s">
        <v>17</v>
      </c>
    </row>
    <row r="1533" spans="1:8" x14ac:dyDescent="0.45">
      <c r="A1533">
        <v>7727</v>
      </c>
      <c r="B1533">
        <v>44083</v>
      </c>
      <c r="C1533">
        <v>87</v>
      </c>
      <c r="D1533">
        <v>618.01</v>
      </c>
      <c r="E1533" t="s">
        <v>464</v>
      </c>
      <c r="F1533" t="s">
        <v>989</v>
      </c>
      <c r="G1533" t="s">
        <v>23</v>
      </c>
      <c r="H1533" t="s">
        <v>17</v>
      </c>
    </row>
    <row r="1534" spans="1:8" x14ac:dyDescent="0.45">
      <c r="A1534">
        <v>7728</v>
      </c>
      <c r="B1534">
        <v>44116</v>
      </c>
      <c r="C1534">
        <v>28</v>
      </c>
      <c r="D1534">
        <v>425.91</v>
      </c>
      <c r="E1534" t="s">
        <v>8</v>
      </c>
      <c r="F1534" t="s">
        <v>990</v>
      </c>
      <c r="G1534" t="s">
        <v>10</v>
      </c>
      <c r="H1534" t="s">
        <v>11</v>
      </c>
    </row>
    <row r="1535" spans="1:8" x14ac:dyDescent="0.45">
      <c r="A1535">
        <v>7729</v>
      </c>
      <c r="B1535">
        <v>44008</v>
      </c>
      <c r="C1535">
        <v>84</v>
      </c>
      <c r="D1535">
        <v>1039.9100000000001</v>
      </c>
      <c r="E1535" t="s">
        <v>8</v>
      </c>
      <c r="F1535" t="s">
        <v>991</v>
      </c>
      <c r="G1535" t="s">
        <v>23</v>
      </c>
      <c r="H1535" t="s">
        <v>11</v>
      </c>
    </row>
    <row r="1536" spans="1:8" x14ac:dyDescent="0.45">
      <c r="A1536">
        <v>7730</v>
      </c>
      <c r="B1536">
        <v>43857</v>
      </c>
      <c r="C1536">
        <v>32</v>
      </c>
      <c r="D1536">
        <v>691.01</v>
      </c>
      <c r="E1536" t="s">
        <v>8</v>
      </c>
      <c r="F1536" t="s">
        <v>992</v>
      </c>
      <c r="G1536" t="s">
        <v>13</v>
      </c>
      <c r="H1536" t="s">
        <v>17</v>
      </c>
    </row>
    <row r="1537" spans="1:8" x14ac:dyDescent="0.45">
      <c r="A1537">
        <v>7731</v>
      </c>
      <c r="B1537">
        <v>44107</v>
      </c>
      <c r="C1537">
        <v>91</v>
      </c>
      <c r="D1537">
        <v>825.45</v>
      </c>
      <c r="E1537" t="s">
        <v>8</v>
      </c>
      <c r="F1537" t="s">
        <v>993</v>
      </c>
      <c r="G1537" t="s">
        <v>23</v>
      </c>
      <c r="H1537" t="s">
        <v>15</v>
      </c>
    </row>
    <row r="1538" spans="1:8" x14ac:dyDescent="0.45">
      <c r="A1538">
        <v>7732</v>
      </c>
      <c r="B1538">
        <v>44064</v>
      </c>
      <c r="C1538">
        <v>47</v>
      </c>
      <c r="D1538">
        <v>844.11</v>
      </c>
      <c r="E1538" t="s">
        <v>25</v>
      </c>
      <c r="F1538" t="s">
        <v>994</v>
      </c>
      <c r="G1538" t="s">
        <v>23</v>
      </c>
      <c r="H1538" t="s">
        <v>15</v>
      </c>
    </row>
    <row r="1539" spans="1:8" x14ac:dyDescent="0.45">
      <c r="A1539">
        <v>7733</v>
      </c>
      <c r="B1539">
        <v>43975</v>
      </c>
      <c r="C1539">
        <v>80</v>
      </c>
      <c r="D1539">
        <v>1051.5899999999999</v>
      </c>
      <c r="E1539" t="s">
        <v>8</v>
      </c>
      <c r="F1539" t="s">
        <v>995</v>
      </c>
      <c r="G1539" t="s">
        <v>23</v>
      </c>
      <c r="H1539" t="s">
        <v>17</v>
      </c>
    </row>
    <row r="1540" spans="1:8" x14ac:dyDescent="0.45">
      <c r="A1540">
        <v>7734</v>
      </c>
      <c r="B1540">
        <v>43911</v>
      </c>
      <c r="C1540">
        <v>14</v>
      </c>
      <c r="D1540">
        <v>814.19</v>
      </c>
      <c r="E1540" t="s">
        <v>8</v>
      </c>
      <c r="F1540" t="s">
        <v>996</v>
      </c>
      <c r="G1540" t="s">
        <v>10</v>
      </c>
      <c r="H1540" t="s">
        <v>11</v>
      </c>
    </row>
    <row r="1541" spans="1:8" x14ac:dyDescent="0.45">
      <c r="A1541">
        <v>7735</v>
      </c>
      <c r="B1541">
        <v>44162</v>
      </c>
      <c r="C1541">
        <v>65</v>
      </c>
      <c r="D1541">
        <v>848.68</v>
      </c>
      <c r="E1541" t="s">
        <v>8</v>
      </c>
      <c r="F1541" t="s">
        <v>997</v>
      </c>
      <c r="G1541" t="s">
        <v>20</v>
      </c>
      <c r="H1541" t="s">
        <v>15</v>
      </c>
    </row>
    <row r="1542" spans="1:8" x14ac:dyDescent="0.45">
      <c r="A1542">
        <v>7736</v>
      </c>
      <c r="B1542">
        <v>44117</v>
      </c>
      <c r="C1542">
        <v>21</v>
      </c>
      <c r="D1542">
        <v>214.34</v>
      </c>
      <c r="E1542" t="s">
        <v>464</v>
      </c>
      <c r="F1542" t="s">
        <v>998</v>
      </c>
      <c r="G1542" t="s">
        <v>20</v>
      </c>
      <c r="H1542" t="s">
        <v>15</v>
      </c>
    </row>
    <row r="1543" spans="1:8" x14ac:dyDescent="0.45">
      <c r="A1543">
        <v>7737</v>
      </c>
      <c r="B1543">
        <v>44025</v>
      </c>
      <c r="C1543">
        <v>39</v>
      </c>
      <c r="D1543">
        <v>259.01</v>
      </c>
      <c r="E1543" t="s">
        <v>8</v>
      </c>
      <c r="F1543" t="s">
        <v>999</v>
      </c>
      <c r="G1543" t="s">
        <v>13</v>
      </c>
      <c r="H1543" t="s">
        <v>15</v>
      </c>
    </row>
    <row r="1544" spans="1:8" x14ac:dyDescent="0.45">
      <c r="A1544">
        <v>7738</v>
      </c>
      <c r="B1544">
        <v>43842</v>
      </c>
      <c r="C1544">
        <v>92</v>
      </c>
      <c r="D1544">
        <v>1386.82</v>
      </c>
      <c r="E1544" t="s">
        <v>8</v>
      </c>
      <c r="F1544" t="s">
        <v>1000</v>
      </c>
      <c r="G1544" t="s">
        <v>10</v>
      </c>
      <c r="H1544" t="s">
        <v>17</v>
      </c>
    </row>
    <row r="1545" spans="1:8" x14ac:dyDescent="0.45">
      <c r="A1545">
        <v>7739</v>
      </c>
      <c r="B1545">
        <v>44035</v>
      </c>
      <c r="C1545">
        <v>73</v>
      </c>
      <c r="D1545">
        <v>875</v>
      </c>
      <c r="E1545" t="s">
        <v>25</v>
      </c>
      <c r="F1545" t="s">
        <v>1001</v>
      </c>
      <c r="G1545" t="s">
        <v>20</v>
      </c>
      <c r="H1545" t="s">
        <v>11</v>
      </c>
    </row>
    <row r="1546" spans="1:8" x14ac:dyDescent="0.45">
      <c r="A1546">
        <v>7740</v>
      </c>
      <c r="B1546">
        <v>44025</v>
      </c>
      <c r="C1546">
        <v>85</v>
      </c>
      <c r="D1546">
        <v>451.34</v>
      </c>
      <c r="E1546" t="s">
        <v>25</v>
      </c>
      <c r="F1546" t="s">
        <v>1002</v>
      </c>
      <c r="G1546" t="s">
        <v>10</v>
      </c>
      <c r="H1546" t="s">
        <v>15</v>
      </c>
    </row>
    <row r="1547" spans="1:8" x14ac:dyDescent="0.45">
      <c r="A1547">
        <v>7741</v>
      </c>
      <c r="B1547">
        <v>44022</v>
      </c>
      <c r="C1547">
        <v>65</v>
      </c>
      <c r="D1547">
        <v>161.21</v>
      </c>
      <c r="E1547" t="s">
        <v>464</v>
      </c>
      <c r="F1547" t="s">
        <v>1003</v>
      </c>
      <c r="G1547" t="s">
        <v>10</v>
      </c>
      <c r="H1547" t="s">
        <v>17</v>
      </c>
    </row>
    <row r="1548" spans="1:8" x14ac:dyDescent="0.45">
      <c r="A1548">
        <v>7742</v>
      </c>
      <c r="B1548">
        <v>43976</v>
      </c>
      <c r="C1548">
        <v>14</v>
      </c>
      <c r="D1548">
        <v>714.96</v>
      </c>
      <c r="E1548" t="s">
        <v>8</v>
      </c>
      <c r="F1548" t="s">
        <v>1004</v>
      </c>
      <c r="G1548" t="s">
        <v>13</v>
      </c>
      <c r="H1548" t="s">
        <v>15</v>
      </c>
    </row>
    <row r="1549" spans="1:8" x14ac:dyDescent="0.45">
      <c r="A1549">
        <v>7743</v>
      </c>
      <c r="B1549">
        <v>44170</v>
      </c>
      <c r="C1549">
        <v>30</v>
      </c>
      <c r="D1549">
        <v>705.96</v>
      </c>
      <c r="E1549" t="s">
        <v>25</v>
      </c>
      <c r="F1549" t="s">
        <v>1005</v>
      </c>
      <c r="G1549" t="s">
        <v>13</v>
      </c>
      <c r="H1549" t="s">
        <v>15</v>
      </c>
    </row>
    <row r="1550" spans="1:8" x14ac:dyDescent="0.45">
      <c r="A1550">
        <v>7744</v>
      </c>
      <c r="B1550">
        <v>44067</v>
      </c>
      <c r="C1550">
        <v>99</v>
      </c>
      <c r="D1550">
        <v>1420.22</v>
      </c>
      <c r="E1550" t="s">
        <v>464</v>
      </c>
      <c r="F1550" t="s">
        <v>1006</v>
      </c>
      <c r="G1550" t="s">
        <v>13</v>
      </c>
      <c r="H1550" t="s">
        <v>17</v>
      </c>
    </row>
    <row r="1551" spans="1:8" x14ac:dyDescent="0.45">
      <c r="A1551">
        <v>7745</v>
      </c>
      <c r="B1551">
        <v>44002</v>
      </c>
      <c r="C1551">
        <v>11</v>
      </c>
      <c r="D1551">
        <v>457.32</v>
      </c>
      <c r="E1551" t="s">
        <v>25</v>
      </c>
      <c r="F1551" t="s">
        <v>1007</v>
      </c>
      <c r="G1551" t="s">
        <v>10</v>
      </c>
      <c r="H1551" t="s">
        <v>11</v>
      </c>
    </row>
    <row r="1552" spans="1:8" x14ac:dyDescent="0.45">
      <c r="A1552">
        <v>7746</v>
      </c>
      <c r="B1552">
        <v>44118</v>
      </c>
      <c r="C1552">
        <v>28</v>
      </c>
      <c r="D1552">
        <v>321.51</v>
      </c>
      <c r="E1552" t="s">
        <v>464</v>
      </c>
      <c r="F1552" t="s">
        <v>1008</v>
      </c>
      <c r="G1552" t="s">
        <v>10</v>
      </c>
      <c r="H1552" t="s">
        <v>17</v>
      </c>
    </row>
    <row r="1553" spans="1:8" x14ac:dyDescent="0.45">
      <c r="A1553">
        <v>7747</v>
      </c>
      <c r="B1553">
        <v>43868</v>
      </c>
      <c r="C1553">
        <v>2</v>
      </c>
      <c r="D1553">
        <v>308.08999999999997</v>
      </c>
      <c r="E1553" t="s">
        <v>8</v>
      </c>
      <c r="F1553" t="s">
        <v>1009</v>
      </c>
      <c r="G1553" t="s">
        <v>13</v>
      </c>
      <c r="H1553" t="s">
        <v>17</v>
      </c>
    </row>
    <row r="1554" spans="1:8" x14ac:dyDescent="0.45">
      <c r="A1554">
        <v>7748</v>
      </c>
      <c r="B1554">
        <v>43848</v>
      </c>
      <c r="C1554">
        <v>62</v>
      </c>
      <c r="D1554">
        <v>1418.87</v>
      </c>
      <c r="E1554" t="s">
        <v>8</v>
      </c>
      <c r="F1554" t="s">
        <v>1010</v>
      </c>
      <c r="G1554" t="s">
        <v>23</v>
      </c>
      <c r="H1554" t="s">
        <v>17</v>
      </c>
    </row>
    <row r="1555" spans="1:8" x14ac:dyDescent="0.45">
      <c r="A1555">
        <v>7749</v>
      </c>
      <c r="B1555">
        <v>44023</v>
      </c>
      <c r="C1555">
        <v>20</v>
      </c>
      <c r="D1555">
        <v>162.49</v>
      </c>
      <c r="E1555" t="s">
        <v>464</v>
      </c>
      <c r="F1555" t="s">
        <v>1011</v>
      </c>
      <c r="G1555" t="s">
        <v>13</v>
      </c>
      <c r="H1555" t="s">
        <v>11</v>
      </c>
    </row>
    <row r="1556" spans="1:8" x14ac:dyDescent="0.45">
      <c r="A1556">
        <v>7750</v>
      </c>
      <c r="B1556">
        <v>43894</v>
      </c>
      <c r="C1556">
        <v>43</v>
      </c>
      <c r="D1556">
        <v>684.7</v>
      </c>
      <c r="E1556" t="s">
        <v>8</v>
      </c>
      <c r="F1556" t="s">
        <v>1012</v>
      </c>
      <c r="G1556" t="s">
        <v>10</v>
      </c>
      <c r="H1556" t="s">
        <v>11</v>
      </c>
    </row>
    <row r="1557" spans="1:8" x14ac:dyDescent="0.45">
      <c r="A1557">
        <v>7751</v>
      </c>
      <c r="B1557">
        <v>44167</v>
      </c>
      <c r="C1557">
        <v>39</v>
      </c>
      <c r="D1557">
        <v>186.21</v>
      </c>
      <c r="E1557" t="s">
        <v>464</v>
      </c>
      <c r="F1557" t="s">
        <v>1013</v>
      </c>
      <c r="G1557" t="s">
        <v>23</v>
      </c>
      <c r="H1557" t="s">
        <v>17</v>
      </c>
    </row>
    <row r="1558" spans="1:8" x14ac:dyDescent="0.45">
      <c r="A1558">
        <v>7752</v>
      </c>
      <c r="B1558">
        <v>44008</v>
      </c>
      <c r="C1558">
        <v>81</v>
      </c>
      <c r="D1558">
        <v>955.4</v>
      </c>
      <c r="E1558" t="s">
        <v>8</v>
      </c>
      <c r="F1558" t="s">
        <v>579</v>
      </c>
      <c r="G1558" t="s">
        <v>23</v>
      </c>
      <c r="H1558" t="s">
        <v>11</v>
      </c>
    </row>
    <row r="1559" spans="1:8" x14ac:dyDescent="0.45">
      <c r="A1559">
        <v>7753</v>
      </c>
      <c r="B1559">
        <v>44061</v>
      </c>
      <c r="C1559">
        <v>11</v>
      </c>
      <c r="D1559">
        <v>697.78</v>
      </c>
      <c r="E1559" t="s">
        <v>8</v>
      </c>
      <c r="F1559" t="s">
        <v>1014</v>
      </c>
      <c r="G1559" t="s">
        <v>10</v>
      </c>
      <c r="H1559" t="s">
        <v>11</v>
      </c>
    </row>
    <row r="1560" spans="1:8" x14ac:dyDescent="0.45">
      <c r="A1560">
        <v>7754</v>
      </c>
      <c r="B1560">
        <v>44013</v>
      </c>
      <c r="C1560">
        <v>99</v>
      </c>
      <c r="D1560">
        <v>1097.71</v>
      </c>
      <c r="E1560" t="s">
        <v>8</v>
      </c>
      <c r="F1560" t="s">
        <v>1015</v>
      </c>
      <c r="G1560" t="s">
        <v>10</v>
      </c>
      <c r="H1560" t="s">
        <v>17</v>
      </c>
    </row>
    <row r="1561" spans="1:8" x14ac:dyDescent="0.45">
      <c r="A1561">
        <v>7755</v>
      </c>
      <c r="B1561">
        <v>43846</v>
      </c>
      <c r="C1561">
        <v>22</v>
      </c>
      <c r="D1561">
        <v>826.84</v>
      </c>
      <c r="E1561" t="s">
        <v>25</v>
      </c>
      <c r="F1561" t="s">
        <v>1016</v>
      </c>
      <c r="G1561" t="s">
        <v>10</v>
      </c>
      <c r="H1561" t="s">
        <v>17</v>
      </c>
    </row>
    <row r="1562" spans="1:8" x14ac:dyDescent="0.45">
      <c r="A1562">
        <v>7756</v>
      </c>
      <c r="B1562">
        <v>43870</v>
      </c>
      <c r="C1562">
        <v>9</v>
      </c>
      <c r="D1562">
        <v>129.80000000000001</v>
      </c>
      <c r="E1562" t="s">
        <v>8</v>
      </c>
      <c r="F1562" t="s">
        <v>1017</v>
      </c>
      <c r="G1562" t="s">
        <v>23</v>
      </c>
      <c r="H1562" t="s">
        <v>15</v>
      </c>
    </row>
    <row r="1563" spans="1:8" x14ac:dyDescent="0.45">
      <c r="A1563">
        <v>7757</v>
      </c>
      <c r="B1563">
        <v>44102</v>
      </c>
      <c r="C1563">
        <v>30</v>
      </c>
      <c r="D1563">
        <v>898.05</v>
      </c>
      <c r="E1563" t="s">
        <v>8</v>
      </c>
      <c r="F1563" t="s">
        <v>1018</v>
      </c>
      <c r="G1563" t="s">
        <v>13</v>
      </c>
      <c r="H1563" t="s">
        <v>11</v>
      </c>
    </row>
    <row r="1564" spans="1:8" x14ac:dyDescent="0.45">
      <c r="A1564">
        <v>7758</v>
      </c>
      <c r="B1564">
        <v>44163</v>
      </c>
      <c r="C1564">
        <v>82</v>
      </c>
      <c r="D1564">
        <v>1039.68</v>
      </c>
      <c r="E1564" t="s">
        <v>25</v>
      </c>
      <c r="F1564" t="s">
        <v>1019</v>
      </c>
      <c r="G1564" t="s">
        <v>20</v>
      </c>
      <c r="H1564" t="s">
        <v>11</v>
      </c>
    </row>
    <row r="1565" spans="1:8" x14ac:dyDescent="0.45">
      <c r="A1565">
        <v>7759</v>
      </c>
      <c r="B1565">
        <v>44026</v>
      </c>
      <c r="C1565">
        <v>27</v>
      </c>
      <c r="D1565">
        <v>1392.17</v>
      </c>
      <c r="E1565" t="s">
        <v>464</v>
      </c>
      <c r="F1565" t="s">
        <v>1020</v>
      </c>
      <c r="G1565" t="s">
        <v>20</v>
      </c>
      <c r="H1565" t="s">
        <v>15</v>
      </c>
    </row>
    <row r="1566" spans="1:8" x14ac:dyDescent="0.45">
      <c r="A1566">
        <v>7760</v>
      </c>
      <c r="B1566">
        <v>43937</v>
      </c>
      <c r="C1566">
        <v>34</v>
      </c>
      <c r="D1566">
        <v>105.91</v>
      </c>
      <c r="E1566" t="s">
        <v>464</v>
      </c>
      <c r="F1566" t="s">
        <v>1021</v>
      </c>
      <c r="G1566" t="s">
        <v>23</v>
      </c>
      <c r="H1566" t="s">
        <v>15</v>
      </c>
    </row>
    <row r="1567" spans="1:8" x14ac:dyDescent="0.45">
      <c r="A1567">
        <v>7761</v>
      </c>
      <c r="B1567">
        <v>44126</v>
      </c>
      <c r="C1567">
        <v>36</v>
      </c>
      <c r="D1567">
        <v>211.42</v>
      </c>
      <c r="E1567" t="s">
        <v>25</v>
      </c>
      <c r="F1567" t="s">
        <v>1022</v>
      </c>
      <c r="G1567" t="s">
        <v>13</v>
      </c>
      <c r="H1567" t="s">
        <v>15</v>
      </c>
    </row>
    <row r="1568" spans="1:8" x14ac:dyDescent="0.45">
      <c r="A1568">
        <v>7762</v>
      </c>
      <c r="B1568">
        <v>44007</v>
      </c>
      <c r="C1568">
        <v>40</v>
      </c>
      <c r="D1568">
        <v>577.54999999999995</v>
      </c>
      <c r="E1568" t="s">
        <v>8</v>
      </c>
      <c r="F1568" t="s">
        <v>1023</v>
      </c>
      <c r="G1568" t="s">
        <v>23</v>
      </c>
      <c r="H1568" t="s">
        <v>15</v>
      </c>
    </row>
    <row r="1569" spans="1:8" x14ac:dyDescent="0.45">
      <c r="A1569">
        <v>7763</v>
      </c>
      <c r="B1569">
        <v>44197</v>
      </c>
      <c r="C1569">
        <v>45</v>
      </c>
      <c r="D1569">
        <v>915.15</v>
      </c>
      <c r="E1569" t="s">
        <v>464</v>
      </c>
      <c r="F1569" t="s">
        <v>1024</v>
      </c>
      <c r="G1569" t="s">
        <v>10</v>
      </c>
      <c r="H1569" t="s">
        <v>17</v>
      </c>
    </row>
    <row r="1570" spans="1:8" x14ac:dyDescent="0.45">
      <c r="A1570">
        <v>7764</v>
      </c>
      <c r="B1570">
        <v>43873</v>
      </c>
      <c r="C1570">
        <v>22</v>
      </c>
      <c r="D1570">
        <v>1260.8499999999999</v>
      </c>
      <c r="E1570" t="s">
        <v>25</v>
      </c>
      <c r="F1570" t="s">
        <v>1025</v>
      </c>
      <c r="G1570" t="s">
        <v>10</v>
      </c>
      <c r="H1570" t="s">
        <v>15</v>
      </c>
    </row>
    <row r="1571" spans="1:8" x14ac:dyDescent="0.45">
      <c r="A1571">
        <v>7765</v>
      </c>
      <c r="B1571">
        <v>43992</v>
      </c>
      <c r="C1571">
        <v>81</v>
      </c>
      <c r="D1571">
        <v>1166.81</v>
      </c>
      <c r="E1571" t="s">
        <v>25</v>
      </c>
      <c r="F1571" t="s">
        <v>1026</v>
      </c>
      <c r="G1571" t="s">
        <v>10</v>
      </c>
      <c r="H1571" t="s">
        <v>17</v>
      </c>
    </row>
    <row r="1572" spans="1:8" x14ac:dyDescent="0.45">
      <c r="A1572">
        <v>7766</v>
      </c>
      <c r="B1572">
        <v>43869</v>
      </c>
      <c r="C1572">
        <v>43</v>
      </c>
      <c r="D1572">
        <v>422.17</v>
      </c>
      <c r="E1572" t="s">
        <v>464</v>
      </c>
      <c r="F1572" t="s">
        <v>1027</v>
      </c>
      <c r="G1572" t="s">
        <v>23</v>
      </c>
      <c r="H1572" t="s">
        <v>15</v>
      </c>
    </row>
    <row r="1573" spans="1:8" x14ac:dyDescent="0.45">
      <c r="A1573">
        <v>7767</v>
      </c>
      <c r="B1573">
        <v>43909</v>
      </c>
      <c r="C1573">
        <v>100</v>
      </c>
      <c r="D1573">
        <v>1171.43</v>
      </c>
      <c r="E1573" t="s">
        <v>8</v>
      </c>
      <c r="F1573" t="s">
        <v>1028</v>
      </c>
      <c r="G1573" t="s">
        <v>10</v>
      </c>
      <c r="H1573" t="s">
        <v>15</v>
      </c>
    </row>
    <row r="1574" spans="1:8" x14ac:dyDescent="0.45">
      <c r="A1574">
        <v>7768</v>
      </c>
      <c r="B1574">
        <v>44007</v>
      </c>
      <c r="C1574">
        <v>94</v>
      </c>
      <c r="D1574">
        <v>1209.4100000000001</v>
      </c>
      <c r="E1574" t="s">
        <v>8</v>
      </c>
      <c r="F1574" t="s">
        <v>1029</v>
      </c>
      <c r="G1574" t="s">
        <v>13</v>
      </c>
      <c r="H1574" t="s">
        <v>15</v>
      </c>
    </row>
    <row r="1575" spans="1:8" x14ac:dyDescent="0.45">
      <c r="A1575">
        <v>7769</v>
      </c>
      <c r="B1575">
        <v>43970</v>
      </c>
      <c r="C1575">
        <v>7</v>
      </c>
      <c r="D1575">
        <v>908.59</v>
      </c>
      <c r="E1575" t="s">
        <v>8</v>
      </c>
      <c r="F1575" t="s">
        <v>1030</v>
      </c>
      <c r="G1575" t="s">
        <v>10</v>
      </c>
      <c r="H1575" t="s">
        <v>15</v>
      </c>
    </row>
    <row r="1576" spans="1:8" x14ac:dyDescent="0.45">
      <c r="A1576">
        <v>7770</v>
      </c>
      <c r="B1576">
        <v>43894</v>
      </c>
      <c r="C1576">
        <v>19</v>
      </c>
      <c r="D1576">
        <v>1280.1500000000001</v>
      </c>
      <c r="E1576" t="s">
        <v>25</v>
      </c>
      <c r="F1576" t="s">
        <v>1031</v>
      </c>
      <c r="G1576" t="s">
        <v>23</v>
      </c>
      <c r="H1576" t="s">
        <v>11</v>
      </c>
    </row>
    <row r="1577" spans="1:8" x14ac:dyDescent="0.45">
      <c r="A1577">
        <v>7771</v>
      </c>
      <c r="B1577">
        <v>43877</v>
      </c>
      <c r="C1577">
        <v>68</v>
      </c>
      <c r="D1577">
        <v>1174.98</v>
      </c>
      <c r="E1577" t="s">
        <v>464</v>
      </c>
      <c r="F1577" t="s">
        <v>1032</v>
      </c>
      <c r="G1577" t="s">
        <v>13</v>
      </c>
      <c r="H1577" t="s">
        <v>17</v>
      </c>
    </row>
    <row r="1578" spans="1:8" x14ac:dyDescent="0.45">
      <c r="A1578">
        <v>7772</v>
      </c>
      <c r="B1578">
        <v>44015</v>
      </c>
      <c r="C1578">
        <v>1</v>
      </c>
      <c r="D1578">
        <v>793.88</v>
      </c>
      <c r="E1578" t="s">
        <v>25</v>
      </c>
      <c r="F1578" t="s">
        <v>1033</v>
      </c>
      <c r="G1578" t="s">
        <v>10</v>
      </c>
      <c r="H1578" t="s">
        <v>17</v>
      </c>
    </row>
    <row r="1579" spans="1:8" x14ac:dyDescent="0.45">
      <c r="A1579">
        <v>7773</v>
      </c>
      <c r="B1579">
        <v>43945</v>
      </c>
      <c r="C1579">
        <v>46</v>
      </c>
      <c r="D1579">
        <v>222.99</v>
      </c>
      <c r="E1579" t="s">
        <v>464</v>
      </c>
      <c r="F1579" t="s">
        <v>1034</v>
      </c>
      <c r="G1579" t="s">
        <v>10</v>
      </c>
      <c r="H1579" t="s">
        <v>11</v>
      </c>
    </row>
    <row r="1580" spans="1:8" x14ac:dyDescent="0.45">
      <c r="A1580">
        <v>7774</v>
      </c>
      <c r="B1580">
        <v>44134</v>
      </c>
      <c r="C1580">
        <v>95</v>
      </c>
      <c r="D1580">
        <v>273.01</v>
      </c>
      <c r="E1580" t="s">
        <v>25</v>
      </c>
      <c r="F1580" t="s">
        <v>1035</v>
      </c>
      <c r="G1580" t="s">
        <v>10</v>
      </c>
      <c r="H1580" t="s">
        <v>15</v>
      </c>
    </row>
    <row r="1581" spans="1:8" x14ac:dyDescent="0.45">
      <c r="A1581">
        <v>7775</v>
      </c>
      <c r="B1581">
        <v>44070</v>
      </c>
      <c r="C1581">
        <v>16</v>
      </c>
      <c r="D1581">
        <v>1220.51</v>
      </c>
      <c r="E1581" t="s">
        <v>464</v>
      </c>
      <c r="F1581" t="s">
        <v>1036</v>
      </c>
      <c r="G1581" t="s">
        <v>10</v>
      </c>
      <c r="H1581" t="s">
        <v>17</v>
      </c>
    </row>
    <row r="1582" spans="1:8" x14ac:dyDescent="0.45">
      <c r="A1582">
        <v>7776</v>
      </c>
      <c r="B1582">
        <v>43848</v>
      </c>
      <c r="C1582">
        <v>66</v>
      </c>
      <c r="D1582">
        <v>900.56</v>
      </c>
      <c r="E1582" t="s">
        <v>25</v>
      </c>
      <c r="F1582" t="s">
        <v>1037</v>
      </c>
      <c r="G1582" t="s">
        <v>23</v>
      </c>
      <c r="H1582" t="s">
        <v>17</v>
      </c>
    </row>
    <row r="1583" spans="1:8" x14ac:dyDescent="0.45">
      <c r="A1583">
        <v>7777</v>
      </c>
      <c r="B1583">
        <v>44184</v>
      </c>
      <c r="C1583">
        <v>8</v>
      </c>
      <c r="D1583">
        <v>181.22</v>
      </c>
      <c r="E1583" t="s">
        <v>464</v>
      </c>
      <c r="F1583" t="s">
        <v>1038</v>
      </c>
      <c r="G1583" t="s">
        <v>23</v>
      </c>
      <c r="H1583" t="s">
        <v>15</v>
      </c>
    </row>
    <row r="1584" spans="1:8" x14ac:dyDescent="0.45">
      <c r="A1584">
        <v>7778</v>
      </c>
      <c r="B1584">
        <v>43896</v>
      </c>
      <c r="C1584">
        <v>75</v>
      </c>
      <c r="D1584">
        <v>766.46</v>
      </c>
      <c r="E1584" t="s">
        <v>464</v>
      </c>
      <c r="F1584" t="s">
        <v>789</v>
      </c>
      <c r="G1584" t="s">
        <v>10</v>
      </c>
      <c r="H1584" t="s">
        <v>11</v>
      </c>
    </row>
    <row r="1585" spans="1:8" x14ac:dyDescent="0.45">
      <c r="A1585">
        <v>7779</v>
      </c>
      <c r="B1585">
        <v>44131</v>
      </c>
      <c r="C1585">
        <v>52</v>
      </c>
      <c r="D1585">
        <v>496.63</v>
      </c>
      <c r="E1585" t="s">
        <v>25</v>
      </c>
      <c r="F1585" t="s">
        <v>1039</v>
      </c>
      <c r="G1585" t="s">
        <v>20</v>
      </c>
      <c r="H1585" t="s">
        <v>11</v>
      </c>
    </row>
    <row r="1586" spans="1:8" x14ac:dyDescent="0.45">
      <c r="A1586">
        <v>7780</v>
      </c>
      <c r="B1586">
        <v>43895</v>
      </c>
      <c r="C1586">
        <v>62</v>
      </c>
      <c r="D1586">
        <v>685.42</v>
      </c>
      <c r="E1586" t="s">
        <v>25</v>
      </c>
      <c r="F1586" t="s">
        <v>1040</v>
      </c>
      <c r="G1586" t="s">
        <v>13</v>
      </c>
      <c r="H1586" t="s">
        <v>11</v>
      </c>
    </row>
    <row r="1587" spans="1:8" x14ac:dyDescent="0.45">
      <c r="A1587">
        <v>7781</v>
      </c>
      <c r="B1587">
        <v>43958</v>
      </c>
      <c r="C1587">
        <v>37</v>
      </c>
      <c r="D1587">
        <v>1463.17</v>
      </c>
      <c r="E1587" t="s">
        <v>464</v>
      </c>
      <c r="F1587" t="s">
        <v>1041</v>
      </c>
      <c r="G1587" t="s">
        <v>20</v>
      </c>
      <c r="H1587" t="s">
        <v>11</v>
      </c>
    </row>
    <row r="1588" spans="1:8" x14ac:dyDescent="0.45">
      <c r="A1588">
        <v>7782</v>
      </c>
      <c r="B1588">
        <v>44078</v>
      </c>
      <c r="C1588">
        <v>99</v>
      </c>
      <c r="D1588">
        <v>1349.49</v>
      </c>
      <c r="E1588" t="s">
        <v>8</v>
      </c>
      <c r="F1588" t="s">
        <v>1042</v>
      </c>
      <c r="G1588" t="s">
        <v>20</v>
      </c>
      <c r="H1588" t="s">
        <v>15</v>
      </c>
    </row>
    <row r="1589" spans="1:8" x14ac:dyDescent="0.45">
      <c r="A1589">
        <v>7783</v>
      </c>
      <c r="B1589">
        <v>43984</v>
      </c>
      <c r="C1589">
        <v>50</v>
      </c>
      <c r="D1589">
        <v>544.09</v>
      </c>
      <c r="E1589" t="s">
        <v>25</v>
      </c>
      <c r="F1589" t="s">
        <v>813</v>
      </c>
      <c r="G1589" t="s">
        <v>23</v>
      </c>
      <c r="H1589" t="s">
        <v>15</v>
      </c>
    </row>
    <row r="1590" spans="1:8" x14ac:dyDescent="0.45">
      <c r="A1590">
        <v>7784</v>
      </c>
      <c r="B1590">
        <v>44199</v>
      </c>
      <c r="C1590">
        <v>14</v>
      </c>
      <c r="D1590">
        <v>921.9</v>
      </c>
      <c r="E1590" t="s">
        <v>8</v>
      </c>
      <c r="F1590" t="s">
        <v>1043</v>
      </c>
      <c r="G1590" t="s">
        <v>13</v>
      </c>
      <c r="H1590" t="s">
        <v>11</v>
      </c>
    </row>
    <row r="1591" spans="1:8" x14ac:dyDescent="0.45">
      <c r="A1591">
        <v>7785</v>
      </c>
      <c r="B1591">
        <v>43967</v>
      </c>
      <c r="C1591">
        <v>23</v>
      </c>
      <c r="D1591">
        <v>354.32</v>
      </c>
      <c r="E1591" t="s">
        <v>464</v>
      </c>
      <c r="F1591" t="s">
        <v>1044</v>
      </c>
      <c r="G1591" t="s">
        <v>13</v>
      </c>
      <c r="H1591" t="s">
        <v>11</v>
      </c>
    </row>
    <row r="1592" spans="1:8" x14ac:dyDescent="0.45">
      <c r="A1592">
        <v>7786</v>
      </c>
      <c r="B1592">
        <v>43919</v>
      </c>
      <c r="C1592">
        <v>7</v>
      </c>
      <c r="D1592">
        <v>552.71</v>
      </c>
      <c r="E1592" t="s">
        <v>25</v>
      </c>
      <c r="F1592" t="s">
        <v>1045</v>
      </c>
      <c r="G1592" t="s">
        <v>23</v>
      </c>
      <c r="H1592" t="s">
        <v>15</v>
      </c>
    </row>
    <row r="1593" spans="1:8" x14ac:dyDescent="0.45">
      <c r="A1593">
        <v>7787</v>
      </c>
      <c r="B1593">
        <v>44091</v>
      </c>
      <c r="C1593">
        <v>88</v>
      </c>
      <c r="D1593">
        <v>597.03</v>
      </c>
      <c r="E1593" t="s">
        <v>8</v>
      </c>
      <c r="F1593" t="s">
        <v>1046</v>
      </c>
      <c r="G1593" t="s">
        <v>23</v>
      </c>
      <c r="H1593" t="s">
        <v>15</v>
      </c>
    </row>
    <row r="1594" spans="1:8" x14ac:dyDescent="0.45">
      <c r="A1594">
        <v>7788</v>
      </c>
      <c r="B1594">
        <v>43983</v>
      </c>
      <c r="C1594">
        <v>70</v>
      </c>
      <c r="D1594">
        <v>1273.0999999999999</v>
      </c>
      <c r="E1594" t="s">
        <v>464</v>
      </c>
      <c r="F1594" t="s">
        <v>1047</v>
      </c>
      <c r="G1594" t="s">
        <v>20</v>
      </c>
      <c r="H1594" t="s">
        <v>15</v>
      </c>
    </row>
    <row r="1595" spans="1:8" x14ac:dyDescent="0.45">
      <c r="A1595">
        <v>7789</v>
      </c>
      <c r="B1595">
        <v>43976</v>
      </c>
      <c r="C1595">
        <v>69</v>
      </c>
      <c r="D1595">
        <v>329.26</v>
      </c>
      <c r="E1595" t="s">
        <v>25</v>
      </c>
      <c r="F1595" t="s">
        <v>1048</v>
      </c>
      <c r="G1595" t="s">
        <v>20</v>
      </c>
      <c r="H1595" t="s">
        <v>11</v>
      </c>
    </row>
    <row r="1596" spans="1:8" x14ac:dyDescent="0.45">
      <c r="A1596">
        <v>7790</v>
      </c>
      <c r="B1596">
        <v>44148</v>
      </c>
      <c r="C1596">
        <v>17</v>
      </c>
      <c r="D1596">
        <v>700.96</v>
      </c>
      <c r="E1596" t="s">
        <v>8</v>
      </c>
      <c r="F1596" t="s">
        <v>1049</v>
      </c>
      <c r="G1596" t="s">
        <v>23</v>
      </c>
      <c r="H1596" t="s">
        <v>17</v>
      </c>
    </row>
    <row r="1597" spans="1:8" x14ac:dyDescent="0.45">
      <c r="A1597">
        <v>7791</v>
      </c>
      <c r="B1597">
        <v>44082</v>
      </c>
      <c r="C1597">
        <v>51</v>
      </c>
      <c r="D1597">
        <v>958.62</v>
      </c>
      <c r="E1597" t="s">
        <v>8</v>
      </c>
      <c r="F1597" t="s">
        <v>1050</v>
      </c>
      <c r="G1597" t="s">
        <v>10</v>
      </c>
      <c r="H1597" t="s">
        <v>15</v>
      </c>
    </row>
    <row r="1598" spans="1:8" x14ac:dyDescent="0.45">
      <c r="A1598">
        <v>7792</v>
      </c>
      <c r="B1598">
        <v>43882</v>
      </c>
      <c r="C1598">
        <v>27</v>
      </c>
      <c r="D1598">
        <v>52.44</v>
      </c>
      <c r="E1598" t="s">
        <v>464</v>
      </c>
      <c r="F1598" t="s">
        <v>1051</v>
      </c>
      <c r="G1598" t="s">
        <v>20</v>
      </c>
      <c r="H1598" t="s">
        <v>11</v>
      </c>
    </row>
    <row r="1599" spans="1:8" x14ac:dyDescent="0.45">
      <c r="A1599">
        <v>7793</v>
      </c>
      <c r="B1599">
        <v>43965</v>
      </c>
      <c r="C1599">
        <v>58</v>
      </c>
      <c r="D1599">
        <v>106.04</v>
      </c>
      <c r="E1599" t="s">
        <v>8</v>
      </c>
      <c r="F1599" t="s">
        <v>1052</v>
      </c>
      <c r="G1599" t="s">
        <v>20</v>
      </c>
      <c r="H1599" t="s">
        <v>15</v>
      </c>
    </row>
    <row r="1600" spans="1:8" x14ac:dyDescent="0.45">
      <c r="A1600">
        <v>7794</v>
      </c>
      <c r="B1600">
        <v>44002</v>
      </c>
      <c r="C1600">
        <v>92</v>
      </c>
      <c r="D1600">
        <v>458.73</v>
      </c>
      <c r="E1600" t="s">
        <v>25</v>
      </c>
      <c r="F1600" t="s">
        <v>1053</v>
      </c>
      <c r="G1600" t="s">
        <v>23</v>
      </c>
      <c r="H1600" t="s">
        <v>11</v>
      </c>
    </row>
    <row r="1601" spans="1:8" x14ac:dyDescent="0.45">
      <c r="A1601">
        <v>7795</v>
      </c>
      <c r="B1601">
        <v>43878</v>
      </c>
      <c r="C1601">
        <v>26</v>
      </c>
      <c r="D1601">
        <v>617.33000000000004</v>
      </c>
      <c r="E1601" t="s">
        <v>464</v>
      </c>
      <c r="F1601" t="s">
        <v>1054</v>
      </c>
      <c r="G1601" t="s">
        <v>10</v>
      </c>
      <c r="H1601" t="s">
        <v>17</v>
      </c>
    </row>
    <row r="1602" spans="1:8" x14ac:dyDescent="0.45">
      <c r="A1602">
        <v>7796</v>
      </c>
      <c r="B1602">
        <v>44137</v>
      </c>
      <c r="C1602">
        <v>64</v>
      </c>
      <c r="D1602">
        <v>193.95</v>
      </c>
      <c r="E1602" t="s">
        <v>8</v>
      </c>
      <c r="F1602" t="s">
        <v>1055</v>
      </c>
      <c r="G1602" t="s">
        <v>23</v>
      </c>
      <c r="H1602" t="s">
        <v>15</v>
      </c>
    </row>
    <row r="1603" spans="1:8" x14ac:dyDescent="0.45">
      <c r="A1603">
        <v>7797</v>
      </c>
      <c r="B1603">
        <v>44049</v>
      </c>
      <c r="C1603">
        <v>19</v>
      </c>
      <c r="D1603">
        <v>628.38</v>
      </c>
      <c r="E1603" t="s">
        <v>25</v>
      </c>
      <c r="F1603" t="s">
        <v>1056</v>
      </c>
      <c r="G1603" t="s">
        <v>20</v>
      </c>
      <c r="H1603" t="s">
        <v>17</v>
      </c>
    </row>
    <row r="1604" spans="1:8" x14ac:dyDescent="0.45">
      <c r="A1604">
        <v>7798</v>
      </c>
      <c r="B1604">
        <v>44020</v>
      </c>
      <c r="C1604">
        <v>27</v>
      </c>
      <c r="D1604">
        <v>1287.58</v>
      </c>
      <c r="E1604" t="s">
        <v>464</v>
      </c>
      <c r="F1604" t="s">
        <v>1057</v>
      </c>
      <c r="G1604" t="s">
        <v>20</v>
      </c>
      <c r="H1604" t="s">
        <v>17</v>
      </c>
    </row>
    <row r="1605" spans="1:8" x14ac:dyDescent="0.45">
      <c r="A1605">
        <v>7799</v>
      </c>
      <c r="B1605">
        <v>43920</v>
      </c>
      <c r="C1605">
        <v>96</v>
      </c>
      <c r="D1605">
        <v>153.78</v>
      </c>
      <c r="E1605" t="s">
        <v>464</v>
      </c>
      <c r="F1605" t="s">
        <v>1058</v>
      </c>
      <c r="G1605" t="s">
        <v>23</v>
      </c>
      <c r="H1605" t="s">
        <v>15</v>
      </c>
    </row>
    <row r="1606" spans="1:8" x14ac:dyDescent="0.45">
      <c r="A1606">
        <v>7800</v>
      </c>
      <c r="B1606">
        <v>44158</v>
      </c>
      <c r="C1606">
        <v>3</v>
      </c>
      <c r="D1606">
        <v>271.74</v>
      </c>
      <c r="E1606" t="s">
        <v>8</v>
      </c>
      <c r="F1606" t="s">
        <v>1059</v>
      </c>
      <c r="G1606" t="s">
        <v>13</v>
      </c>
      <c r="H1606" t="s">
        <v>17</v>
      </c>
    </row>
    <row r="1607" spans="1:8" x14ac:dyDescent="0.45">
      <c r="A1607">
        <v>7801</v>
      </c>
      <c r="B1607">
        <v>44175</v>
      </c>
      <c r="C1607">
        <v>19</v>
      </c>
      <c r="D1607">
        <v>1068.8800000000001</v>
      </c>
      <c r="E1607" t="s">
        <v>464</v>
      </c>
      <c r="F1607" t="s">
        <v>1060</v>
      </c>
      <c r="G1607" t="s">
        <v>23</v>
      </c>
      <c r="H1607" t="s">
        <v>17</v>
      </c>
    </row>
    <row r="1608" spans="1:8" x14ac:dyDescent="0.45">
      <c r="A1608">
        <v>7802</v>
      </c>
      <c r="B1608">
        <v>43929</v>
      </c>
      <c r="C1608">
        <v>88</v>
      </c>
      <c r="D1608">
        <v>1074.73</v>
      </c>
      <c r="E1608" t="s">
        <v>25</v>
      </c>
      <c r="F1608" t="s">
        <v>1061</v>
      </c>
      <c r="G1608" t="s">
        <v>13</v>
      </c>
      <c r="H1608" t="s">
        <v>11</v>
      </c>
    </row>
    <row r="1609" spans="1:8" x14ac:dyDescent="0.45">
      <c r="A1609">
        <v>7803</v>
      </c>
      <c r="B1609">
        <v>43932</v>
      </c>
      <c r="C1609">
        <v>99</v>
      </c>
      <c r="D1609">
        <v>1324.68</v>
      </c>
      <c r="E1609" t="s">
        <v>464</v>
      </c>
      <c r="F1609" t="s">
        <v>1062</v>
      </c>
      <c r="G1609" t="s">
        <v>13</v>
      </c>
      <c r="H1609" t="s">
        <v>15</v>
      </c>
    </row>
    <row r="1610" spans="1:8" x14ac:dyDescent="0.45">
      <c r="A1610">
        <v>7804</v>
      </c>
      <c r="B1610">
        <v>44181</v>
      </c>
      <c r="C1610">
        <v>2</v>
      </c>
      <c r="D1610">
        <v>1260.94</v>
      </c>
      <c r="E1610" t="s">
        <v>464</v>
      </c>
      <c r="F1610" t="s">
        <v>1063</v>
      </c>
      <c r="G1610" t="s">
        <v>10</v>
      </c>
      <c r="H1610" t="s">
        <v>15</v>
      </c>
    </row>
    <row r="1611" spans="1:8" x14ac:dyDescent="0.45">
      <c r="A1611">
        <v>7805</v>
      </c>
      <c r="B1611">
        <v>44071</v>
      </c>
      <c r="C1611">
        <v>70</v>
      </c>
      <c r="D1611">
        <v>416.65</v>
      </c>
      <c r="E1611" t="s">
        <v>8</v>
      </c>
      <c r="F1611" t="s">
        <v>1064</v>
      </c>
      <c r="G1611" t="s">
        <v>20</v>
      </c>
      <c r="H1611" t="s">
        <v>15</v>
      </c>
    </row>
    <row r="1612" spans="1:8" x14ac:dyDescent="0.45">
      <c r="A1612">
        <v>7806</v>
      </c>
      <c r="B1612">
        <v>44194</v>
      </c>
      <c r="C1612">
        <v>3</v>
      </c>
      <c r="D1612">
        <v>251.62</v>
      </c>
      <c r="E1612" t="s">
        <v>464</v>
      </c>
      <c r="F1612" t="s">
        <v>1065</v>
      </c>
      <c r="G1612" t="s">
        <v>23</v>
      </c>
      <c r="H1612" t="s">
        <v>15</v>
      </c>
    </row>
    <row r="1613" spans="1:8" x14ac:dyDescent="0.45">
      <c r="A1613">
        <v>7807</v>
      </c>
      <c r="B1613">
        <v>44031</v>
      </c>
      <c r="C1613">
        <v>81</v>
      </c>
      <c r="D1613">
        <v>1314.4</v>
      </c>
      <c r="E1613" t="s">
        <v>464</v>
      </c>
      <c r="F1613" t="s">
        <v>1066</v>
      </c>
      <c r="G1613" t="s">
        <v>23</v>
      </c>
      <c r="H1613" t="s">
        <v>11</v>
      </c>
    </row>
    <row r="1614" spans="1:8" x14ac:dyDescent="0.45">
      <c r="A1614">
        <v>7808</v>
      </c>
      <c r="B1614">
        <v>43941</v>
      </c>
      <c r="C1614">
        <v>97</v>
      </c>
      <c r="D1614">
        <v>137.49</v>
      </c>
      <c r="E1614" t="s">
        <v>464</v>
      </c>
      <c r="F1614" t="s">
        <v>1067</v>
      </c>
      <c r="G1614" t="s">
        <v>13</v>
      </c>
      <c r="H1614" t="s">
        <v>15</v>
      </c>
    </row>
    <row r="1615" spans="1:8" x14ac:dyDescent="0.45">
      <c r="A1615">
        <v>7809</v>
      </c>
      <c r="B1615">
        <v>44194</v>
      </c>
      <c r="C1615">
        <v>80</v>
      </c>
      <c r="D1615">
        <v>724.51</v>
      </c>
      <c r="E1615" t="s">
        <v>25</v>
      </c>
      <c r="F1615" t="s">
        <v>1068</v>
      </c>
      <c r="G1615" t="s">
        <v>10</v>
      </c>
      <c r="H1615" t="s">
        <v>11</v>
      </c>
    </row>
    <row r="1616" spans="1:8" x14ac:dyDescent="0.45">
      <c r="A1616">
        <v>7810</v>
      </c>
      <c r="B1616">
        <v>44050</v>
      </c>
      <c r="C1616">
        <v>28</v>
      </c>
      <c r="D1616">
        <v>937.45</v>
      </c>
      <c r="E1616" t="s">
        <v>8</v>
      </c>
      <c r="F1616" t="s">
        <v>1069</v>
      </c>
      <c r="G1616" t="s">
        <v>20</v>
      </c>
      <c r="H1616" t="s">
        <v>17</v>
      </c>
    </row>
    <row r="1617" spans="1:8" x14ac:dyDescent="0.45">
      <c r="A1617">
        <v>7811</v>
      </c>
      <c r="B1617">
        <v>44106</v>
      </c>
      <c r="C1617">
        <v>78</v>
      </c>
      <c r="D1617">
        <v>125.03</v>
      </c>
      <c r="E1617" t="s">
        <v>25</v>
      </c>
      <c r="F1617" t="s">
        <v>1070</v>
      </c>
      <c r="G1617" t="s">
        <v>20</v>
      </c>
      <c r="H1617" t="s">
        <v>15</v>
      </c>
    </row>
    <row r="1618" spans="1:8" x14ac:dyDescent="0.45">
      <c r="A1618">
        <v>7812</v>
      </c>
      <c r="B1618">
        <v>43994</v>
      </c>
      <c r="C1618">
        <v>16</v>
      </c>
      <c r="D1618">
        <v>1097.06</v>
      </c>
      <c r="E1618" t="s">
        <v>25</v>
      </c>
      <c r="F1618" t="s">
        <v>1071</v>
      </c>
      <c r="G1618" t="s">
        <v>13</v>
      </c>
      <c r="H1618" t="s">
        <v>15</v>
      </c>
    </row>
    <row r="1619" spans="1:8" x14ac:dyDescent="0.45">
      <c r="A1619">
        <v>7813</v>
      </c>
      <c r="B1619">
        <v>43889</v>
      </c>
      <c r="C1619">
        <v>27</v>
      </c>
      <c r="D1619">
        <v>440.91</v>
      </c>
      <c r="E1619" t="s">
        <v>464</v>
      </c>
      <c r="F1619" t="s">
        <v>1072</v>
      </c>
      <c r="G1619" t="s">
        <v>10</v>
      </c>
      <c r="H1619" t="s">
        <v>15</v>
      </c>
    </row>
    <row r="1620" spans="1:8" x14ac:dyDescent="0.45">
      <c r="A1620">
        <v>7814</v>
      </c>
      <c r="B1620">
        <v>44114</v>
      </c>
      <c r="C1620">
        <v>92</v>
      </c>
      <c r="D1620">
        <v>633.91999999999996</v>
      </c>
      <c r="E1620" t="s">
        <v>464</v>
      </c>
      <c r="F1620" t="s">
        <v>1073</v>
      </c>
      <c r="G1620" t="s">
        <v>23</v>
      </c>
      <c r="H1620" t="s">
        <v>17</v>
      </c>
    </row>
    <row r="1621" spans="1:8" x14ac:dyDescent="0.45">
      <c r="A1621">
        <v>7815</v>
      </c>
      <c r="B1621">
        <v>43948</v>
      </c>
      <c r="C1621">
        <v>41</v>
      </c>
      <c r="D1621">
        <v>974.81</v>
      </c>
      <c r="E1621" t="s">
        <v>464</v>
      </c>
      <c r="F1621" t="s">
        <v>1074</v>
      </c>
      <c r="G1621" t="s">
        <v>13</v>
      </c>
      <c r="H1621" t="s">
        <v>17</v>
      </c>
    </row>
    <row r="1622" spans="1:8" x14ac:dyDescent="0.45">
      <c r="A1622">
        <v>7816</v>
      </c>
      <c r="B1622">
        <v>44124</v>
      </c>
      <c r="C1622">
        <v>92</v>
      </c>
      <c r="D1622">
        <v>682.59</v>
      </c>
      <c r="E1622" t="s">
        <v>8</v>
      </c>
      <c r="F1622" t="s">
        <v>1075</v>
      </c>
      <c r="G1622" t="s">
        <v>23</v>
      </c>
      <c r="H1622" t="s">
        <v>15</v>
      </c>
    </row>
    <row r="1623" spans="1:8" x14ac:dyDescent="0.45">
      <c r="A1623">
        <v>7817</v>
      </c>
      <c r="B1623">
        <v>43974</v>
      </c>
      <c r="C1623">
        <v>78</v>
      </c>
      <c r="D1623">
        <v>87.08</v>
      </c>
      <c r="E1623" t="s">
        <v>25</v>
      </c>
      <c r="F1623" t="s">
        <v>1076</v>
      </c>
      <c r="G1623" t="s">
        <v>20</v>
      </c>
      <c r="H1623" t="s">
        <v>15</v>
      </c>
    </row>
    <row r="1624" spans="1:8" x14ac:dyDescent="0.45">
      <c r="A1624">
        <v>7818</v>
      </c>
      <c r="B1624">
        <v>44049</v>
      </c>
      <c r="C1624">
        <v>2</v>
      </c>
      <c r="D1624">
        <v>427.89</v>
      </c>
      <c r="E1624" t="s">
        <v>8</v>
      </c>
      <c r="F1624" t="s">
        <v>1077</v>
      </c>
      <c r="G1624" t="s">
        <v>13</v>
      </c>
      <c r="H1624" t="s">
        <v>11</v>
      </c>
    </row>
    <row r="1625" spans="1:8" x14ac:dyDescent="0.45">
      <c r="A1625">
        <v>7819</v>
      </c>
      <c r="B1625">
        <v>43918</v>
      </c>
      <c r="C1625">
        <v>29</v>
      </c>
      <c r="D1625">
        <v>689.46</v>
      </c>
      <c r="E1625" t="s">
        <v>25</v>
      </c>
      <c r="F1625" t="s">
        <v>1078</v>
      </c>
      <c r="G1625" t="s">
        <v>10</v>
      </c>
      <c r="H1625" t="s">
        <v>17</v>
      </c>
    </row>
    <row r="1626" spans="1:8" x14ac:dyDescent="0.45">
      <c r="A1626">
        <v>7820</v>
      </c>
      <c r="B1626">
        <v>44039</v>
      </c>
      <c r="C1626">
        <v>31</v>
      </c>
      <c r="D1626">
        <v>1161.22</v>
      </c>
      <c r="E1626" t="s">
        <v>25</v>
      </c>
      <c r="F1626" t="s">
        <v>1079</v>
      </c>
      <c r="G1626" t="s">
        <v>10</v>
      </c>
      <c r="H1626" t="s">
        <v>15</v>
      </c>
    </row>
    <row r="1627" spans="1:8" x14ac:dyDescent="0.45">
      <c r="A1627">
        <v>7821</v>
      </c>
      <c r="B1627">
        <v>44022</v>
      </c>
      <c r="C1627">
        <v>49</v>
      </c>
      <c r="D1627">
        <v>1482.78</v>
      </c>
      <c r="E1627" t="s">
        <v>8</v>
      </c>
      <c r="F1627" t="s">
        <v>1080</v>
      </c>
      <c r="G1627" t="s">
        <v>20</v>
      </c>
      <c r="H1627" t="s">
        <v>17</v>
      </c>
    </row>
    <row r="1628" spans="1:8" x14ac:dyDescent="0.45">
      <c r="A1628">
        <v>7822</v>
      </c>
      <c r="B1628">
        <v>44175</v>
      </c>
      <c r="C1628">
        <v>6</v>
      </c>
      <c r="D1628">
        <v>148.74</v>
      </c>
      <c r="E1628" t="s">
        <v>25</v>
      </c>
      <c r="F1628" t="s">
        <v>1081</v>
      </c>
      <c r="G1628" t="s">
        <v>10</v>
      </c>
      <c r="H1628" t="s">
        <v>11</v>
      </c>
    </row>
    <row r="1629" spans="1:8" x14ac:dyDescent="0.45">
      <c r="A1629">
        <v>7823</v>
      </c>
      <c r="B1629">
        <v>44002</v>
      </c>
      <c r="C1629">
        <v>30</v>
      </c>
      <c r="D1629">
        <v>1072.71</v>
      </c>
      <c r="E1629" t="s">
        <v>8</v>
      </c>
      <c r="F1629" t="s">
        <v>1082</v>
      </c>
      <c r="G1629" t="s">
        <v>13</v>
      </c>
      <c r="H1629" t="s">
        <v>17</v>
      </c>
    </row>
    <row r="1630" spans="1:8" x14ac:dyDescent="0.45">
      <c r="A1630">
        <v>7824</v>
      </c>
      <c r="B1630">
        <v>44082</v>
      </c>
      <c r="C1630">
        <v>74</v>
      </c>
      <c r="D1630">
        <v>223.46</v>
      </c>
      <c r="E1630" t="s">
        <v>8</v>
      </c>
      <c r="F1630" t="s">
        <v>1083</v>
      </c>
      <c r="G1630" t="s">
        <v>13</v>
      </c>
      <c r="H1630" t="s">
        <v>17</v>
      </c>
    </row>
    <row r="1631" spans="1:8" x14ac:dyDescent="0.45">
      <c r="A1631">
        <v>7825</v>
      </c>
      <c r="B1631">
        <v>44029</v>
      </c>
      <c r="C1631">
        <v>44</v>
      </c>
      <c r="D1631">
        <v>90.42</v>
      </c>
      <c r="E1631" t="s">
        <v>25</v>
      </c>
      <c r="F1631" t="s">
        <v>1084</v>
      </c>
      <c r="G1631" t="s">
        <v>23</v>
      </c>
      <c r="H1631" t="s">
        <v>17</v>
      </c>
    </row>
    <row r="1632" spans="1:8" x14ac:dyDescent="0.45">
      <c r="A1632">
        <v>7826</v>
      </c>
      <c r="B1632">
        <v>43999</v>
      </c>
      <c r="C1632">
        <v>56</v>
      </c>
      <c r="D1632">
        <v>370.94</v>
      </c>
      <c r="E1632" t="s">
        <v>25</v>
      </c>
      <c r="F1632" t="s">
        <v>1085</v>
      </c>
      <c r="G1632" t="s">
        <v>10</v>
      </c>
      <c r="H1632" t="s">
        <v>15</v>
      </c>
    </row>
    <row r="1633" spans="1:8" x14ac:dyDescent="0.45">
      <c r="A1633">
        <v>7827</v>
      </c>
      <c r="B1633">
        <v>43885</v>
      </c>
      <c r="C1633">
        <v>60</v>
      </c>
      <c r="D1633">
        <v>678.17</v>
      </c>
      <c r="E1633" t="s">
        <v>464</v>
      </c>
      <c r="F1633" t="s">
        <v>1086</v>
      </c>
      <c r="G1633" t="s">
        <v>10</v>
      </c>
      <c r="H1633" t="s">
        <v>17</v>
      </c>
    </row>
    <row r="1634" spans="1:8" x14ac:dyDescent="0.45">
      <c r="A1634">
        <v>7828</v>
      </c>
      <c r="B1634">
        <v>44022</v>
      </c>
      <c r="C1634">
        <v>38</v>
      </c>
      <c r="D1634">
        <v>1462.02</v>
      </c>
      <c r="E1634" t="s">
        <v>25</v>
      </c>
      <c r="F1634" t="s">
        <v>1087</v>
      </c>
      <c r="G1634" t="s">
        <v>10</v>
      </c>
      <c r="H1634" t="s">
        <v>11</v>
      </c>
    </row>
    <row r="1635" spans="1:8" x14ac:dyDescent="0.45">
      <c r="A1635">
        <v>7829</v>
      </c>
      <c r="B1635">
        <v>43990</v>
      </c>
      <c r="C1635">
        <v>28</v>
      </c>
      <c r="D1635">
        <v>375</v>
      </c>
      <c r="E1635" t="s">
        <v>25</v>
      </c>
      <c r="F1635" t="s">
        <v>1088</v>
      </c>
      <c r="G1635" t="s">
        <v>13</v>
      </c>
      <c r="H1635" t="s">
        <v>11</v>
      </c>
    </row>
    <row r="1636" spans="1:8" x14ac:dyDescent="0.45">
      <c r="A1636">
        <v>7830</v>
      </c>
      <c r="B1636">
        <v>43857</v>
      </c>
      <c r="C1636">
        <v>80</v>
      </c>
      <c r="D1636">
        <v>1312.09</v>
      </c>
      <c r="E1636" t="s">
        <v>464</v>
      </c>
      <c r="F1636" t="s">
        <v>1089</v>
      </c>
      <c r="G1636" t="s">
        <v>23</v>
      </c>
      <c r="H1636" t="s">
        <v>11</v>
      </c>
    </row>
    <row r="1637" spans="1:8" x14ac:dyDescent="0.45">
      <c r="A1637">
        <v>7831</v>
      </c>
      <c r="B1637">
        <v>44011</v>
      </c>
      <c r="C1637">
        <v>87</v>
      </c>
      <c r="D1637">
        <v>1066.97</v>
      </c>
      <c r="E1637" t="s">
        <v>464</v>
      </c>
      <c r="F1637" t="s">
        <v>1090</v>
      </c>
      <c r="G1637" t="s">
        <v>20</v>
      </c>
      <c r="H1637" t="s">
        <v>17</v>
      </c>
    </row>
    <row r="1638" spans="1:8" x14ac:dyDescent="0.45">
      <c r="A1638">
        <v>7832</v>
      </c>
      <c r="B1638">
        <v>43930</v>
      </c>
      <c r="C1638">
        <v>76</v>
      </c>
      <c r="D1638">
        <v>172.38</v>
      </c>
      <c r="E1638" t="s">
        <v>25</v>
      </c>
      <c r="F1638" t="s">
        <v>1091</v>
      </c>
      <c r="G1638" t="s">
        <v>20</v>
      </c>
      <c r="H1638" t="s">
        <v>15</v>
      </c>
    </row>
    <row r="1639" spans="1:8" x14ac:dyDescent="0.45">
      <c r="A1639">
        <v>7833</v>
      </c>
      <c r="B1639">
        <v>44022</v>
      </c>
      <c r="C1639">
        <v>70</v>
      </c>
      <c r="D1639">
        <v>1086.74</v>
      </c>
      <c r="E1639" t="s">
        <v>25</v>
      </c>
      <c r="F1639" t="s">
        <v>1092</v>
      </c>
      <c r="G1639" t="s">
        <v>23</v>
      </c>
      <c r="H1639" t="s">
        <v>15</v>
      </c>
    </row>
    <row r="1640" spans="1:8" x14ac:dyDescent="0.45">
      <c r="A1640">
        <v>7834</v>
      </c>
      <c r="B1640">
        <v>44184</v>
      </c>
      <c r="C1640">
        <v>81</v>
      </c>
      <c r="D1640">
        <v>1183.98</v>
      </c>
      <c r="E1640" t="s">
        <v>8</v>
      </c>
      <c r="F1640" t="s">
        <v>1093</v>
      </c>
      <c r="G1640" t="s">
        <v>10</v>
      </c>
      <c r="H1640" t="s">
        <v>17</v>
      </c>
    </row>
    <row r="1641" spans="1:8" x14ac:dyDescent="0.45">
      <c r="A1641">
        <v>7835</v>
      </c>
      <c r="B1641">
        <v>44011</v>
      </c>
      <c r="C1641">
        <v>87</v>
      </c>
      <c r="D1641">
        <v>344.71</v>
      </c>
      <c r="E1641" t="s">
        <v>25</v>
      </c>
      <c r="F1641" t="s">
        <v>1094</v>
      </c>
      <c r="G1641" t="s">
        <v>13</v>
      </c>
      <c r="H1641" t="s">
        <v>17</v>
      </c>
    </row>
    <row r="1642" spans="1:8" x14ac:dyDescent="0.45">
      <c r="A1642">
        <v>7836</v>
      </c>
      <c r="B1642">
        <v>43970</v>
      </c>
      <c r="C1642">
        <v>22</v>
      </c>
      <c r="D1642">
        <v>434.33</v>
      </c>
      <c r="E1642" t="s">
        <v>25</v>
      </c>
      <c r="F1642" t="s">
        <v>1095</v>
      </c>
      <c r="G1642" t="s">
        <v>13</v>
      </c>
      <c r="H1642" t="s">
        <v>17</v>
      </c>
    </row>
    <row r="1643" spans="1:8" x14ac:dyDescent="0.45">
      <c r="A1643">
        <v>7837</v>
      </c>
      <c r="B1643">
        <v>43849</v>
      </c>
      <c r="C1643">
        <v>96</v>
      </c>
      <c r="D1643">
        <v>1320.76</v>
      </c>
      <c r="E1643" t="s">
        <v>25</v>
      </c>
      <c r="F1643" t="s">
        <v>1096</v>
      </c>
      <c r="G1643" t="s">
        <v>13</v>
      </c>
      <c r="H1643" t="s">
        <v>11</v>
      </c>
    </row>
    <row r="1644" spans="1:8" x14ac:dyDescent="0.45">
      <c r="A1644">
        <v>7838</v>
      </c>
      <c r="B1644">
        <v>44016</v>
      </c>
      <c r="C1644">
        <v>14</v>
      </c>
      <c r="D1644">
        <v>537.04</v>
      </c>
      <c r="E1644" t="s">
        <v>8</v>
      </c>
      <c r="F1644" t="s">
        <v>1097</v>
      </c>
      <c r="G1644" t="s">
        <v>20</v>
      </c>
      <c r="H1644" t="s">
        <v>11</v>
      </c>
    </row>
    <row r="1645" spans="1:8" x14ac:dyDescent="0.45">
      <c r="A1645">
        <v>7839</v>
      </c>
      <c r="B1645">
        <v>44168</v>
      </c>
      <c r="C1645">
        <v>76</v>
      </c>
      <c r="D1645">
        <v>961.45</v>
      </c>
      <c r="E1645" t="s">
        <v>25</v>
      </c>
      <c r="F1645" t="s">
        <v>1098</v>
      </c>
      <c r="G1645" t="s">
        <v>10</v>
      </c>
      <c r="H1645" t="s">
        <v>15</v>
      </c>
    </row>
    <row r="1646" spans="1:8" x14ac:dyDescent="0.45">
      <c r="A1646">
        <v>7840</v>
      </c>
      <c r="B1646">
        <v>44132</v>
      </c>
      <c r="C1646">
        <v>5</v>
      </c>
      <c r="D1646">
        <v>1348.17</v>
      </c>
      <c r="E1646" t="s">
        <v>464</v>
      </c>
      <c r="F1646" t="s">
        <v>1099</v>
      </c>
      <c r="G1646" t="s">
        <v>23</v>
      </c>
      <c r="H1646" t="s">
        <v>17</v>
      </c>
    </row>
    <row r="1647" spans="1:8" x14ac:dyDescent="0.45">
      <c r="A1647">
        <v>7841</v>
      </c>
      <c r="B1647">
        <v>43889</v>
      </c>
      <c r="C1647">
        <v>53</v>
      </c>
      <c r="D1647">
        <v>233.75</v>
      </c>
      <c r="E1647" t="s">
        <v>8</v>
      </c>
      <c r="F1647" t="s">
        <v>1100</v>
      </c>
      <c r="G1647" t="s">
        <v>20</v>
      </c>
      <c r="H1647" t="s">
        <v>15</v>
      </c>
    </row>
    <row r="1648" spans="1:8" x14ac:dyDescent="0.45">
      <c r="A1648">
        <v>7842</v>
      </c>
      <c r="B1648">
        <v>43980</v>
      </c>
      <c r="C1648">
        <v>66</v>
      </c>
      <c r="D1648">
        <v>192.47</v>
      </c>
      <c r="E1648" t="s">
        <v>8</v>
      </c>
      <c r="F1648" t="s">
        <v>1101</v>
      </c>
      <c r="G1648" t="s">
        <v>20</v>
      </c>
      <c r="H1648" t="s">
        <v>15</v>
      </c>
    </row>
    <row r="1649" spans="1:8" x14ac:dyDescent="0.45">
      <c r="A1649">
        <v>7843</v>
      </c>
      <c r="B1649">
        <v>44012</v>
      </c>
      <c r="C1649">
        <v>53</v>
      </c>
      <c r="D1649">
        <v>437.52</v>
      </c>
      <c r="E1649" t="s">
        <v>25</v>
      </c>
      <c r="F1649" t="s">
        <v>1102</v>
      </c>
      <c r="G1649" t="s">
        <v>23</v>
      </c>
      <c r="H1649" t="s">
        <v>11</v>
      </c>
    </row>
    <row r="1650" spans="1:8" x14ac:dyDescent="0.45">
      <c r="A1650">
        <v>7844</v>
      </c>
      <c r="B1650">
        <v>44021</v>
      </c>
      <c r="C1650">
        <v>50</v>
      </c>
      <c r="D1650">
        <v>1213.55</v>
      </c>
      <c r="E1650" t="s">
        <v>464</v>
      </c>
      <c r="F1650" t="s">
        <v>1103</v>
      </c>
      <c r="G1650" t="s">
        <v>20</v>
      </c>
      <c r="H1650" t="s">
        <v>11</v>
      </c>
    </row>
    <row r="1651" spans="1:8" x14ac:dyDescent="0.45">
      <c r="A1651">
        <v>7845</v>
      </c>
      <c r="B1651">
        <v>44044</v>
      </c>
      <c r="C1651">
        <v>85</v>
      </c>
      <c r="D1651">
        <v>538.20000000000005</v>
      </c>
      <c r="E1651" t="s">
        <v>464</v>
      </c>
      <c r="F1651" t="s">
        <v>1104</v>
      </c>
      <c r="G1651" t="s">
        <v>23</v>
      </c>
      <c r="H1651" t="s">
        <v>15</v>
      </c>
    </row>
    <row r="1652" spans="1:8" x14ac:dyDescent="0.45">
      <c r="A1652">
        <v>7846</v>
      </c>
      <c r="B1652">
        <v>43930</v>
      </c>
      <c r="C1652">
        <v>88</v>
      </c>
      <c r="D1652">
        <v>95.76</v>
      </c>
      <c r="E1652" t="s">
        <v>25</v>
      </c>
      <c r="F1652" t="s">
        <v>1105</v>
      </c>
      <c r="G1652" t="s">
        <v>20</v>
      </c>
      <c r="H1652" t="s">
        <v>17</v>
      </c>
    </row>
    <row r="1653" spans="1:8" x14ac:dyDescent="0.45">
      <c r="A1653">
        <v>7847</v>
      </c>
      <c r="B1653">
        <v>43965</v>
      </c>
      <c r="C1653">
        <v>88</v>
      </c>
      <c r="D1653">
        <v>1440.23</v>
      </c>
      <c r="E1653" t="s">
        <v>8</v>
      </c>
      <c r="F1653" t="s">
        <v>1106</v>
      </c>
      <c r="G1653" t="s">
        <v>20</v>
      </c>
      <c r="H1653" t="s">
        <v>15</v>
      </c>
    </row>
    <row r="1654" spans="1:8" x14ac:dyDescent="0.45">
      <c r="A1654">
        <v>7848</v>
      </c>
      <c r="B1654">
        <v>44001</v>
      </c>
      <c r="C1654">
        <v>64</v>
      </c>
      <c r="D1654">
        <v>324</v>
      </c>
      <c r="E1654" t="s">
        <v>8</v>
      </c>
      <c r="F1654" t="s">
        <v>1107</v>
      </c>
      <c r="G1654" t="s">
        <v>13</v>
      </c>
      <c r="H1654" t="s">
        <v>11</v>
      </c>
    </row>
    <row r="1655" spans="1:8" x14ac:dyDescent="0.45">
      <c r="A1655">
        <v>7849</v>
      </c>
      <c r="B1655">
        <v>43864</v>
      </c>
      <c r="C1655">
        <v>49</v>
      </c>
      <c r="D1655">
        <v>1366.57</v>
      </c>
      <c r="E1655" t="s">
        <v>8</v>
      </c>
      <c r="F1655" t="s">
        <v>1108</v>
      </c>
      <c r="G1655" t="s">
        <v>10</v>
      </c>
      <c r="H1655" t="s">
        <v>17</v>
      </c>
    </row>
    <row r="1656" spans="1:8" x14ac:dyDescent="0.45">
      <c r="A1656">
        <v>7850</v>
      </c>
      <c r="B1656">
        <v>44099</v>
      </c>
      <c r="C1656">
        <v>12</v>
      </c>
      <c r="D1656">
        <v>906.37</v>
      </c>
      <c r="E1656" t="s">
        <v>8</v>
      </c>
      <c r="F1656" t="s">
        <v>1109</v>
      </c>
      <c r="G1656" t="s">
        <v>10</v>
      </c>
      <c r="H1656" t="s">
        <v>17</v>
      </c>
    </row>
    <row r="1657" spans="1:8" x14ac:dyDescent="0.45">
      <c r="A1657">
        <v>7851</v>
      </c>
      <c r="B1657">
        <v>44196</v>
      </c>
      <c r="C1657">
        <v>30</v>
      </c>
      <c r="D1657">
        <v>576.77</v>
      </c>
      <c r="E1657" t="s">
        <v>464</v>
      </c>
      <c r="F1657" t="s">
        <v>1110</v>
      </c>
      <c r="G1657" t="s">
        <v>13</v>
      </c>
      <c r="H1657" t="s">
        <v>15</v>
      </c>
    </row>
    <row r="1658" spans="1:8" x14ac:dyDescent="0.45">
      <c r="A1658">
        <v>7852</v>
      </c>
      <c r="B1658">
        <v>44173</v>
      </c>
      <c r="C1658">
        <v>17</v>
      </c>
      <c r="D1658">
        <v>91.59</v>
      </c>
      <c r="E1658" t="s">
        <v>8</v>
      </c>
      <c r="F1658" t="s">
        <v>1111</v>
      </c>
      <c r="G1658" t="s">
        <v>23</v>
      </c>
      <c r="H1658" t="s">
        <v>17</v>
      </c>
    </row>
    <row r="1659" spans="1:8" x14ac:dyDescent="0.45">
      <c r="A1659">
        <v>7853</v>
      </c>
      <c r="B1659">
        <v>43927</v>
      </c>
      <c r="C1659">
        <v>41</v>
      </c>
      <c r="D1659">
        <v>479.7</v>
      </c>
      <c r="E1659" t="s">
        <v>8</v>
      </c>
      <c r="F1659" t="s">
        <v>1112</v>
      </c>
      <c r="G1659" t="s">
        <v>20</v>
      </c>
      <c r="H1659" t="s">
        <v>15</v>
      </c>
    </row>
    <row r="1660" spans="1:8" x14ac:dyDescent="0.45">
      <c r="A1660">
        <v>7854</v>
      </c>
      <c r="B1660">
        <v>43859</v>
      </c>
      <c r="C1660">
        <v>92</v>
      </c>
      <c r="D1660">
        <v>1385.23</v>
      </c>
      <c r="E1660" t="s">
        <v>25</v>
      </c>
      <c r="F1660" t="s">
        <v>1113</v>
      </c>
      <c r="G1660" t="s">
        <v>23</v>
      </c>
      <c r="H1660" t="s">
        <v>17</v>
      </c>
    </row>
    <row r="1661" spans="1:8" x14ac:dyDescent="0.45">
      <c r="A1661">
        <v>7855</v>
      </c>
      <c r="B1661">
        <v>43884</v>
      </c>
      <c r="C1661">
        <v>96</v>
      </c>
      <c r="D1661">
        <v>466.31</v>
      </c>
      <c r="E1661" t="s">
        <v>8</v>
      </c>
      <c r="F1661" t="s">
        <v>1114</v>
      </c>
      <c r="G1661" t="s">
        <v>13</v>
      </c>
      <c r="H1661" t="s">
        <v>15</v>
      </c>
    </row>
    <row r="1662" spans="1:8" x14ac:dyDescent="0.45">
      <c r="A1662">
        <v>7856</v>
      </c>
      <c r="B1662">
        <v>44166</v>
      </c>
      <c r="C1662">
        <v>8</v>
      </c>
      <c r="D1662">
        <v>1462.64</v>
      </c>
      <c r="E1662" t="s">
        <v>464</v>
      </c>
      <c r="F1662" t="s">
        <v>1115</v>
      </c>
      <c r="G1662" t="s">
        <v>10</v>
      </c>
      <c r="H1662" t="s">
        <v>11</v>
      </c>
    </row>
    <row r="1663" spans="1:8" x14ac:dyDescent="0.45">
      <c r="A1663">
        <v>7857</v>
      </c>
      <c r="B1663">
        <v>44096</v>
      </c>
      <c r="C1663">
        <v>87</v>
      </c>
      <c r="D1663">
        <v>346.2</v>
      </c>
      <c r="E1663" t="s">
        <v>25</v>
      </c>
      <c r="F1663" t="s">
        <v>1116</v>
      </c>
      <c r="G1663" t="s">
        <v>13</v>
      </c>
      <c r="H1663" t="s">
        <v>11</v>
      </c>
    </row>
    <row r="1664" spans="1:8" x14ac:dyDescent="0.45">
      <c r="A1664">
        <v>7858</v>
      </c>
      <c r="B1664">
        <v>43975</v>
      </c>
      <c r="C1664">
        <v>100</v>
      </c>
      <c r="D1664">
        <v>1162.83</v>
      </c>
      <c r="E1664" t="s">
        <v>464</v>
      </c>
      <c r="F1664" t="s">
        <v>1117</v>
      </c>
      <c r="G1664" t="s">
        <v>23</v>
      </c>
      <c r="H1664" t="s">
        <v>11</v>
      </c>
    </row>
    <row r="1665" spans="1:8" x14ac:dyDescent="0.45">
      <c r="A1665">
        <v>7859</v>
      </c>
      <c r="B1665">
        <v>44198</v>
      </c>
      <c r="C1665">
        <v>59</v>
      </c>
      <c r="D1665">
        <v>899.46</v>
      </c>
      <c r="E1665" t="s">
        <v>25</v>
      </c>
      <c r="F1665" t="s">
        <v>1118</v>
      </c>
      <c r="G1665" t="s">
        <v>10</v>
      </c>
      <c r="H1665" t="s">
        <v>17</v>
      </c>
    </row>
    <row r="1666" spans="1:8" x14ac:dyDescent="0.45">
      <c r="A1666">
        <v>7860</v>
      </c>
      <c r="B1666">
        <v>43865</v>
      </c>
      <c r="C1666">
        <v>82</v>
      </c>
      <c r="D1666">
        <v>1255.28</v>
      </c>
      <c r="E1666" t="s">
        <v>8</v>
      </c>
      <c r="F1666" t="s">
        <v>1119</v>
      </c>
      <c r="G1666" t="s">
        <v>10</v>
      </c>
      <c r="H1666" t="s">
        <v>11</v>
      </c>
    </row>
    <row r="1667" spans="1:8" x14ac:dyDescent="0.45">
      <c r="A1667">
        <v>7861</v>
      </c>
      <c r="B1667">
        <v>43944</v>
      </c>
      <c r="C1667">
        <v>36</v>
      </c>
      <c r="D1667">
        <v>1469.74</v>
      </c>
      <c r="E1667" t="s">
        <v>8</v>
      </c>
      <c r="F1667" t="s">
        <v>1120</v>
      </c>
      <c r="G1667" t="s">
        <v>13</v>
      </c>
      <c r="H1667" t="s">
        <v>15</v>
      </c>
    </row>
    <row r="1668" spans="1:8" x14ac:dyDescent="0.45">
      <c r="A1668">
        <v>7862</v>
      </c>
      <c r="B1668">
        <v>43967</v>
      </c>
      <c r="C1668">
        <v>99</v>
      </c>
      <c r="D1668">
        <v>285.24</v>
      </c>
      <c r="E1668" t="s">
        <v>464</v>
      </c>
      <c r="F1668" t="s">
        <v>1121</v>
      </c>
      <c r="G1668" t="s">
        <v>10</v>
      </c>
      <c r="H1668" t="s">
        <v>11</v>
      </c>
    </row>
    <row r="1669" spans="1:8" x14ac:dyDescent="0.45">
      <c r="A1669">
        <v>7863</v>
      </c>
      <c r="B1669">
        <v>43925</v>
      </c>
      <c r="C1669">
        <v>70</v>
      </c>
      <c r="D1669">
        <v>1192.1099999999999</v>
      </c>
      <c r="E1669" t="s">
        <v>8</v>
      </c>
      <c r="F1669" t="s">
        <v>1122</v>
      </c>
      <c r="G1669" t="s">
        <v>10</v>
      </c>
      <c r="H1669" t="s">
        <v>15</v>
      </c>
    </row>
    <row r="1670" spans="1:8" x14ac:dyDescent="0.45">
      <c r="A1670">
        <v>7864</v>
      </c>
      <c r="B1670">
        <v>43840</v>
      </c>
      <c r="C1670">
        <v>46</v>
      </c>
      <c r="D1670">
        <v>496.65</v>
      </c>
      <c r="E1670" t="s">
        <v>25</v>
      </c>
      <c r="F1670" t="s">
        <v>1123</v>
      </c>
      <c r="G1670" t="s">
        <v>10</v>
      </c>
      <c r="H1670" t="s">
        <v>11</v>
      </c>
    </row>
    <row r="1671" spans="1:8" x14ac:dyDescent="0.45">
      <c r="A1671">
        <v>7865</v>
      </c>
      <c r="B1671">
        <v>44153</v>
      </c>
      <c r="C1671">
        <v>97</v>
      </c>
      <c r="D1671">
        <v>1150.08</v>
      </c>
      <c r="E1671" t="s">
        <v>8</v>
      </c>
      <c r="F1671" t="s">
        <v>1124</v>
      </c>
      <c r="G1671" t="s">
        <v>13</v>
      </c>
      <c r="H1671" t="s">
        <v>17</v>
      </c>
    </row>
    <row r="1672" spans="1:8" x14ac:dyDescent="0.45">
      <c r="A1672">
        <v>7866</v>
      </c>
      <c r="B1672">
        <v>43918</v>
      </c>
      <c r="C1672">
        <v>17</v>
      </c>
      <c r="D1672">
        <v>939.38</v>
      </c>
      <c r="E1672" t="s">
        <v>25</v>
      </c>
      <c r="F1672" t="s">
        <v>1125</v>
      </c>
      <c r="G1672" t="s">
        <v>13</v>
      </c>
      <c r="H1672" t="s">
        <v>15</v>
      </c>
    </row>
    <row r="1673" spans="1:8" x14ac:dyDescent="0.45">
      <c r="A1673">
        <v>7867</v>
      </c>
      <c r="B1673">
        <v>44100</v>
      </c>
      <c r="C1673">
        <v>56</v>
      </c>
      <c r="D1673">
        <v>829.9</v>
      </c>
      <c r="E1673" t="s">
        <v>8</v>
      </c>
      <c r="F1673" t="s">
        <v>1126</v>
      </c>
      <c r="G1673" t="s">
        <v>13</v>
      </c>
      <c r="H1673" t="s">
        <v>17</v>
      </c>
    </row>
    <row r="1674" spans="1:8" x14ac:dyDescent="0.45">
      <c r="A1674">
        <v>7868</v>
      </c>
      <c r="B1674">
        <v>43957</v>
      </c>
      <c r="C1674">
        <v>32</v>
      </c>
      <c r="D1674">
        <v>142.19999999999999</v>
      </c>
      <c r="E1674" t="s">
        <v>8</v>
      </c>
      <c r="F1674" t="s">
        <v>1127</v>
      </c>
      <c r="G1674" t="s">
        <v>23</v>
      </c>
      <c r="H1674" t="s">
        <v>15</v>
      </c>
    </row>
    <row r="1675" spans="1:8" x14ac:dyDescent="0.45">
      <c r="A1675">
        <v>7869</v>
      </c>
      <c r="B1675">
        <v>44052</v>
      </c>
      <c r="C1675">
        <v>17</v>
      </c>
      <c r="D1675">
        <v>207.74</v>
      </c>
      <c r="E1675" t="s">
        <v>25</v>
      </c>
      <c r="F1675" t="s">
        <v>1128</v>
      </c>
      <c r="G1675" t="s">
        <v>13</v>
      </c>
      <c r="H1675" t="s">
        <v>17</v>
      </c>
    </row>
    <row r="1676" spans="1:8" x14ac:dyDescent="0.45">
      <c r="A1676">
        <v>7870</v>
      </c>
      <c r="B1676">
        <v>44064</v>
      </c>
      <c r="C1676">
        <v>10</v>
      </c>
      <c r="D1676">
        <v>867.99</v>
      </c>
      <c r="E1676" t="s">
        <v>464</v>
      </c>
      <c r="F1676" t="s">
        <v>1129</v>
      </c>
      <c r="G1676" t="s">
        <v>10</v>
      </c>
      <c r="H1676" t="s">
        <v>11</v>
      </c>
    </row>
    <row r="1677" spans="1:8" x14ac:dyDescent="0.45">
      <c r="A1677">
        <v>7871</v>
      </c>
      <c r="B1677">
        <v>43947</v>
      </c>
      <c r="C1677">
        <v>42</v>
      </c>
      <c r="D1677">
        <v>215.24</v>
      </c>
      <c r="E1677" t="s">
        <v>25</v>
      </c>
      <c r="F1677" t="s">
        <v>1130</v>
      </c>
      <c r="G1677" t="s">
        <v>10</v>
      </c>
      <c r="H1677" t="s">
        <v>11</v>
      </c>
    </row>
    <row r="1678" spans="1:8" x14ac:dyDescent="0.45">
      <c r="A1678">
        <v>7872</v>
      </c>
      <c r="B1678">
        <v>43925</v>
      </c>
      <c r="C1678">
        <v>43</v>
      </c>
      <c r="D1678">
        <v>464.17</v>
      </c>
      <c r="E1678" t="s">
        <v>464</v>
      </c>
      <c r="F1678" t="s">
        <v>1131</v>
      </c>
      <c r="G1678" t="s">
        <v>13</v>
      </c>
      <c r="H1678" t="s">
        <v>15</v>
      </c>
    </row>
    <row r="1679" spans="1:8" x14ac:dyDescent="0.45">
      <c r="A1679">
        <v>7873</v>
      </c>
      <c r="B1679">
        <v>43979</v>
      </c>
      <c r="C1679">
        <v>76</v>
      </c>
      <c r="D1679">
        <v>1121.96</v>
      </c>
      <c r="E1679" t="s">
        <v>464</v>
      </c>
      <c r="F1679" t="s">
        <v>1132</v>
      </c>
      <c r="G1679" t="s">
        <v>23</v>
      </c>
      <c r="H1679" t="s">
        <v>17</v>
      </c>
    </row>
    <row r="1680" spans="1:8" x14ac:dyDescent="0.45">
      <c r="A1680">
        <v>7874</v>
      </c>
      <c r="B1680">
        <v>44113</v>
      </c>
      <c r="C1680">
        <v>52</v>
      </c>
      <c r="D1680">
        <v>347.69</v>
      </c>
      <c r="E1680" t="s">
        <v>25</v>
      </c>
      <c r="F1680" t="s">
        <v>1133</v>
      </c>
      <c r="G1680" t="s">
        <v>20</v>
      </c>
      <c r="H1680" t="s">
        <v>15</v>
      </c>
    </row>
    <row r="1681" spans="1:8" x14ac:dyDescent="0.45">
      <c r="A1681">
        <v>7875</v>
      </c>
      <c r="B1681">
        <v>43878</v>
      </c>
      <c r="C1681">
        <v>79</v>
      </c>
      <c r="D1681">
        <v>166.43</v>
      </c>
      <c r="E1681" t="s">
        <v>8</v>
      </c>
      <c r="F1681" t="s">
        <v>1134</v>
      </c>
      <c r="G1681" t="s">
        <v>23</v>
      </c>
      <c r="H1681" t="s">
        <v>17</v>
      </c>
    </row>
    <row r="1682" spans="1:8" x14ac:dyDescent="0.45">
      <c r="A1682">
        <v>7876</v>
      </c>
      <c r="B1682">
        <v>44173</v>
      </c>
      <c r="C1682">
        <v>92</v>
      </c>
      <c r="D1682">
        <v>1092.32</v>
      </c>
      <c r="E1682" t="s">
        <v>464</v>
      </c>
      <c r="F1682" t="s">
        <v>1135</v>
      </c>
      <c r="G1682" t="s">
        <v>23</v>
      </c>
      <c r="H1682" t="s">
        <v>17</v>
      </c>
    </row>
    <row r="1683" spans="1:8" x14ac:dyDescent="0.45">
      <c r="A1683">
        <v>7877</v>
      </c>
      <c r="B1683">
        <v>44179</v>
      </c>
      <c r="C1683">
        <v>76</v>
      </c>
      <c r="D1683">
        <v>1261.82</v>
      </c>
      <c r="E1683" t="s">
        <v>25</v>
      </c>
      <c r="F1683" t="s">
        <v>1136</v>
      </c>
      <c r="G1683" t="s">
        <v>10</v>
      </c>
      <c r="H1683" t="s">
        <v>11</v>
      </c>
    </row>
    <row r="1684" spans="1:8" x14ac:dyDescent="0.45">
      <c r="A1684">
        <v>7878</v>
      </c>
      <c r="B1684">
        <v>43913</v>
      </c>
      <c r="C1684">
        <v>97</v>
      </c>
      <c r="D1684">
        <v>624.6</v>
      </c>
      <c r="E1684" t="s">
        <v>464</v>
      </c>
      <c r="F1684" t="s">
        <v>1137</v>
      </c>
      <c r="G1684" t="s">
        <v>20</v>
      </c>
      <c r="H1684" t="s">
        <v>15</v>
      </c>
    </row>
    <row r="1685" spans="1:8" x14ac:dyDescent="0.45">
      <c r="A1685">
        <v>7879</v>
      </c>
      <c r="B1685">
        <v>44052</v>
      </c>
      <c r="C1685">
        <v>99</v>
      </c>
      <c r="D1685">
        <v>120.54</v>
      </c>
      <c r="E1685" t="s">
        <v>464</v>
      </c>
      <c r="F1685" t="s">
        <v>1138</v>
      </c>
      <c r="G1685" t="s">
        <v>10</v>
      </c>
      <c r="H1685" t="s">
        <v>11</v>
      </c>
    </row>
    <row r="1686" spans="1:8" x14ac:dyDescent="0.45">
      <c r="A1686">
        <v>7880</v>
      </c>
      <c r="B1686">
        <v>43903</v>
      </c>
      <c r="C1686">
        <v>88</v>
      </c>
      <c r="D1686">
        <v>1131.8900000000001</v>
      </c>
      <c r="E1686" t="s">
        <v>25</v>
      </c>
      <c r="F1686" t="s">
        <v>1139</v>
      </c>
      <c r="G1686" t="s">
        <v>23</v>
      </c>
      <c r="H1686" t="s">
        <v>15</v>
      </c>
    </row>
    <row r="1687" spans="1:8" x14ac:dyDescent="0.45">
      <c r="A1687">
        <v>7881</v>
      </c>
      <c r="B1687">
        <v>44015</v>
      </c>
      <c r="C1687">
        <v>64</v>
      </c>
      <c r="D1687">
        <v>423.34</v>
      </c>
      <c r="E1687" t="s">
        <v>464</v>
      </c>
      <c r="F1687" t="s">
        <v>1140</v>
      </c>
      <c r="G1687" t="s">
        <v>13</v>
      </c>
      <c r="H1687" t="s">
        <v>17</v>
      </c>
    </row>
    <row r="1688" spans="1:8" x14ac:dyDescent="0.45">
      <c r="A1688">
        <v>7882</v>
      </c>
      <c r="B1688">
        <v>43996</v>
      </c>
      <c r="C1688">
        <v>82</v>
      </c>
      <c r="D1688">
        <v>1108.32</v>
      </c>
      <c r="E1688" t="s">
        <v>464</v>
      </c>
      <c r="F1688" t="s">
        <v>1141</v>
      </c>
      <c r="G1688" t="s">
        <v>23</v>
      </c>
      <c r="H1688" t="s">
        <v>11</v>
      </c>
    </row>
    <row r="1689" spans="1:8" x14ac:dyDescent="0.45">
      <c r="A1689">
        <v>7883</v>
      </c>
      <c r="B1689">
        <v>43855</v>
      </c>
      <c r="C1689">
        <v>4</v>
      </c>
      <c r="D1689">
        <v>1175.8599999999999</v>
      </c>
      <c r="E1689" t="s">
        <v>25</v>
      </c>
      <c r="F1689" t="s">
        <v>1142</v>
      </c>
      <c r="G1689" t="s">
        <v>20</v>
      </c>
      <c r="H1689" t="s">
        <v>17</v>
      </c>
    </row>
    <row r="1690" spans="1:8" x14ac:dyDescent="0.45">
      <c r="A1690">
        <v>7884</v>
      </c>
      <c r="B1690">
        <v>43865</v>
      </c>
      <c r="C1690">
        <v>61</v>
      </c>
      <c r="D1690">
        <v>947.01</v>
      </c>
      <c r="E1690" t="s">
        <v>464</v>
      </c>
      <c r="F1690" t="s">
        <v>972</v>
      </c>
      <c r="G1690" t="s">
        <v>20</v>
      </c>
      <c r="H1690" t="s">
        <v>17</v>
      </c>
    </row>
    <row r="1691" spans="1:8" x14ac:dyDescent="0.45">
      <c r="A1691">
        <v>7885</v>
      </c>
      <c r="B1691">
        <v>43891</v>
      </c>
      <c r="C1691">
        <v>98</v>
      </c>
      <c r="D1691">
        <v>1002.9</v>
      </c>
      <c r="E1691" t="s">
        <v>8</v>
      </c>
      <c r="F1691" t="s">
        <v>1143</v>
      </c>
      <c r="G1691" t="s">
        <v>23</v>
      </c>
      <c r="H1691" t="s">
        <v>17</v>
      </c>
    </row>
    <row r="1692" spans="1:8" x14ac:dyDescent="0.45">
      <c r="A1692">
        <v>7886</v>
      </c>
      <c r="B1692">
        <v>44011</v>
      </c>
      <c r="C1692">
        <v>3</v>
      </c>
      <c r="D1692">
        <v>1429.33</v>
      </c>
      <c r="E1692" t="s">
        <v>464</v>
      </c>
      <c r="F1692" t="s">
        <v>1144</v>
      </c>
      <c r="G1692" t="s">
        <v>10</v>
      </c>
      <c r="H1692" t="s">
        <v>11</v>
      </c>
    </row>
    <row r="1693" spans="1:8" x14ac:dyDescent="0.45">
      <c r="A1693">
        <v>7887</v>
      </c>
      <c r="B1693">
        <v>44117</v>
      </c>
      <c r="C1693">
        <v>94</v>
      </c>
      <c r="D1693">
        <v>992.16</v>
      </c>
      <c r="E1693" t="s">
        <v>8</v>
      </c>
      <c r="F1693" t="s">
        <v>1145</v>
      </c>
      <c r="G1693" t="s">
        <v>23</v>
      </c>
      <c r="H1693" t="s">
        <v>11</v>
      </c>
    </row>
    <row r="1694" spans="1:8" x14ac:dyDescent="0.45">
      <c r="A1694">
        <v>7888</v>
      </c>
      <c r="B1694">
        <v>43876</v>
      </c>
      <c r="C1694">
        <v>46</v>
      </c>
      <c r="D1694">
        <v>333.36</v>
      </c>
      <c r="E1694" t="s">
        <v>8</v>
      </c>
      <c r="F1694" t="s">
        <v>1146</v>
      </c>
      <c r="G1694" t="s">
        <v>23</v>
      </c>
      <c r="H1694" t="s">
        <v>11</v>
      </c>
    </row>
    <row r="1695" spans="1:8" x14ac:dyDescent="0.45">
      <c r="A1695">
        <v>7889</v>
      </c>
      <c r="B1695">
        <v>43843</v>
      </c>
      <c r="C1695">
        <v>88</v>
      </c>
      <c r="D1695">
        <v>1159.04</v>
      </c>
      <c r="E1695" t="s">
        <v>464</v>
      </c>
      <c r="F1695" t="s">
        <v>1147</v>
      </c>
      <c r="G1695" t="s">
        <v>10</v>
      </c>
      <c r="H1695" t="s">
        <v>11</v>
      </c>
    </row>
    <row r="1696" spans="1:8" x14ac:dyDescent="0.45">
      <c r="A1696">
        <v>7890</v>
      </c>
      <c r="B1696">
        <v>43980</v>
      </c>
      <c r="C1696">
        <v>79</v>
      </c>
      <c r="D1696">
        <v>1372.16</v>
      </c>
      <c r="E1696" t="s">
        <v>464</v>
      </c>
      <c r="F1696" t="s">
        <v>1148</v>
      </c>
      <c r="G1696" t="s">
        <v>13</v>
      </c>
      <c r="H1696" t="s">
        <v>15</v>
      </c>
    </row>
    <row r="1697" spans="1:8" x14ac:dyDescent="0.45">
      <c r="A1697">
        <v>7891</v>
      </c>
      <c r="B1697">
        <v>44046</v>
      </c>
      <c r="C1697">
        <v>40</v>
      </c>
      <c r="D1697">
        <v>449.89</v>
      </c>
      <c r="E1697" t="s">
        <v>25</v>
      </c>
      <c r="F1697" t="s">
        <v>1149</v>
      </c>
      <c r="G1697" t="s">
        <v>13</v>
      </c>
      <c r="H1697" t="s">
        <v>15</v>
      </c>
    </row>
    <row r="1698" spans="1:8" x14ac:dyDescent="0.45">
      <c r="A1698">
        <v>7892</v>
      </c>
      <c r="B1698">
        <v>43980</v>
      </c>
      <c r="C1698">
        <v>52</v>
      </c>
      <c r="D1698">
        <v>1490.25</v>
      </c>
      <c r="E1698" t="s">
        <v>25</v>
      </c>
      <c r="F1698" t="s">
        <v>1150</v>
      </c>
      <c r="G1698" t="s">
        <v>13</v>
      </c>
      <c r="H1698" t="s">
        <v>17</v>
      </c>
    </row>
    <row r="1699" spans="1:8" x14ac:dyDescent="0.45">
      <c r="A1699">
        <v>7893</v>
      </c>
      <c r="B1699">
        <v>43966</v>
      </c>
      <c r="C1699">
        <v>14</v>
      </c>
      <c r="D1699">
        <v>872.95</v>
      </c>
      <c r="E1699" t="s">
        <v>464</v>
      </c>
      <c r="F1699" t="s">
        <v>1151</v>
      </c>
      <c r="G1699" t="s">
        <v>20</v>
      </c>
      <c r="H1699" t="s">
        <v>11</v>
      </c>
    </row>
    <row r="1700" spans="1:8" x14ac:dyDescent="0.45">
      <c r="A1700">
        <v>7894</v>
      </c>
      <c r="B1700">
        <v>43863</v>
      </c>
      <c r="C1700">
        <v>71</v>
      </c>
      <c r="D1700">
        <v>611.98</v>
      </c>
      <c r="E1700" t="s">
        <v>8</v>
      </c>
      <c r="F1700" t="s">
        <v>1152</v>
      </c>
      <c r="G1700" t="s">
        <v>20</v>
      </c>
      <c r="H1700" t="s">
        <v>11</v>
      </c>
    </row>
    <row r="1701" spans="1:8" x14ac:dyDescent="0.45">
      <c r="A1701">
        <v>7895</v>
      </c>
      <c r="B1701">
        <v>43977</v>
      </c>
      <c r="C1701">
        <v>62</v>
      </c>
      <c r="D1701">
        <v>615.12</v>
      </c>
      <c r="E1701" t="s">
        <v>464</v>
      </c>
      <c r="F1701" t="s">
        <v>1153</v>
      </c>
      <c r="G1701" t="s">
        <v>20</v>
      </c>
      <c r="H1701" t="s">
        <v>15</v>
      </c>
    </row>
    <row r="1702" spans="1:8" x14ac:dyDescent="0.45">
      <c r="A1702">
        <v>7896</v>
      </c>
      <c r="B1702">
        <v>44183</v>
      </c>
      <c r="C1702">
        <v>54</v>
      </c>
      <c r="D1702">
        <v>1080.72</v>
      </c>
      <c r="E1702" t="s">
        <v>25</v>
      </c>
      <c r="F1702" t="s">
        <v>1154</v>
      </c>
      <c r="G1702" t="s">
        <v>20</v>
      </c>
      <c r="H1702" t="s">
        <v>15</v>
      </c>
    </row>
    <row r="1703" spans="1:8" x14ac:dyDescent="0.45">
      <c r="A1703">
        <v>7897</v>
      </c>
      <c r="B1703">
        <v>44118</v>
      </c>
      <c r="C1703">
        <v>7</v>
      </c>
      <c r="D1703">
        <v>900.58</v>
      </c>
      <c r="E1703" t="s">
        <v>8</v>
      </c>
      <c r="F1703" t="s">
        <v>1155</v>
      </c>
      <c r="G1703" t="s">
        <v>10</v>
      </c>
      <c r="H1703" t="s">
        <v>17</v>
      </c>
    </row>
    <row r="1704" spans="1:8" x14ac:dyDescent="0.45">
      <c r="A1704">
        <v>7898</v>
      </c>
      <c r="B1704">
        <v>44122</v>
      </c>
      <c r="C1704">
        <v>52</v>
      </c>
      <c r="D1704">
        <v>159.63</v>
      </c>
      <c r="E1704" t="s">
        <v>464</v>
      </c>
      <c r="F1704" t="s">
        <v>1156</v>
      </c>
      <c r="G1704" t="s">
        <v>13</v>
      </c>
      <c r="H1704" t="s">
        <v>15</v>
      </c>
    </row>
    <row r="1705" spans="1:8" x14ac:dyDescent="0.45">
      <c r="A1705">
        <v>7899</v>
      </c>
      <c r="B1705">
        <v>44049</v>
      </c>
      <c r="C1705">
        <v>28</v>
      </c>
      <c r="D1705">
        <v>508.37</v>
      </c>
      <c r="E1705" t="s">
        <v>25</v>
      </c>
      <c r="F1705" t="s">
        <v>1157</v>
      </c>
      <c r="G1705" t="s">
        <v>10</v>
      </c>
      <c r="H1705" t="s">
        <v>15</v>
      </c>
    </row>
    <row r="1706" spans="1:8" x14ac:dyDescent="0.45">
      <c r="A1706">
        <v>7900</v>
      </c>
      <c r="B1706">
        <v>44049</v>
      </c>
      <c r="C1706">
        <v>30</v>
      </c>
      <c r="D1706">
        <v>142.93</v>
      </c>
      <c r="E1706" t="s">
        <v>25</v>
      </c>
      <c r="F1706" t="s">
        <v>1158</v>
      </c>
      <c r="G1706" t="s">
        <v>20</v>
      </c>
      <c r="H1706" t="s">
        <v>17</v>
      </c>
    </row>
    <row r="1707" spans="1:8" x14ac:dyDescent="0.45">
      <c r="A1707">
        <v>7901</v>
      </c>
      <c r="B1707">
        <v>44118</v>
      </c>
      <c r="C1707">
        <v>40</v>
      </c>
      <c r="D1707">
        <v>98.04</v>
      </c>
      <c r="E1707" t="s">
        <v>25</v>
      </c>
      <c r="F1707" t="s">
        <v>1159</v>
      </c>
      <c r="G1707" t="s">
        <v>20</v>
      </c>
      <c r="H1707" t="s">
        <v>17</v>
      </c>
    </row>
    <row r="1708" spans="1:8" x14ac:dyDescent="0.45">
      <c r="A1708">
        <v>7902</v>
      </c>
      <c r="B1708">
        <v>44073</v>
      </c>
      <c r="C1708">
        <v>62</v>
      </c>
      <c r="D1708">
        <v>1049.08</v>
      </c>
      <c r="E1708" t="s">
        <v>25</v>
      </c>
      <c r="F1708" t="s">
        <v>1160</v>
      </c>
      <c r="G1708" t="s">
        <v>20</v>
      </c>
      <c r="H1708" t="s">
        <v>15</v>
      </c>
    </row>
    <row r="1709" spans="1:8" x14ac:dyDescent="0.45">
      <c r="A1709">
        <v>7903</v>
      </c>
      <c r="B1709">
        <v>44086</v>
      </c>
      <c r="C1709">
        <v>70</v>
      </c>
      <c r="D1709">
        <v>487.96</v>
      </c>
      <c r="E1709" t="s">
        <v>464</v>
      </c>
      <c r="F1709" t="s">
        <v>1161</v>
      </c>
      <c r="G1709" t="s">
        <v>10</v>
      </c>
      <c r="H1709" t="s">
        <v>17</v>
      </c>
    </row>
    <row r="1710" spans="1:8" x14ac:dyDescent="0.45">
      <c r="A1710">
        <v>7904</v>
      </c>
      <c r="B1710">
        <v>43982</v>
      </c>
      <c r="C1710">
        <v>39</v>
      </c>
      <c r="D1710">
        <v>551.11</v>
      </c>
      <c r="E1710" t="s">
        <v>464</v>
      </c>
      <c r="F1710" t="s">
        <v>1162</v>
      </c>
      <c r="G1710" t="s">
        <v>13</v>
      </c>
      <c r="H1710" t="s">
        <v>11</v>
      </c>
    </row>
    <row r="1711" spans="1:8" x14ac:dyDescent="0.45">
      <c r="A1711">
        <v>7905</v>
      </c>
      <c r="B1711">
        <v>43944</v>
      </c>
      <c r="C1711">
        <v>75</v>
      </c>
      <c r="D1711">
        <v>1433.25</v>
      </c>
      <c r="E1711" t="s">
        <v>25</v>
      </c>
      <c r="F1711" t="s">
        <v>1163</v>
      </c>
      <c r="G1711" t="s">
        <v>13</v>
      </c>
      <c r="H1711" t="s">
        <v>11</v>
      </c>
    </row>
    <row r="1712" spans="1:8" x14ac:dyDescent="0.45">
      <c r="A1712">
        <v>7906</v>
      </c>
      <c r="B1712">
        <v>43856</v>
      </c>
      <c r="C1712">
        <v>63</v>
      </c>
      <c r="D1712">
        <v>356.35</v>
      </c>
      <c r="E1712" t="s">
        <v>464</v>
      </c>
      <c r="F1712" t="s">
        <v>1164</v>
      </c>
      <c r="G1712" t="s">
        <v>23</v>
      </c>
      <c r="H1712" t="s">
        <v>11</v>
      </c>
    </row>
    <row r="1713" spans="1:8" x14ac:dyDescent="0.45">
      <c r="A1713">
        <v>7907</v>
      </c>
      <c r="B1713">
        <v>44201</v>
      </c>
      <c r="C1713">
        <v>21</v>
      </c>
      <c r="D1713">
        <v>1410.22</v>
      </c>
      <c r="E1713" t="s">
        <v>25</v>
      </c>
      <c r="F1713" t="s">
        <v>1165</v>
      </c>
      <c r="G1713" t="s">
        <v>20</v>
      </c>
      <c r="H1713" t="s">
        <v>15</v>
      </c>
    </row>
    <row r="1714" spans="1:8" x14ac:dyDescent="0.45">
      <c r="A1714">
        <v>7908</v>
      </c>
      <c r="B1714">
        <v>44188</v>
      </c>
      <c r="C1714">
        <v>92</v>
      </c>
      <c r="D1714">
        <v>261.48</v>
      </c>
      <c r="E1714" t="s">
        <v>8</v>
      </c>
      <c r="F1714" t="s">
        <v>1166</v>
      </c>
      <c r="G1714" t="s">
        <v>10</v>
      </c>
      <c r="H1714" t="s">
        <v>11</v>
      </c>
    </row>
    <row r="1715" spans="1:8" x14ac:dyDescent="0.45">
      <c r="A1715">
        <v>7909</v>
      </c>
      <c r="B1715">
        <v>43955</v>
      </c>
      <c r="C1715">
        <v>44</v>
      </c>
      <c r="D1715">
        <v>975.79</v>
      </c>
      <c r="E1715" t="s">
        <v>8</v>
      </c>
      <c r="F1715" t="s">
        <v>1167</v>
      </c>
      <c r="G1715" t="s">
        <v>10</v>
      </c>
      <c r="H1715" t="s">
        <v>15</v>
      </c>
    </row>
    <row r="1716" spans="1:8" x14ac:dyDescent="0.45">
      <c r="A1716">
        <v>7910</v>
      </c>
      <c r="B1716">
        <v>43845</v>
      </c>
      <c r="C1716">
        <v>43</v>
      </c>
      <c r="D1716">
        <v>1486.64</v>
      </c>
      <c r="E1716" t="s">
        <v>8</v>
      </c>
      <c r="F1716" t="s">
        <v>1168</v>
      </c>
      <c r="G1716" t="s">
        <v>10</v>
      </c>
      <c r="H1716" t="s">
        <v>11</v>
      </c>
    </row>
    <row r="1717" spans="1:8" x14ac:dyDescent="0.45">
      <c r="A1717">
        <v>7911</v>
      </c>
      <c r="B1717">
        <v>43964</v>
      </c>
      <c r="C1717">
        <v>39</v>
      </c>
      <c r="D1717">
        <v>831.52</v>
      </c>
      <c r="E1717" t="s">
        <v>25</v>
      </c>
      <c r="F1717" t="s">
        <v>1169</v>
      </c>
      <c r="G1717" t="s">
        <v>23</v>
      </c>
      <c r="H1717" t="s">
        <v>17</v>
      </c>
    </row>
    <row r="1718" spans="1:8" x14ac:dyDescent="0.45">
      <c r="A1718">
        <v>7912</v>
      </c>
      <c r="B1718">
        <v>44078</v>
      </c>
      <c r="C1718">
        <v>39</v>
      </c>
      <c r="D1718">
        <v>877.41</v>
      </c>
      <c r="E1718" t="s">
        <v>8</v>
      </c>
      <c r="F1718" t="s">
        <v>1170</v>
      </c>
      <c r="G1718" t="s">
        <v>20</v>
      </c>
      <c r="H1718" t="s">
        <v>11</v>
      </c>
    </row>
    <row r="1719" spans="1:8" x14ac:dyDescent="0.45">
      <c r="A1719">
        <v>7913</v>
      </c>
      <c r="B1719">
        <v>44170</v>
      </c>
      <c r="C1719">
        <v>15</v>
      </c>
      <c r="D1719">
        <v>140.77000000000001</v>
      </c>
      <c r="E1719" t="s">
        <v>8</v>
      </c>
      <c r="F1719" t="s">
        <v>1171</v>
      </c>
      <c r="G1719" t="s">
        <v>10</v>
      </c>
      <c r="H1719" t="s">
        <v>11</v>
      </c>
    </row>
    <row r="1720" spans="1:8" x14ac:dyDescent="0.45">
      <c r="A1720">
        <v>7914</v>
      </c>
      <c r="B1720">
        <v>44107</v>
      </c>
      <c r="C1720">
        <v>30</v>
      </c>
      <c r="D1720">
        <v>799.43</v>
      </c>
      <c r="E1720" t="s">
        <v>8</v>
      </c>
      <c r="F1720" t="s">
        <v>1172</v>
      </c>
      <c r="G1720" t="s">
        <v>10</v>
      </c>
      <c r="H1720" t="s">
        <v>17</v>
      </c>
    </row>
    <row r="1721" spans="1:8" x14ac:dyDescent="0.45">
      <c r="A1721">
        <v>7915</v>
      </c>
      <c r="B1721">
        <v>44029</v>
      </c>
      <c r="C1721">
        <v>42</v>
      </c>
      <c r="D1721">
        <v>1203.0899999999999</v>
      </c>
      <c r="E1721" t="s">
        <v>25</v>
      </c>
      <c r="F1721" t="s">
        <v>1173</v>
      </c>
      <c r="G1721" t="s">
        <v>20</v>
      </c>
      <c r="H1721" t="s">
        <v>15</v>
      </c>
    </row>
    <row r="1722" spans="1:8" x14ac:dyDescent="0.45">
      <c r="A1722">
        <v>7916</v>
      </c>
      <c r="B1722">
        <v>43989</v>
      </c>
      <c r="C1722">
        <v>9</v>
      </c>
      <c r="D1722">
        <v>373.12</v>
      </c>
      <c r="E1722" t="s">
        <v>464</v>
      </c>
      <c r="F1722" t="s">
        <v>1174</v>
      </c>
      <c r="G1722" t="s">
        <v>10</v>
      </c>
      <c r="H1722" t="s">
        <v>15</v>
      </c>
    </row>
    <row r="1723" spans="1:8" x14ac:dyDescent="0.45">
      <c r="A1723">
        <v>7917</v>
      </c>
      <c r="B1723">
        <v>43865</v>
      </c>
      <c r="C1723">
        <v>74</v>
      </c>
      <c r="D1723">
        <v>751.03</v>
      </c>
      <c r="E1723" t="s">
        <v>8</v>
      </c>
      <c r="F1723" t="s">
        <v>1175</v>
      </c>
      <c r="G1723" t="s">
        <v>20</v>
      </c>
      <c r="H1723" t="s">
        <v>15</v>
      </c>
    </row>
    <row r="1724" spans="1:8" x14ac:dyDescent="0.45">
      <c r="A1724">
        <v>7918</v>
      </c>
      <c r="B1724">
        <v>43969</v>
      </c>
      <c r="C1724">
        <v>54</v>
      </c>
      <c r="D1724">
        <v>751.96</v>
      </c>
      <c r="E1724" t="s">
        <v>25</v>
      </c>
      <c r="F1724" t="s">
        <v>1176</v>
      </c>
      <c r="G1724" t="s">
        <v>10</v>
      </c>
      <c r="H1724" t="s">
        <v>11</v>
      </c>
    </row>
    <row r="1725" spans="1:8" x14ac:dyDescent="0.45">
      <c r="A1725">
        <v>7919</v>
      </c>
      <c r="B1725">
        <v>44181</v>
      </c>
      <c r="C1725">
        <v>4</v>
      </c>
      <c r="D1725">
        <v>650.09</v>
      </c>
      <c r="E1725" t="s">
        <v>464</v>
      </c>
      <c r="F1725" t="s">
        <v>1177</v>
      </c>
      <c r="G1725" t="s">
        <v>20</v>
      </c>
      <c r="H1725" t="s">
        <v>15</v>
      </c>
    </row>
    <row r="1726" spans="1:8" x14ac:dyDescent="0.45">
      <c r="A1726">
        <v>7920</v>
      </c>
      <c r="B1726">
        <v>43978</v>
      </c>
      <c r="C1726">
        <v>86</v>
      </c>
      <c r="D1726">
        <v>159.13</v>
      </c>
      <c r="E1726" t="s">
        <v>8</v>
      </c>
      <c r="F1726" t="s">
        <v>1178</v>
      </c>
      <c r="G1726" t="s">
        <v>20</v>
      </c>
      <c r="H1726" t="s">
        <v>11</v>
      </c>
    </row>
    <row r="1727" spans="1:8" x14ac:dyDescent="0.45">
      <c r="A1727">
        <v>7921</v>
      </c>
      <c r="B1727">
        <v>44022</v>
      </c>
      <c r="C1727">
        <v>14</v>
      </c>
      <c r="D1727">
        <v>258.99</v>
      </c>
      <c r="E1727" t="s">
        <v>464</v>
      </c>
      <c r="F1727" t="s">
        <v>1179</v>
      </c>
      <c r="G1727" t="s">
        <v>20</v>
      </c>
      <c r="H1727" t="s">
        <v>17</v>
      </c>
    </row>
    <row r="1728" spans="1:8" x14ac:dyDescent="0.45">
      <c r="A1728">
        <v>7922</v>
      </c>
      <c r="B1728">
        <v>43879</v>
      </c>
      <c r="C1728">
        <v>44</v>
      </c>
      <c r="D1728">
        <v>824.1</v>
      </c>
      <c r="E1728" t="s">
        <v>8</v>
      </c>
      <c r="F1728" t="s">
        <v>1180</v>
      </c>
      <c r="G1728" t="s">
        <v>13</v>
      </c>
      <c r="H1728" t="s">
        <v>11</v>
      </c>
    </row>
    <row r="1729" spans="1:8" x14ac:dyDescent="0.45">
      <c r="A1729">
        <v>7923</v>
      </c>
      <c r="B1729">
        <v>44008</v>
      </c>
      <c r="C1729">
        <v>78</v>
      </c>
      <c r="D1729">
        <v>1181.48</v>
      </c>
      <c r="E1729" t="s">
        <v>464</v>
      </c>
      <c r="F1729" t="s">
        <v>1181</v>
      </c>
      <c r="G1729" t="s">
        <v>20</v>
      </c>
      <c r="H1729" t="s">
        <v>17</v>
      </c>
    </row>
    <row r="1730" spans="1:8" x14ac:dyDescent="0.45">
      <c r="A1730">
        <v>7924</v>
      </c>
      <c r="B1730">
        <v>43864</v>
      </c>
      <c r="C1730">
        <v>77</v>
      </c>
      <c r="D1730">
        <v>900.49</v>
      </c>
      <c r="E1730" t="s">
        <v>464</v>
      </c>
      <c r="F1730" t="s">
        <v>1182</v>
      </c>
      <c r="G1730" t="s">
        <v>13</v>
      </c>
      <c r="H1730" t="s">
        <v>15</v>
      </c>
    </row>
    <row r="1731" spans="1:8" x14ac:dyDescent="0.45">
      <c r="A1731">
        <v>7925</v>
      </c>
      <c r="B1731">
        <v>44152</v>
      </c>
      <c r="C1731">
        <v>68</v>
      </c>
      <c r="D1731">
        <v>376.5</v>
      </c>
      <c r="E1731" t="s">
        <v>25</v>
      </c>
      <c r="F1731" t="s">
        <v>1183</v>
      </c>
      <c r="G1731" t="s">
        <v>10</v>
      </c>
      <c r="H1731" t="s">
        <v>11</v>
      </c>
    </row>
    <row r="1732" spans="1:8" x14ac:dyDescent="0.45">
      <c r="A1732">
        <v>7926</v>
      </c>
      <c r="B1732">
        <v>43846</v>
      </c>
      <c r="C1732">
        <v>26</v>
      </c>
      <c r="D1732">
        <v>169.42</v>
      </c>
      <c r="E1732" t="s">
        <v>25</v>
      </c>
      <c r="F1732" t="s">
        <v>1184</v>
      </c>
      <c r="G1732" t="s">
        <v>20</v>
      </c>
      <c r="H1732" t="s">
        <v>17</v>
      </c>
    </row>
    <row r="1733" spans="1:8" x14ac:dyDescent="0.45">
      <c r="A1733">
        <v>7927</v>
      </c>
      <c r="B1733">
        <v>43894</v>
      </c>
      <c r="C1733">
        <v>39</v>
      </c>
      <c r="D1733">
        <v>1358.91</v>
      </c>
      <c r="E1733" t="s">
        <v>464</v>
      </c>
      <c r="F1733" t="s">
        <v>1185</v>
      </c>
      <c r="G1733" t="s">
        <v>20</v>
      </c>
      <c r="H1733" t="s">
        <v>11</v>
      </c>
    </row>
    <row r="1734" spans="1:8" x14ac:dyDescent="0.45">
      <c r="A1734">
        <v>7928</v>
      </c>
      <c r="B1734">
        <v>43841</v>
      </c>
      <c r="C1734">
        <v>68</v>
      </c>
      <c r="D1734">
        <v>1485.21</v>
      </c>
      <c r="E1734" t="s">
        <v>25</v>
      </c>
      <c r="F1734" t="s">
        <v>1186</v>
      </c>
      <c r="G1734" t="s">
        <v>10</v>
      </c>
      <c r="H1734" t="s">
        <v>15</v>
      </c>
    </row>
    <row r="1735" spans="1:8" x14ac:dyDescent="0.45">
      <c r="A1735">
        <v>7929</v>
      </c>
      <c r="B1735">
        <v>44117</v>
      </c>
      <c r="C1735">
        <v>33</v>
      </c>
      <c r="D1735">
        <v>178.13</v>
      </c>
      <c r="E1735" t="s">
        <v>8</v>
      </c>
      <c r="F1735" t="s">
        <v>1187</v>
      </c>
      <c r="G1735" t="s">
        <v>13</v>
      </c>
      <c r="H1735" t="s">
        <v>11</v>
      </c>
    </row>
    <row r="1736" spans="1:8" x14ac:dyDescent="0.45">
      <c r="A1736">
        <v>7930</v>
      </c>
      <c r="B1736">
        <v>43907</v>
      </c>
      <c r="C1736">
        <v>97</v>
      </c>
      <c r="D1736">
        <v>297.83999999999997</v>
      </c>
      <c r="E1736" t="s">
        <v>464</v>
      </c>
      <c r="F1736" t="s">
        <v>1188</v>
      </c>
      <c r="G1736" t="s">
        <v>20</v>
      </c>
      <c r="H1736" t="s">
        <v>15</v>
      </c>
    </row>
    <row r="1737" spans="1:8" x14ac:dyDescent="0.45">
      <c r="A1737">
        <v>7931</v>
      </c>
      <c r="B1737">
        <v>43885</v>
      </c>
      <c r="C1737">
        <v>35</v>
      </c>
      <c r="D1737">
        <v>507.92</v>
      </c>
      <c r="E1737" t="s">
        <v>8</v>
      </c>
      <c r="F1737" t="s">
        <v>1189</v>
      </c>
      <c r="G1737" t="s">
        <v>13</v>
      </c>
      <c r="H1737" t="s">
        <v>17</v>
      </c>
    </row>
    <row r="1738" spans="1:8" x14ac:dyDescent="0.45">
      <c r="A1738">
        <v>7932</v>
      </c>
      <c r="B1738">
        <v>44102</v>
      </c>
      <c r="C1738">
        <v>69</v>
      </c>
      <c r="D1738">
        <v>181.58</v>
      </c>
      <c r="E1738" t="s">
        <v>464</v>
      </c>
      <c r="F1738" t="s">
        <v>1190</v>
      </c>
      <c r="G1738" t="s">
        <v>13</v>
      </c>
      <c r="H1738" t="s">
        <v>17</v>
      </c>
    </row>
    <row r="1739" spans="1:8" x14ac:dyDescent="0.45">
      <c r="A1739">
        <v>7933</v>
      </c>
      <c r="B1739">
        <v>43841</v>
      </c>
      <c r="C1739">
        <v>43</v>
      </c>
      <c r="D1739">
        <v>857.22</v>
      </c>
      <c r="E1739" t="s">
        <v>464</v>
      </c>
      <c r="F1739" t="s">
        <v>1191</v>
      </c>
      <c r="G1739" t="s">
        <v>10</v>
      </c>
      <c r="H1739" t="s">
        <v>17</v>
      </c>
    </row>
    <row r="1740" spans="1:8" x14ac:dyDescent="0.45">
      <c r="A1740">
        <v>7934</v>
      </c>
      <c r="B1740">
        <v>43951</v>
      </c>
      <c r="C1740">
        <v>92</v>
      </c>
      <c r="D1740">
        <v>586.91999999999996</v>
      </c>
      <c r="E1740" t="s">
        <v>25</v>
      </c>
      <c r="F1740" t="s">
        <v>1192</v>
      </c>
      <c r="G1740" t="s">
        <v>13</v>
      </c>
      <c r="H1740" t="s">
        <v>17</v>
      </c>
    </row>
    <row r="1741" spans="1:8" x14ac:dyDescent="0.45">
      <c r="A1741">
        <v>7935</v>
      </c>
      <c r="B1741">
        <v>43982</v>
      </c>
      <c r="C1741">
        <v>91</v>
      </c>
      <c r="D1741">
        <v>997.3</v>
      </c>
      <c r="E1741" t="s">
        <v>464</v>
      </c>
      <c r="F1741" t="s">
        <v>1193</v>
      </c>
      <c r="G1741" t="s">
        <v>10</v>
      </c>
      <c r="H1741" t="s">
        <v>17</v>
      </c>
    </row>
    <row r="1742" spans="1:8" x14ac:dyDescent="0.45">
      <c r="A1742">
        <v>7936</v>
      </c>
      <c r="B1742">
        <v>43972</v>
      </c>
      <c r="C1742">
        <v>78</v>
      </c>
      <c r="D1742">
        <v>663.28</v>
      </c>
      <c r="E1742" t="s">
        <v>464</v>
      </c>
      <c r="F1742" t="s">
        <v>1194</v>
      </c>
      <c r="G1742" t="s">
        <v>20</v>
      </c>
      <c r="H1742" t="s">
        <v>11</v>
      </c>
    </row>
    <row r="1743" spans="1:8" x14ac:dyDescent="0.45">
      <c r="A1743">
        <v>7937</v>
      </c>
      <c r="B1743">
        <v>43929</v>
      </c>
      <c r="C1743">
        <v>40</v>
      </c>
      <c r="D1743">
        <v>1231.1199999999999</v>
      </c>
      <c r="E1743" t="s">
        <v>25</v>
      </c>
      <c r="F1743" t="s">
        <v>1195</v>
      </c>
      <c r="G1743" t="s">
        <v>10</v>
      </c>
      <c r="H1743" t="s">
        <v>15</v>
      </c>
    </row>
    <row r="1744" spans="1:8" x14ac:dyDescent="0.45">
      <c r="A1744">
        <v>7938</v>
      </c>
      <c r="B1744">
        <v>44090</v>
      </c>
      <c r="C1744">
        <v>93</v>
      </c>
      <c r="D1744">
        <v>166.41</v>
      </c>
      <c r="E1744" t="s">
        <v>464</v>
      </c>
      <c r="F1744" t="s">
        <v>1196</v>
      </c>
      <c r="G1744" t="s">
        <v>13</v>
      </c>
      <c r="H1744" t="s">
        <v>15</v>
      </c>
    </row>
    <row r="1745" spans="1:8" x14ac:dyDescent="0.45">
      <c r="A1745">
        <v>7939</v>
      </c>
      <c r="B1745">
        <v>44199</v>
      </c>
      <c r="C1745">
        <v>19</v>
      </c>
      <c r="D1745">
        <v>945.78</v>
      </c>
      <c r="E1745" t="s">
        <v>8</v>
      </c>
      <c r="F1745" t="s">
        <v>1197</v>
      </c>
      <c r="G1745" t="s">
        <v>13</v>
      </c>
      <c r="H1745" t="s">
        <v>11</v>
      </c>
    </row>
    <row r="1746" spans="1:8" x14ac:dyDescent="0.45">
      <c r="A1746">
        <v>7940</v>
      </c>
      <c r="B1746">
        <v>44160</v>
      </c>
      <c r="C1746">
        <v>48</v>
      </c>
      <c r="D1746">
        <v>1177.98</v>
      </c>
      <c r="E1746" t="s">
        <v>8</v>
      </c>
      <c r="F1746" t="s">
        <v>1198</v>
      </c>
      <c r="G1746" t="s">
        <v>10</v>
      </c>
      <c r="H1746" t="s">
        <v>17</v>
      </c>
    </row>
    <row r="1747" spans="1:8" x14ac:dyDescent="0.45">
      <c r="A1747">
        <v>7941</v>
      </c>
      <c r="B1747">
        <v>44059</v>
      </c>
      <c r="C1747">
        <v>35</v>
      </c>
      <c r="D1747">
        <v>826.99</v>
      </c>
      <c r="E1747" t="s">
        <v>8</v>
      </c>
      <c r="F1747" t="s">
        <v>1199</v>
      </c>
      <c r="G1747" t="s">
        <v>13</v>
      </c>
      <c r="H1747" t="s">
        <v>15</v>
      </c>
    </row>
    <row r="1748" spans="1:8" x14ac:dyDescent="0.45">
      <c r="A1748">
        <v>7942</v>
      </c>
      <c r="B1748">
        <v>44141</v>
      </c>
      <c r="C1748">
        <v>54</v>
      </c>
      <c r="D1748">
        <v>928.02</v>
      </c>
      <c r="E1748" t="s">
        <v>8</v>
      </c>
      <c r="F1748" t="s">
        <v>1200</v>
      </c>
      <c r="G1748" t="s">
        <v>23</v>
      </c>
      <c r="H1748" t="s">
        <v>11</v>
      </c>
    </row>
    <row r="1749" spans="1:8" x14ac:dyDescent="0.45">
      <c r="A1749">
        <v>7943</v>
      </c>
      <c r="B1749">
        <v>43983</v>
      </c>
      <c r="C1749">
        <v>82</v>
      </c>
      <c r="D1749">
        <v>544.17999999999995</v>
      </c>
      <c r="E1749" t="s">
        <v>25</v>
      </c>
      <c r="F1749" t="s">
        <v>1201</v>
      </c>
      <c r="G1749" t="s">
        <v>20</v>
      </c>
      <c r="H1749" t="s">
        <v>11</v>
      </c>
    </row>
    <row r="1750" spans="1:8" x14ac:dyDescent="0.45">
      <c r="A1750">
        <v>7944</v>
      </c>
      <c r="B1750">
        <v>43848</v>
      </c>
      <c r="C1750">
        <v>14</v>
      </c>
      <c r="D1750">
        <v>1431.29</v>
      </c>
      <c r="E1750" t="s">
        <v>464</v>
      </c>
      <c r="F1750" t="s">
        <v>1202</v>
      </c>
      <c r="G1750" t="s">
        <v>20</v>
      </c>
      <c r="H1750" t="s">
        <v>17</v>
      </c>
    </row>
    <row r="1751" spans="1:8" x14ac:dyDescent="0.45">
      <c r="A1751">
        <v>7945</v>
      </c>
      <c r="B1751">
        <v>43975</v>
      </c>
      <c r="C1751">
        <v>65</v>
      </c>
      <c r="D1751">
        <v>1234.72</v>
      </c>
      <c r="E1751" t="s">
        <v>8</v>
      </c>
      <c r="F1751" t="s">
        <v>1203</v>
      </c>
      <c r="G1751" t="s">
        <v>13</v>
      </c>
      <c r="H1751" t="s">
        <v>15</v>
      </c>
    </row>
    <row r="1752" spans="1:8" x14ac:dyDescent="0.45">
      <c r="A1752">
        <v>7946</v>
      </c>
      <c r="B1752">
        <v>44178</v>
      </c>
      <c r="C1752">
        <v>80</v>
      </c>
      <c r="D1752">
        <v>948.82</v>
      </c>
      <c r="E1752" t="s">
        <v>25</v>
      </c>
      <c r="F1752" t="s">
        <v>1204</v>
      </c>
      <c r="G1752" t="s">
        <v>10</v>
      </c>
      <c r="H1752" t="s">
        <v>17</v>
      </c>
    </row>
    <row r="1753" spans="1:8" x14ac:dyDescent="0.45">
      <c r="A1753">
        <v>7947</v>
      </c>
      <c r="B1753">
        <v>44180</v>
      </c>
      <c r="C1753">
        <v>93</v>
      </c>
      <c r="D1753">
        <v>1376.7</v>
      </c>
      <c r="E1753" t="s">
        <v>8</v>
      </c>
      <c r="F1753" t="s">
        <v>1205</v>
      </c>
      <c r="G1753" t="s">
        <v>10</v>
      </c>
      <c r="H1753" t="s">
        <v>11</v>
      </c>
    </row>
    <row r="1754" spans="1:8" x14ac:dyDescent="0.45">
      <c r="A1754">
        <v>7948</v>
      </c>
      <c r="B1754">
        <v>44065</v>
      </c>
      <c r="C1754">
        <v>26</v>
      </c>
      <c r="D1754">
        <v>1291.46</v>
      </c>
      <c r="E1754" t="s">
        <v>8</v>
      </c>
      <c r="F1754" t="s">
        <v>1206</v>
      </c>
      <c r="G1754" t="s">
        <v>20</v>
      </c>
      <c r="H1754" t="s">
        <v>15</v>
      </c>
    </row>
    <row r="1755" spans="1:8" x14ac:dyDescent="0.45">
      <c r="A1755">
        <v>7949</v>
      </c>
      <c r="B1755">
        <v>43946</v>
      </c>
      <c r="C1755">
        <v>50</v>
      </c>
      <c r="D1755">
        <v>457.64</v>
      </c>
      <c r="E1755" t="s">
        <v>25</v>
      </c>
      <c r="F1755" t="s">
        <v>1207</v>
      </c>
      <c r="G1755" t="s">
        <v>23</v>
      </c>
      <c r="H1755" t="s">
        <v>17</v>
      </c>
    </row>
    <row r="1756" spans="1:8" x14ac:dyDescent="0.45">
      <c r="A1756">
        <v>7950</v>
      </c>
      <c r="B1756">
        <v>43909</v>
      </c>
      <c r="C1756">
        <v>68</v>
      </c>
      <c r="D1756">
        <v>707.63</v>
      </c>
      <c r="E1756" t="s">
        <v>464</v>
      </c>
      <c r="F1756" t="s">
        <v>1208</v>
      </c>
      <c r="G1756" t="s">
        <v>23</v>
      </c>
      <c r="H1756" t="s">
        <v>11</v>
      </c>
    </row>
    <row r="1757" spans="1:8" x14ac:dyDescent="0.45">
      <c r="A1757">
        <v>7951</v>
      </c>
      <c r="B1757">
        <v>44136</v>
      </c>
      <c r="C1757">
        <v>88</v>
      </c>
      <c r="D1757">
        <v>1003.58</v>
      </c>
      <c r="E1757" t="s">
        <v>464</v>
      </c>
      <c r="F1757" t="s">
        <v>1209</v>
      </c>
      <c r="G1757" t="s">
        <v>10</v>
      </c>
      <c r="H1757" t="s">
        <v>15</v>
      </c>
    </row>
    <row r="1758" spans="1:8" x14ac:dyDescent="0.45">
      <c r="A1758">
        <v>7952</v>
      </c>
      <c r="B1758">
        <v>43946</v>
      </c>
      <c r="C1758">
        <v>17</v>
      </c>
      <c r="D1758">
        <v>1040.6500000000001</v>
      </c>
      <c r="E1758" t="s">
        <v>464</v>
      </c>
      <c r="F1758" t="s">
        <v>1210</v>
      </c>
      <c r="G1758" t="s">
        <v>10</v>
      </c>
      <c r="H1758" t="s">
        <v>17</v>
      </c>
    </row>
    <row r="1759" spans="1:8" x14ac:dyDescent="0.45">
      <c r="A1759">
        <v>7953</v>
      </c>
      <c r="B1759">
        <v>44119</v>
      </c>
      <c r="C1759">
        <v>70</v>
      </c>
      <c r="D1759">
        <v>964.12</v>
      </c>
      <c r="E1759" t="s">
        <v>8</v>
      </c>
      <c r="F1759" t="s">
        <v>1211</v>
      </c>
      <c r="G1759" t="s">
        <v>13</v>
      </c>
      <c r="H1759" t="s">
        <v>11</v>
      </c>
    </row>
    <row r="1760" spans="1:8" x14ac:dyDescent="0.45">
      <c r="A1760">
        <v>7954</v>
      </c>
      <c r="B1760">
        <v>44025</v>
      </c>
      <c r="C1760">
        <v>13</v>
      </c>
      <c r="D1760">
        <v>160.06</v>
      </c>
      <c r="E1760" t="s">
        <v>464</v>
      </c>
      <c r="F1760" t="s">
        <v>1212</v>
      </c>
      <c r="G1760" t="s">
        <v>13</v>
      </c>
      <c r="H1760" t="s">
        <v>11</v>
      </c>
    </row>
    <row r="1761" spans="1:8" x14ac:dyDescent="0.45">
      <c r="A1761">
        <v>7955</v>
      </c>
      <c r="B1761">
        <v>43986</v>
      </c>
      <c r="C1761">
        <v>60</v>
      </c>
      <c r="D1761">
        <v>968.35</v>
      </c>
      <c r="E1761" t="s">
        <v>464</v>
      </c>
      <c r="F1761" t="s">
        <v>1213</v>
      </c>
      <c r="G1761" t="s">
        <v>23</v>
      </c>
      <c r="H1761" t="s">
        <v>11</v>
      </c>
    </row>
    <row r="1762" spans="1:8" x14ac:dyDescent="0.45">
      <c r="A1762">
        <v>7956</v>
      </c>
      <c r="B1762">
        <v>43957</v>
      </c>
      <c r="C1762">
        <v>36</v>
      </c>
      <c r="D1762">
        <v>444.33</v>
      </c>
      <c r="E1762" t="s">
        <v>25</v>
      </c>
      <c r="F1762" t="s">
        <v>1214</v>
      </c>
      <c r="G1762" t="s">
        <v>23</v>
      </c>
      <c r="H1762" t="s">
        <v>15</v>
      </c>
    </row>
    <row r="1763" spans="1:8" x14ac:dyDescent="0.45">
      <c r="A1763">
        <v>7957</v>
      </c>
      <c r="B1763">
        <v>43840</v>
      </c>
      <c r="C1763">
        <v>84</v>
      </c>
      <c r="D1763">
        <v>1152.76</v>
      </c>
      <c r="E1763" t="s">
        <v>464</v>
      </c>
      <c r="F1763" t="s">
        <v>1215</v>
      </c>
      <c r="G1763" t="s">
        <v>10</v>
      </c>
      <c r="H1763" t="s">
        <v>15</v>
      </c>
    </row>
    <row r="1764" spans="1:8" x14ac:dyDescent="0.45">
      <c r="A1764">
        <v>7958</v>
      </c>
      <c r="B1764">
        <v>43939</v>
      </c>
      <c r="C1764">
        <v>25</v>
      </c>
      <c r="D1764">
        <v>1029.55</v>
      </c>
      <c r="E1764" t="s">
        <v>25</v>
      </c>
      <c r="F1764" t="s">
        <v>1216</v>
      </c>
      <c r="G1764" t="s">
        <v>23</v>
      </c>
      <c r="H1764" t="s">
        <v>17</v>
      </c>
    </row>
    <row r="1765" spans="1:8" x14ac:dyDescent="0.45">
      <c r="A1765">
        <v>7959</v>
      </c>
      <c r="B1765">
        <v>43997</v>
      </c>
      <c r="C1765">
        <v>40</v>
      </c>
      <c r="D1765">
        <v>804.88</v>
      </c>
      <c r="E1765" t="s">
        <v>464</v>
      </c>
      <c r="F1765" t="s">
        <v>1217</v>
      </c>
      <c r="G1765" t="s">
        <v>10</v>
      </c>
      <c r="H1765" t="s">
        <v>15</v>
      </c>
    </row>
    <row r="1766" spans="1:8" x14ac:dyDescent="0.45">
      <c r="A1766">
        <v>7960</v>
      </c>
      <c r="B1766">
        <v>44006</v>
      </c>
      <c r="C1766">
        <v>35</v>
      </c>
      <c r="D1766">
        <v>493.17</v>
      </c>
      <c r="E1766" t="s">
        <v>464</v>
      </c>
      <c r="F1766" t="s">
        <v>1218</v>
      </c>
      <c r="G1766" t="s">
        <v>20</v>
      </c>
      <c r="H1766" t="s">
        <v>15</v>
      </c>
    </row>
    <row r="1767" spans="1:8" x14ac:dyDescent="0.45">
      <c r="A1767">
        <v>7961</v>
      </c>
      <c r="B1767">
        <v>44094</v>
      </c>
      <c r="C1767">
        <v>72</v>
      </c>
      <c r="D1767">
        <v>663.35</v>
      </c>
      <c r="E1767" t="s">
        <v>25</v>
      </c>
      <c r="F1767" t="s">
        <v>1219</v>
      </c>
      <c r="G1767" t="s">
        <v>10</v>
      </c>
      <c r="H1767" t="s">
        <v>17</v>
      </c>
    </row>
    <row r="1768" spans="1:8" x14ac:dyDescent="0.45">
      <c r="A1768">
        <v>7962</v>
      </c>
      <c r="B1768">
        <v>43914</v>
      </c>
      <c r="C1768">
        <v>24</v>
      </c>
      <c r="D1768">
        <v>74.239999999999995</v>
      </c>
      <c r="E1768" t="s">
        <v>25</v>
      </c>
      <c r="F1768" t="s">
        <v>1220</v>
      </c>
      <c r="G1768" t="s">
        <v>13</v>
      </c>
      <c r="H1768" t="s">
        <v>11</v>
      </c>
    </row>
    <row r="1769" spans="1:8" x14ac:dyDescent="0.45">
      <c r="A1769">
        <v>7963</v>
      </c>
      <c r="B1769">
        <v>43842</v>
      </c>
      <c r="C1769">
        <v>31</v>
      </c>
      <c r="D1769">
        <v>214.43</v>
      </c>
      <c r="E1769" t="s">
        <v>464</v>
      </c>
      <c r="F1769" t="s">
        <v>1221</v>
      </c>
      <c r="G1769" t="s">
        <v>23</v>
      </c>
      <c r="H1769" t="s">
        <v>15</v>
      </c>
    </row>
    <row r="1770" spans="1:8" x14ac:dyDescent="0.45">
      <c r="A1770">
        <v>7964</v>
      </c>
      <c r="B1770">
        <v>43929</v>
      </c>
      <c r="C1770">
        <v>36</v>
      </c>
      <c r="D1770">
        <v>299.45999999999998</v>
      </c>
      <c r="E1770" t="s">
        <v>8</v>
      </c>
      <c r="F1770" t="s">
        <v>1222</v>
      </c>
      <c r="G1770" t="s">
        <v>13</v>
      </c>
      <c r="H1770" t="s">
        <v>15</v>
      </c>
    </row>
    <row r="1771" spans="1:8" x14ac:dyDescent="0.45">
      <c r="A1771">
        <v>7965</v>
      </c>
      <c r="B1771">
        <v>44110</v>
      </c>
      <c r="C1771">
        <v>22</v>
      </c>
      <c r="D1771">
        <v>997.81</v>
      </c>
      <c r="E1771" t="s">
        <v>25</v>
      </c>
      <c r="F1771" t="s">
        <v>1223</v>
      </c>
      <c r="G1771" t="s">
        <v>13</v>
      </c>
      <c r="H1771" t="s">
        <v>17</v>
      </c>
    </row>
    <row r="1772" spans="1:8" x14ac:dyDescent="0.45">
      <c r="A1772">
        <v>7966</v>
      </c>
      <c r="B1772">
        <v>43888</v>
      </c>
      <c r="C1772">
        <v>44</v>
      </c>
      <c r="D1772">
        <v>667.43</v>
      </c>
      <c r="E1772" t="s">
        <v>464</v>
      </c>
      <c r="F1772" t="s">
        <v>1224</v>
      </c>
      <c r="G1772" t="s">
        <v>13</v>
      </c>
      <c r="H1772" t="s">
        <v>15</v>
      </c>
    </row>
    <row r="1773" spans="1:8" x14ac:dyDescent="0.45">
      <c r="A1773">
        <v>7967</v>
      </c>
      <c r="B1773">
        <v>43897</v>
      </c>
      <c r="C1773">
        <v>89</v>
      </c>
      <c r="D1773">
        <v>1083.52</v>
      </c>
      <c r="E1773" t="s">
        <v>464</v>
      </c>
      <c r="F1773" t="s">
        <v>1225</v>
      </c>
      <c r="G1773" t="s">
        <v>13</v>
      </c>
      <c r="H1773" t="s">
        <v>17</v>
      </c>
    </row>
    <row r="1774" spans="1:8" x14ac:dyDescent="0.45">
      <c r="A1774">
        <v>7968</v>
      </c>
      <c r="B1774">
        <v>43956</v>
      </c>
      <c r="C1774">
        <v>79</v>
      </c>
      <c r="D1774">
        <v>520.22</v>
      </c>
      <c r="E1774" t="s">
        <v>25</v>
      </c>
      <c r="F1774" t="s">
        <v>1226</v>
      </c>
      <c r="G1774" t="s">
        <v>13</v>
      </c>
      <c r="H1774" t="s">
        <v>11</v>
      </c>
    </row>
    <row r="1775" spans="1:8" x14ac:dyDescent="0.45">
      <c r="A1775">
        <v>7969</v>
      </c>
      <c r="B1775">
        <v>43869</v>
      </c>
      <c r="C1775">
        <v>81</v>
      </c>
      <c r="D1775">
        <v>375.02</v>
      </c>
      <c r="E1775" t="s">
        <v>464</v>
      </c>
      <c r="F1775" t="s">
        <v>1227</v>
      </c>
      <c r="G1775" t="s">
        <v>10</v>
      </c>
      <c r="H1775" t="s">
        <v>15</v>
      </c>
    </row>
    <row r="1776" spans="1:8" x14ac:dyDescent="0.45">
      <c r="A1776">
        <v>7970</v>
      </c>
      <c r="B1776">
        <v>43882</v>
      </c>
      <c r="C1776">
        <v>89</v>
      </c>
      <c r="D1776">
        <v>546.13</v>
      </c>
      <c r="E1776" t="s">
        <v>464</v>
      </c>
      <c r="F1776" t="s">
        <v>1228</v>
      </c>
      <c r="G1776" t="s">
        <v>10</v>
      </c>
      <c r="H1776" t="s">
        <v>15</v>
      </c>
    </row>
    <row r="1777" spans="1:8" x14ac:dyDescent="0.45">
      <c r="A1777">
        <v>7971</v>
      </c>
      <c r="B1777">
        <v>44032</v>
      </c>
      <c r="C1777">
        <v>5</v>
      </c>
      <c r="D1777">
        <v>492.08</v>
      </c>
      <c r="E1777" t="s">
        <v>25</v>
      </c>
      <c r="F1777" t="s">
        <v>1229</v>
      </c>
      <c r="G1777" t="s">
        <v>23</v>
      </c>
      <c r="H1777" t="s">
        <v>15</v>
      </c>
    </row>
    <row r="1778" spans="1:8" x14ac:dyDescent="0.45">
      <c r="A1778">
        <v>7972</v>
      </c>
      <c r="B1778">
        <v>43992</v>
      </c>
      <c r="C1778">
        <v>48</v>
      </c>
      <c r="D1778">
        <v>578.38</v>
      </c>
      <c r="E1778" t="s">
        <v>464</v>
      </c>
      <c r="F1778" t="s">
        <v>1230</v>
      </c>
      <c r="G1778" t="s">
        <v>13</v>
      </c>
      <c r="H1778" t="s">
        <v>15</v>
      </c>
    </row>
    <row r="1779" spans="1:8" x14ac:dyDescent="0.45">
      <c r="A1779">
        <v>7973</v>
      </c>
      <c r="B1779">
        <v>44079</v>
      </c>
      <c r="C1779">
        <v>4</v>
      </c>
      <c r="D1779">
        <v>981.79</v>
      </c>
      <c r="E1779" t="s">
        <v>464</v>
      </c>
      <c r="F1779" t="s">
        <v>1231</v>
      </c>
      <c r="G1779" t="s">
        <v>20</v>
      </c>
      <c r="H1779" t="s">
        <v>15</v>
      </c>
    </row>
    <row r="1780" spans="1:8" x14ac:dyDescent="0.45">
      <c r="A1780">
        <v>7974</v>
      </c>
      <c r="B1780">
        <v>44118</v>
      </c>
      <c r="C1780">
        <v>30</v>
      </c>
      <c r="D1780">
        <v>584.04</v>
      </c>
      <c r="E1780" t="s">
        <v>8</v>
      </c>
      <c r="F1780" t="s">
        <v>1232</v>
      </c>
      <c r="G1780" t="s">
        <v>20</v>
      </c>
      <c r="H1780" t="s">
        <v>17</v>
      </c>
    </row>
    <row r="1781" spans="1:8" x14ac:dyDescent="0.45">
      <c r="A1781">
        <v>7975</v>
      </c>
      <c r="B1781">
        <v>44007</v>
      </c>
      <c r="C1781">
        <v>100</v>
      </c>
      <c r="D1781">
        <v>781.57</v>
      </c>
      <c r="E1781" t="s">
        <v>8</v>
      </c>
      <c r="F1781" t="s">
        <v>1233</v>
      </c>
      <c r="G1781" t="s">
        <v>10</v>
      </c>
      <c r="H1781" t="s">
        <v>17</v>
      </c>
    </row>
    <row r="1782" spans="1:8" x14ac:dyDescent="0.45">
      <c r="A1782">
        <v>7976</v>
      </c>
      <c r="B1782">
        <v>43838</v>
      </c>
      <c r="C1782">
        <v>51</v>
      </c>
      <c r="D1782">
        <v>1434.64</v>
      </c>
      <c r="E1782" t="s">
        <v>25</v>
      </c>
      <c r="F1782" t="s">
        <v>1234</v>
      </c>
      <c r="G1782" t="s">
        <v>13</v>
      </c>
      <c r="H1782" t="s">
        <v>15</v>
      </c>
    </row>
    <row r="1783" spans="1:8" x14ac:dyDescent="0.45">
      <c r="A1783">
        <v>7977</v>
      </c>
      <c r="B1783">
        <v>43866</v>
      </c>
      <c r="C1783">
        <v>25</v>
      </c>
      <c r="D1783">
        <v>163.05000000000001</v>
      </c>
      <c r="E1783" t="s">
        <v>464</v>
      </c>
      <c r="F1783" t="s">
        <v>1235</v>
      </c>
      <c r="G1783" t="s">
        <v>23</v>
      </c>
      <c r="H1783" t="s">
        <v>15</v>
      </c>
    </row>
    <row r="1784" spans="1:8" x14ac:dyDescent="0.45">
      <c r="A1784">
        <v>7978</v>
      </c>
      <c r="B1784">
        <v>43873</v>
      </c>
      <c r="C1784">
        <v>70</v>
      </c>
      <c r="D1784">
        <v>443.45</v>
      </c>
      <c r="E1784" t="s">
        <v>25</v>
      </c>
      <c r="F1784" t="s">
        <v>1236</v>
      </c>
      <c r="G1784" t="s">
        <v>23</v>
      </c>
      <c r="H1784" t="s">
        <v>17</v>
      </c>
    </row>
    <row r="1785" spans="1:8" x14ac:dyDescent="0.45">
      <c r="A1785">
        <v>7979</v>
      </c>
      <c r="B1785">
        <v>44200</v>
      </c>
      <c r="C1785">
        <v>80</v>
      </c>
      <c r="D1785">
        <v>745.34</v>
      </c>
      <c r="E1785" t="s">
        <v>8</v>
      </c>
      <c r="F1785" t="s">
        <v>1237</v>
      </c>
      <c r="G1785" t="s">
        <v>10</v>
      </c>
      <c r="H1785" t="s">
        <v>15</v>
      </c>
    </row>
    <row r="1786" spans="1:8" x14ac:dyDescent="0.45">
      <c r="A1786">
        <v>7980</v>
      </c>
      <c r="B1786">
        <v>44048</v>
      </c>
      <c r="C1786">
        <v>47</v>
      </c>
      <c r="D1786">
        <v>1174.49</v>
      </c>
      <c r="E1786" t="s">
        <v>8</v>
      </c>
      <c r="F1786" t="s">
        <v>1238</v>
      </c>
      <c r="G1786" t="s">
        <v>20</v>
      </c>
      <c r="H1786" t="s">
        <v>11</v>
      </c>
    </row>
    <row r="1787" spans="1:8" x14ac:dyDescent="0.45">
      <c r="A1787">
        <v>7981</v>
      </c>
      <c r="B1787">
        <v>44193</v>
      </c>
      <c r="C1787">
        <v>43</v>
      </c>
      <c r="D1787">
        <v>1102.49</v>
      </c>
      <c r="E1787" t="s">
        <v>464</v>
      </c>
      <c r="F1787" t="s">
        <v>1239</v>
      </c>
      <c r="G1787" t="s">
        <v>20</v>
      </c>
      <c r="H1787" t="s">
        <v>17</v>
      </c>
    </row>
    <row r="1788" spans="1:8" x14ac:dyDescent="0.45">
      <c r="A1788">
        <v>7982</v>
      </c>
      <c r="B1788">
        <v>44152</v>
      </c>
      <c r="C1788">
        <v>15</v>
      </c>
      <c r="D1788">
        <v>294.92</v>
      </c>
      <c r="E1788" t="s">
        <v>25</v>
      </c>
      <c r="F1788" t="s">
        <v>1240</v>
      </c>
      <c r="G1788" t="s">
        <v>20</v>
      </c>
      <c r="H1788" t="s">
        <v>11</v>
      </c>
    </row>
    <row r="1789" spans="1:8" x14ac:dyDescent="0.45">
      <c r="A1789">
        <v>7983</v>
      </c>
      <c r="B1789">
        <v>44086</v>
      </c>
      <c r="C1789">
        <v>62</v>
      </c>
      <c r="D1789">
        <v>1489.37</v>
      </c>
      <c r="E1789" t="s">
        <v>464</v>
      </c>
      <c r="F1789" t="s">
        <v>1241</v>
      </c>
      <c r="G1789" t="s">
        <v>20</v>
      </c>
      <c r="H1789" t="s">
        <v>11</v>
      </c>
    </row>
    <row r="1790" spans="1:8" x14ac:dyDescent="0.45">
      <c r="A1790">
        <v>7984</v>
      </c>
      <c r="B1790">
        <v>44153</v>
      </c>
      <c r="C1790">
        <v>2</v>
      </c>
      <c r="D1790">
        <v>461.09</v>
      </c>
      <c r="E1790" t="s">
        <v>464</v>
      </c>
      <c r="F1790" t="s">
        <v>1242</v>
      </c>
      <c r="G1790" t="s">
        <v>10</v>
      </c>
      <c r="H1790" t="s">
        <v>17</v>
      </c>
    </row>
    <row r="1791" spans="1:8" x14ac:dyDescent="0.45">
      <c r="A1791">
        <v>7985</v>
      </c>
      <c r="B1791">
        <v>43882</v>
      </c>
      <c r="C1791">
        <v>25</v>
      </c>
      <c r="D1791">
        <v>488.78</v>
      </c>
      <c r="E1791" t="s">
        <v>8</v>
      </c>
      <c r="F1791" t="s">
        <v>1243</v>
      </c>
      <c r="G1791" t="s">
        <v>13</v>
      </c>
      <c r="H1791" t="s">
        <v>11</v>
      </c>
    </row>
    <row r="1792" spans="1:8" x14ac:dyDescent="0.45">
      <c r="A1792">
        <v>7986</v>
      </c>
      <c r="B1792">
        <v>43855</v>
      </c>
      <c r="C1792">
        <v>34</v>
      </c>
      <c r="D1792">
        <v>582.66</v>
      </c>
      <c r="E1792" t="s">
        <v>8</v>
      </c>
      <c r="F1792" t="s">
        <v>1244</v>
      </c>
      <c r="G1792" t="s">
        <v>10</v>
      </c>
      <c r="H1792" t="s">
        <v>17</v>
      </c>
    </row>
    <row r="1793" spans="1:8" x14ac:dyDescent="0.45">
      <c r="A1793">
        <v>7987</v>
      </c>
      <c r="B1793">
        <v>43916</v>
      </c>
      <c r="C1793">
        <v>41</v>
      </c>
      <c r="D1793">
        <v>984.05</v>
      </c>
      <c r="E1793" t="s">
        <v>25</v>
      </c>
      <c r="F1793" t="s">
        <v>1245</v>
      </c>
      <c r="G1793" t="s">
        <v>20</v>
      </c>
      <c r="H1793" t="s">
        <v>15</v>
      </c>
    </row>
    <row r="1794" spans="1:8" x14ac:dyDescent="0.45">
      <c r="A1794">
        <v>7988</v>
      </c>
      <c r="B1794">
        <v>43929</v>
      </c>
      <c r="C1794">
        <v>75</v>
      </c>
      <c r="D1794">
        <v>1315.96</v>
      </c>
      <c r="E1794" t="s">
        <v>8</v>
      </c>
      <c r="F1794" t="s">
        <v>1246</v>
      </c>
      <c r="G1794" t="s">
        <v>13</v>
      </c>
      <c r="H1794" t="s">
        <v>17</v>
      </c>
    </row>
    <row r="1795" spans="1:8" x14ac:dyDescent="0.45">
      <c r="A1795">
        <v>7989</v>
      </c>
      <c r="B1795">
        <v>44077</v>
      </c>
      <c r="C1795">
        <v>81</v>
      </c>
      <c r="D1795">
        <v>1241.47</v>
      </c>
      <c r="E1795" t="s">
        <v>25</v>
      </c>
      <c r="F1795" t="s">
        <v>1247</v>
      </c>
      <c r="G1795" t="s">
        <v>20</v>
      </c>
      <c r="H1795" t="s">
        <v>15</v>
      </c>
    </row>
    <row r="1796" spans="1:8" x14ac:dyDescent="0.45">
      <c r="A1796">
        <v>7990</v>
      </c>
      <c r="B1796">
        <v>43960</v>
      </c>
      <c r="C1796">
        <v>5</v>
      </c>
      <c r="D1796">
        <v>1122.96</v>
      </c>
      <c r="E1796" t="s">
        <v>8</v>
      </c>
      <c r="F1796" t="s">
        <v>1248</v>
      </c>
      <c r="G1796" t="s">
        <v>13</v>
      </c>
      <c r="H1796" t="s">
        <v>15</v>
      </c>
    </row>
    <row r="1797" spans="1:8" x14ac:dyDescent="0.45">
      <c r="A1797">
        <v>7991</v>
      </c>
      <c r="B1797">
        <v>44002</v>
      </c>
      <c r="C1797">
        <v>88</v>
      </c>
      <c r="D1797">
        <v>711.68</v>
      </c>
      <c r="E1797" t="s">
        <v>8</v>
      </c>
      <c r="F1797" t="s">
        <v>1249</v>
      </c>
      <c r="G1797" t="s">
        <v>20</v>
      </c>
      <c r="H1797" t="s">
        <v>11</v>
      </c>
    </row>
    <row r="1798" spans="1:8" x14ac:dyDescent="0.45">
      <c r="A1798">
        <v>7992</v>
      </c>
      <c r="B1798">
        <v>44121</v>
      </c>
      <c r="C1798">
        <v>42</v>
      </c>
      <c r="D1798">
        <v>100.22</v>
      </c>
      <c r="E1798" t="s">
        <v>8</v>
      </c>
      <c r="F1798" t="s">
        <v>1250</v>
      </c>
      <c r="G1798" t="s">
        <v>10</v>
      </c>
      <c r="H1798" t="s">
        <v>17</v>
      </c>
    </row>
    <row r="1799" spans="1:8" x14ac:dyDescent="0.45">
      <c r="A1799">
        <v>7993</v>
      </c>
      <c r="B1799">
        <v>44036</v>
      </c>
      <c r="C1799">
        <v>57</v>
      </c>
      <c r="D1799">
        <v>115.31</v>
      </c>
      <c r="E1799" t="s">
        <v>464</v>
      </c>
      <c r="F1799" t="s">
        <v>1251</v>
      </c>
      <c r="G1799" t="s">
        <v>20</v>
      </c>
      <c r="H1799" t="s">
        <v>17</v>
      </c>
    </row>
    <row r="1800" spans="1:8" x14ac:dyDescent="0.45">
      <c r="A1800">
        <v>7994</v>
      </c>
      <c r="B1800">
        <v>44113</v>
      </c>
      <c r="C1800">
        <v>88</v>
      </c>
      <c r="D1800">
        <v>1009.09</v>
      </c>
      <c r="E1800" t="s">
        <v>8</v>
      </c>
      <c r="F1800" t="s">
        <v>1252</v>
      </c>
      <c r="G1800" t="s">
        <v>23</v>
      </c>
      <c r="H1800" t="s">
        <v>11</v>
      </c>
    </row>
    <row r="1801" spans="1:8" x14ac:dyDescent="0.45">
      <c r="A1801">
        <v>7995</v>
      </c>
      <c r="B1801">
        <v>44114</v>
      </c>
      <c r="C1801">
        <v>24</v>
      </c>
      <c r="D1801">
        <v>1268.96</v>
      </c>
      <c r="E1801" t="s">
        <v>25</v>
      </c>
      <c r="F1801" t="s">
        <v>1253</v>
      </c>
      <c r="G1801" t="s">
        <v>13</v>
      </c>
      <c r="H1801" t="s">
        <v>15</v>
      </c>
    </row>
    <row r="1802" spans="1:8" x14ac:dyDescent="0.45">
      <c r="A1802">
        <v>7996</v>
      </c>
      <c r="B1802">
        <v>44134</v>
      </c>
      <c r="C1802">
        <v>84</v>
      </c>
      <c r="D1802">
        <v>963.28</v>
      </c>
      <c r="E1802" t="s">
        <v>25</v>
      </c>
      <c r="F1802" t="s">
        <v>1254</v>
      </c>
      <c r="G1802" t="s">
        <v>13</v>
      </c>
      <c r="H1802" t="s">
        <v>11</v>
      </c>
    </row>
    <row r="1803" spans="1:8" x14ac:dyDescent="0.45">
      <c r="A1803">
        <v>7997</v>
      </c>
      <c r="B1803">
        <v>43909</v>
      </c>
      <c r="C1803">
        <v>5</v>
      </c>
      <c r="D1803">
        <v>1238.8800000000001</v>
      </c>
      <c r="E1803" t="s">
        <v>25</v>
      </c>
      <c r="F1803" t="s">
        <v>1255</v>
      </c>
      <c r="G1803" t="s">
        <v>10</v>
      </c>
      <c r="H1803" t="s">
        <v>15</v>
      </c>
    </row>
    <row r="1804" spans="1:8" x14ac:dyDescent="0.45">
      <c r="A1804">
        <v>7998</v>
      </c>
      <c r="B1804">
        <v>43839</v>
      </c>
      <c r="C1804">
        <v>41</v>
      </c>
      <c r="D1804">
        <v>921.77</v>
      </c>
      <c r="E1804" t="s">
        <v>25</v>
      </c>
      <c r="F1804" t="s">
        <v>1256</v>
      </c>
      <c r="G1804" t="s">
        <v>13</v>
      </c>
      <c r="H1804" t="s">
        <v>17</v>
      </c>
    </row>
    <row r="1805" spans="1:8" x14ac:dyDescent="0.45">
      <c r="A1805">
        <v>7999</v>
      </c>
      <c r="B1805">
        <v>44029</v>
      </c>
      <c r="C1805">
        <v>90</v>
      </c>
      <c r="D1805">
        <v>1323.06</v>
      </c>
      <c r="E1805" t="s">
        <v>464</v>
      </c>
      <c r="F1805" t="s">
        <v>1257</v>
      </c>
      <c r="G1805" t="s">
        <v>23</v>
      </c>
      <c r="H1805" t="s">
        <v>17</v>
      </c>
    </row>
    <row r="1806" spans="1:8" x14ac:dyDescent="0.45">
      <c r="A1806">
        <v>8000</v>
      </c>
      <c r="B1806">
        <v>44141</v>
      </c>
      <c r="C1806">
        <v>3</v>
      </c>
      <c r="D1806">
        <v>627.38</v>
      </c>
      <c r="E1806" t="s">
        <v>464</v>
      </c>
      <c r="F1806" t="s">
        <v>1258</v>
      </c>
      <c r="G1806" t="s">
        <v>13</v>
      </c>
      <c r="H1806" t="s">
        <v>17</v>
      </c>
    </row>
    <row r="1807" spans="1:8" x14ac:dyDescent="0.45">
      <c r="A1807">
        <v>8001</v>
      </c>
      <c r="B1807">
        <v>44150</v>
      </c>
      <c r="C1807">
        <v>34</v>
      </c>
      <c r="D1807">
        <v>1154.81</v>
      </c>
      <c r="E1807" t="s">
        <v>8</v>
      </c>
      <c r="F1807" t="s">
        <v>1259</v>
      </c>
      <c r="G1807" t="s">
        <v>20</v>
      </c>
      <c r="H1807" t="s">
        <v>15</v>
      </c>
    </row>
    <row r="1808" spans="1:8" x14ac:dyDescent="0.45">
      <c r="A1808">
        <v>8002</v>
      </c>
      <c r="B1808">
        <v>44081</v>
      </c>
      <c r="C1808">
        <v>9</v>
      </c>
      <c r="D1808">
        <v>53.89</v>
      </c>
      <c r="E1808" t="s">
        <v>25</v>
      </c>
      <c r="F1808" t="s">
        <v>1260</v>
      </c>
      <c r="G1808" t="s">
        <v>20</v>
      </c>
      <c r="H1808" t="s">
        <v>17</v>
      </c>
    </row>
    <row r="1809" spans="1:8" x14ac:dyDescent="0.45">
      <c r="A1809">
        <v>8003</v>
      </c>
      <c r="B1809">
        <v>43892</v>
      </c>
      <c r="C1809">
        <v>67</v>
      </c>
      <c r="D1809">
        <v>1349.55</v>
      </c>
      <c r="E1809" t="s">
        <v>464</v>
      </c>
      <c r="F1809" t="s">
        <v>1261</v>
      </c>
      <c r="G1809" t="s">
        <v>23</v>
      </c>
      <c r="H1809" t="s">
        <v>15</v>
      </c>
    </row>
    <row r="1810" spans="1:8" x14ac:dyDescent="0.45">
      <c r="A1810">
        <v>8004</v>
      </c>
      <c r="B1810">
        <v>44009</v>
      </c>
      <c r="C1810">
        <v>96</v>
      </c>
      <c r="D1810">
        <v>685.63</v>
      </c>
      <c r="E1810" t="s">
        <v>8</v>
      </c>
      <c r="F1810" t="s">
        <v>1262</v>
      </c>
      <c r="G1810" t="s">
        <v>10</v>
      </c>
      <c r="H1810" t="s">
        <v>17</v>
      </c>
    </row>
    <row r="1811" spans="1:8" x14ac:dyDescent="0.45">
      <c r="A1811">
        <v>8005</v>
      </c>
      <c r="B1811">
        <v>44052</v>
      </c>
      <c r="C1811">
        <v>25</v>
      </c>
      <c r="D1811">
        <v>147.22999999999999</v>
      </c>
      <c r="E1811" t="s">
        <v>8</v>
      </c>
      <c r="F1811" t="s">
        <v>1263</v>
      </c>
      <c r="G1811" t="s">
        <v>10</v>
      </c>
      <c r="H1811" t="s">
        <v>11</v>
      </c>
    </row>
    <row r="1812" spans="1:8" x14ac:dyDescent="0.45">
      <c r="A1812">
        <v>8006</v>
      </c>
      <c r="B1812">
        <v>44190</v>
      </c>
      <c r="C1812">
        <v>15</v>
      </c>
      <c r="D1812">
        <v>1433.05</v>
      </c>
      <c r="E1812" t="s">
        <v>464</v>
      </c>
      <c r="F1812" t="s">
        <v>1264</v>
      </c>
      <c r="G1812" t="s">
        <v>13</v>
      </c>
      <c r="H1812" t="s">
        <v>17</v>
      </c>
    </row>
    <row r="1813" spans="1:8" x14ac:dyDescent="0.45">
      <c r="A1813">
        <v>8007</v>
      </c>
      <c r="B1813">
        <v>44164</v>
      </c>
      <c r="C1813">
        <v>56</v>
      </c>
      <c r="D1813">
        <v>1238.5899999999999</v>
      </c>
      <c r="E1813" t="s">
        <v>464</v>
      </c>
      <c r="F1813" t="s">
        <v>1265</v>
      </c>
      <c r="G1813" t="s">
        <v>23</v>
      </c>
      <c r="H1813" t="s">
        <v>11</v>
      </c>
    </row>
    <row r="1814" spans="1:8" x14ac:dyDescent="0.45">
      <c r="A1814">
        <v>8008</v>
      </c>
      <c r="B1814">
        <v>44010</v>
      </c>
      <c r="C1814">
        <v>15</v>
      </c>
      <c r="D1814">
        <v>1484.02</v>
      </c>
      <c r="E1814" t="s">
        <v>8</v>
      </c>
      <c r="F1814" t="s">
        <v>1266</v>
      </c>
      <c r="G1814" t="s">
        <v>23</v>
      </c>
      <c r="H1814" t="s">
        <v>17</v>
      </c>
    </row>
    <row r="1815" spans="1:8" x14ac:dyDescent="0.45">
      <c r="A1815">
        <v>8009</v>
      </c>
      <c r="B1815">
        <v>43971</v>
      </c>
      <c r="C1815">
        <v>53</v>
      </c>
      <c r="D1815">
        <v>1427.67</v>
      </c>
      <c r="E1815" t="s">
        <v>25</v>
      </c>
      <c r="F1815" t="s">
        <v>1267</v>
      </c>
      <c r="G1815" t="s">
        <v>20</v>
      </c>
      <c r="H1815" t="s">
        <v>17</v>
      </c>
    </row>
    <row r="1816" spans="1:8" x14ac:dyDescent="0.45">
      <c r="A1816">
        <v>8010</v>
      </c>
      <c r="B1816">
        <v>43994</v>
      </c>
      <c r="C1816">
        <v>34</v>
      </c>
      <c r="D1816">
        <v>702.99</v>
      </c>
      <c r="E1816" t="s">
        <v>464</v>
      </c>
      <c r="F1816" t="s">
        <v>1268</v>
      </c>
      <c r="G1816" t="s">
        <v>13</v>
      </c>
      <c r="H1816" t="s">
        <v>17</v>
      </c>
    </row>
    <row r="1817" spans="1:8" x14ac:dyDescent="0.45">
      <c r="A1817">
        <v>8011</v>
      </c>
      <c r="B1817">
        <v>43908</v>
      </c>
      <c r="C1817">
        <v>27</v>
      </c>
      <c r="D1817">
        <v>490.39</v>
      </c>
      <c r="E1817" t="s">
        <v>464</v>
      </c>
      <c r="F1817" t="s">
        <v>1269</v>
      </c>
      <c r="G1817" t="s">
        <v>20</v>
      </c>
      <c r="H1817" t="s">
        <v>11</v>
      </c>
    </row>
    <row r="1818" spans="1:8" x14ac:dyDescent="0.45">
      <c r="A1818">
        <v>8012</v>
      </c>
      <c r="B1818">
        <v>43937</v>
      </c>
      <c r="C1818">
        <v>60</v>
      </c>
      <c r="D1818">
        <v>982.06</v>
      </c>
      <c r="E1818" t="s">
        <v>464</v>
      </c>
      <c r="F1818" t="s">
        <v>1270</v>
      </c>
      <c r="G1818" t="s">
        <v>13</v>
      </c>
      <c r="H1818" t="s">
        <v>15</v>
      </c>
    </row>
    <row r="1819" spans="1:8" x14ac:dyDescent="0.45">
      <c r="A1819">
        <v>8013</v>
      </c>
      <c r="B1819">
        <v>44144</v>
      </c>
      <c r="C1819">
        <v>44</v>
      </c>
      <c r="D1819">
        <v>297.95</v>
      </c>
      <c r="E1819" t="s">
        <v>8</v>
      </c>
      <c r="F1819" t="s">
        <v>1271</v>
      </c>
      <c r="G1819" t="s">
        <v>23</v>
      </c>
      <c r="H1819" t="s">
        <v>11</v>
      </c>
    </row>
    <row r="1820" spans="1:8" x14ac:dyDescent="0.45">
      <c r="A1820">
        <v>8014</v>
      </c>
      <c r="B1820">
        <v>44199</v>
      </c>
      <c r="C1820">
        <v>12</v>
      </c>
      <c r="D1820">
        <v>1440.68</v>
      </c>
      <c r="E1820" t="s">
        <v>8</v>
      </c>
      <c r="F1820" t="s">
        <v>1272</v>
      </c>
      <c r="G1820" t="s">
        <v>23</v>
      </c>
      <c r="H1820" t="s">
        <v>17</v>
      </c>
    </row>
    <row r="1821" spans="1:8" x14ac:dyDescent="0.45">
      <c r="A1821">
        <v>8015</v>
      </c>
      <c r="B1821">
        <v>43874</v>
      </c>
      <c r="C1821">
        <v>100</v>
      </c>
      <c r="D1821">
        <v>614.61</v>
      </c>
      <c r="E1821" t="s">
        <v>8</v>
      </c>
      <c r="F1821" t="s">
        <v>1273</v>
      </c>
      <c r="G1821" t="s">
        <v>23</v>
      </c>
      <c r="H1821" t="s">
        <v>15</v>
      </c>
    </row>
    <row r="1822" spans="1:8" x14ac:dyDescent="0.45">
      <c r="A1822">
        <v>8016</v>
      </c>
      <c r="B1822">
        <v>44133</v>
      </c>
      <c r="C1822">
        <v>47</v>
      </c>
      <c r="D1822">
        <v>1103.08</v>
      </c>
      <c r="E1822" t="s">
        <v>464</v>
      </c>
      <c r="F1822" t="s">
        <v>1274</v>
      </c>
      <c r="G1822" t="s">
        <v>13</v>
      </c>
      <c r="H1822" t="s">
        <v>11</v>
      </c>
    </row>
    <row r="1823" spans="1:8" x14ac:dyDescent="0.45">
      <c r="A1823">
        <v>8017</v>
      </c>
      <c r="B1823">
        <v>43897</v>
      </c>
      <c r="C1823">
        <v>30</v>
      </c>
      <c r="D1823">
        <v>260.89</v>
      </c>
      <c r="E1823" t="s">
        <v>8</v>
      </c>
      <c r="F1823" t="s">
        <v>1275</v>
      </c>
      <c r="G1823" t="s">
        <v>10</v>
      </c>
      <c r="H1823" t="s">
        <v>11</v>
      </c>
    </row>
    <row r="1824" spans="1:8" x14ac:dyDescent="0.45">
      <c r="A1824">
        <v>8018</v>
      </c>
      <c r="B1824">
        <v>44113</v>
      </c>
      <c r="C1824">
        <v>91</v>
      </c>
      <c r="D1824">
        <v>789.2</v>
      </c>
      <c r="E1824" t="s">
        <v>464</v>
      </c>
      <c r="F1824" t="s">
        <v>1276</v>
      </c>
      <c r="G1824" t="s">
        <v>20</v>
      </c>
      <c r="H1824" t="s">
        <v>11</v>
      </c>
    </row>
    <row r="1825" spans="1:8" x14ac:dyDescent="0.45">
      <c r="A1825">
        <v>8019</v>
      </c>
      <c r="B1825">
        <v>43983</v>
      </c>
      <c r="C1825">
        <v>32</v>
      </c>
      <c r="D1825">
        <v>743.87</v>
      </c>
      <c r="E1825" t="s">
        <v>25</v>
      </c>
      <c r="F1825" t="s">
        <v>1277</v>
      </c>
      <c r="G1825" t="s">
        <v>10</v>
      </c>
      <c r="H1825" t="s">
        <v>15</v>
      </c>
    </row>
    <row r="1826" spans="1:8" x14ac:dyDescent="0.45">
      <c r="A1826">
        <v>8020</v>
      </c>
      <c r="B1826">
        <v>44131</v>
      </c>
      <c r="C1826">
        <v>47</v>
      </c>
      <c r="D1826">
        <v>634.37</v>
      </c>
      <c r="E1826" t="s">
        <v>464</v>
      </c>
      <c r="F1826" t="s">
        <v>1278</v>
      </c>
      <c r="G1826" t="s">
        <v>10</v>
      </c>
      <c r="H1826" t="s">
        <v>17</v>
      </c>
    </row>
    <row r="1827" spans="1:8" x14ac:dyDescent="0.45">
      <c r="A1827">
        <v>8021</v>
      </c>
      <c r="B1827">
        <v>44176</v>
      </c>
      <c r="C1827">
        <v>4</v>
      </c>
      <c r="D1827">
        <v>1345.78</v>
      </c>
      <c r="E1827" t="s">
        <v>25</v>
      </c>
      <c r="F1827" t="s">
        <v>1279</v>
      </c>
      <c r="G1827" t="s">
        <v>10</v>
      </c>
      <c r="H1827" t="s">
        <v>15</v>
      </c>
    </row>
    <row r="1828" spans="1:8" x14ac:dyDescent="0.45">
      <c r="A1828">
        <v>8022</v>
      </c>
      <c r="B1828">
        <v>44170</v>
      </c>
      <c r="C1828">
        <v>18</v>
      </c>
      <c r="D1828">
        <v>154.41</v>
      </c>
      <c r="E1828" t="s">
        <v>464</v>
      </c>
      <c r="F1828" t="s">
        <v>1280</v>
      </c>
      <c r="G1828" t="s">
        <v>10</v>
      </c>
      <c r="H1828" t="s">
        <v>11</v>
      </c>
    </row>
    <row r="1829" spans="1:8" x14ac:dyDescent="0.45">
      <c r="A1829">
        <v>8023</v>
      </c>
      <c r="B1829">
        <v>44104</v>
      </c>
      <c r="C1829">
        <v>44</v>
      </c>
      <c r="D1829">
        <v>74.86</v>
      </c>
      <c r="E1829" t="s">
        <v>25</v>
      </c>
      <c r="F1829" t="s">
        <v>1281</v>
      </c>
      <c r="G1829" t="s">
        <v>13</v>
      </c>
      <c r="H1829" t="s">
        <v>11</v>
      </c>
    </row>
    <row r="1830" spans="1:8" x14ac:dyDescent="0.45">
      <c r="A1830">
        <v>8024</v>
      </c>
      <c r="B1830">
        <v>43937</v>
      </c>
      <c r="C1830">
        <v>86</v>
      </c>
      <c r="D1830">
        <v>1322.64</v>
      </c>
      <c r="E1830" t="s">
        <v>464</v>
      </c>
      <c r="F1830" t="s">
        <v>1282</v>
      </c>
      <c r="G1830" t="s">
        <v>20</v>
      </c>
      <c r="H1830" t="s">
        <v>15</v>
      </c>
    </row>
    <row r="1831" spans="1:8" x14ac:dyDescent="0.45">
      <c r="A1831">
        <v>8025</v>
      </c>
      <c r="B1831">
        <v>43918</v>
      </c>
      <c r="C1831">
        <v>11</v>
      </c>
      <c r="D1831">
        <v>1198.8699999999999</v>
      </c>
      <c r="E1831" t="s">
        <v>8</v>
      </c>
      <c r="F1831" t="s">
        <v>1283</v>
      </c>
      <c r="G1831" t="s">
        <v>10</v>
      </c>
      <c r="H1831" t="s">
        <v>15</v>
      </c>
    </row>
    <row r="1832" spans="1:8" x14ac:dyDescent="0.45">
      <c r="A1832">
        <v>8026</v>
      </c>
      <c r="B1832">
        <v>44195</v>
      </c>
      <c r="C1832">
        <v>94</v>
      </c>
      <c r="D1832">
        <v>364.28</v>
      </c>
      <c r="E1832" t="s">
        <v>464</v>
      </c>
      <c r="F1832" t="s">
        <v>1284</v>
      </c>
      <c r="G1832" t="s">
        <v>10</v>
      </c>
      <c r="H1832" t="s">
        <v>17</v>
      </c>
    </row>
    <row r="1833" spans="1:8" x14ac:dyDescent="0.45">
      <c r="A1833">
        <v>8027</v>
      </c>
      <c r="B1833">
        <v>44001</v>
      </c>
      <c r="C1833">
        <v>91</v>
      </c>
      <c r="D1833">
        <v>53.11</v>
      </c>
      <c r="E1833" t="s">
        <v>8</v>
      </c>
      <c r="F1833" t="s">
        <v>1285</v>
      </c>
      <c r="G1833" t="s">
        <v>13</v>
      </c>
      <c r="H1833" t="s">
        <v>17</v>
      </c>
    </row>
    <row r="1834" spans="1:8" x14ac:dyDescent="0.45">
      <c r="A1834">
        <v>8028</v>
      </c>
      <c r="B1834">
        <v>44110</v>
      </c>
      <c r="C1834">
        <v>37</v>
      </c>
      <c r="D1834">
        <v>913.21</v>
      </c>
      <c r="E1834" t="s">
        <v>25</v>
      </c>
      <c r="F1834" t="s">
        <v>1286</v>
      </c>
      <c r="G1834" t="s">
        <v>23</v>
      </c>
      <c r="H1834" t="s">
        <v>11</v>
      </c>
    </row>
    <row r="1835" spans="1:8" x14ac:dyDescent="0.45">
      <c r="A1835">
        <v>8029</v>
      </c>
      <c r="B1835">
        <v>44185</v>
      </c>
      <c r="C1835">
        <v>99</v>
      </c>
      <c r="D1835">
        <v>253.59</v>
      </c>
      <c r="E1835" t="s">
        <v>25</v>
      </c>
      <c r="F1835" t="s">
        <v>1287</v>
      </c>
      <c r="G1835" t="s">
        <v>20</v>
      </c>
      <c r="H1835" t="s">
        <v>17</v>
      </c>
    </row>
    <row r="1836" spans="1:8" x14ac:dyDescent="0.45">
      <c r="A1836">
        <v>8030</v>
      </c>
      <c r="B1836">
        <v>44026</v>
      </c>
      <c r="C1836">
        <v>95</v>
      </c>
      <c r="D1836">
        <v>1087.6199999999999</v>
      </c>
      <c r="E1836" t="s">
        <v>25</v>
      </c>
      <c r="F1836" t="s">
        <v>1288</v>
      </c>
      <c r="G1836" t="s">
        <v>10</v>
      </c>
      <c r="H1836" t="s">
        <v>11</v>
      </c>
    </row>
    <row r="1837" spans="1:8" x14ac:dyDescent="0.45">
      <c r="A1837">
        <v>8031</v>
      </c>
      <c r="B1837">
        <v>44017</v>
      </c>
      <c r="C1837">
        <v>27</v>
      </c>
      <c r="D1837">
        <v>1195.46</v>
      </c>
      <c r="E1837" t="s">
        <v>25</v>
      </c>
      <c r="F1837" t="s">
        <v>1289</v>
      </c>
      <c r="G1837" t="s">
        <v>10</v>
      </c>
      <c r="H1837" t="s">
        <v>17</v>
      </c>
    </row>
    <row r="1838" spans="1:8" x14ac:dyDescent="0.45">
      <c r="A1838">
        <v>8032</v>
      </c>
      <c r="B1838">
        <v>43933</v>
      </c>
      <c r="C1838">
        <v>64</v>
      </c>
      <c r="D1838">
        <v>898.55</v>
      </c>
      <c r="E1838" t="s">
        <v>464</v>
      </c>
      <c r="F1838" t="s">
        <v>1290</v>
      </c>
      <c r="G1838" t="s">
        <v>20</v>
      </c>
      <c r="H1838" t="s">
        <v>15</v>
      </c>
    </row>
    <row r="1839" spans="1:8" x14ac:dyDescent="0.45">
      <c r="A1839">
        <v>8033</v>
      </c>
      <c r="B1839">
        <v>44158</v>
      </c>
      <c r="C1839">
        <v>13</v>
      </c>
      <c r="D1839">
        <v>741.51</v>
      </c>
      <c r="E1839" t="s">
        <v>464</v>
      </c>
      <c r="F1839" t="s">
        <v>1291</v>
      </c>
      <c r="G1839" t="s">
        <v>13</v>
      </c>
      <c r="H1839" t="s">
        <v>11</v>
      </c>
    </row>
    <row r="1840" spans="1:8" x14ac:dyDescent="0.45">
      <c r="A1840">
        <v>8034</v>
      </c>
      <c r="B1840">
        <v>43842</v>
      </c>
      <c r="C1840">
        <v>4</v>
      </c>
      <c r="D1840">
        <v>208.85</v>
      </c>
      <c r="E1840" t="s">
        <v>25</v>
      </c>
      <c r="F1840" t="s">
        <v>1292</v>
      </c>
      <c r="G1840" t="s">
        <v>23</v>
      </c>
      <c r="H1840" t="s">
        <v>11</v>
      </c>
    </row>
    <row r="1841" spans="1:8" x14ac:dyDescent="0.45">
      <c r="A1841">
        <v>8035</v>
      </c>
      <c r="B1841">
        <v>44196</v>
      </c>
      <c r="C1841">
        <v>74</v>
      </c>
      <c r="D1841">
        <v>1089.6500000000001</v>
      </c>
      <c r="E1841" t="s">
        <v>25</v>
      </c>
      <c r="F1841" t="s">
        <v>1293</v>
      </c>
      <c r="G1841" t="s">
        <v>23</v>
      </c>
      <c r="H1841" t="s">
        <v>15</v>
      </c>
    </row>
    <row r="1842" spans="1:8" x14ac:dyDescent="0.45">
      <c r="A1842">
        <v>8036</v>
      </c>
      <c r="B1842">
        <v>43874</v>
      </c>
      <c r="C1842">
        <v>47</v>
      </c>
      <c r="D1842">
        <v>1065.21</v>
      </c>
      <c r="E1842" t="s">
        <v>25</v>
      </c>
      <c r="F1842" t="s">
        <v>1294</v>
      </c>
      <c r="G1842" t="s">
        <v>13</v>
      </c>
      <c r="H1842" t="s">
        <v>15</v>
      </c>
    </row>
    <row r="1843" spans="1:8" x14ac:dyDescent="0.45">
      <c r="A1843">
        <v>8037</v>
      </c>
      <c r="B1843">
        <v>43947</v>
      </c>
      <c r="C1843">
        <v>98</v>
      </c>
      <c r="D1843">
        <v>566.04999999999995</v>
      </c>
      <c r="E1843" t="s">
        <v>25</v>
      </c>
      <c r="F1843" t="s">
        <v>1295</v>
      </c>
      <c r="G1843" t="s">
        <v>23</v>
      </c>
      <c r="H1843" t="s">
        <v>17</v>
      </c>
    </row>
    <row r="1844" spans="1:8" x14ac:dyDescent="0.45">
      <c r="A1844">
        <v>8038</v>
      </c>
      <c r="B1844">
        <v>44063</v>
      </c>
      <c r="C1844">
        <v>64</v>
      </c>
      <c r="D1844">
        <v>569.76</v>
      </c>
      <c r="E1844" t="s">
        <v>25</v>
      </c>
      <c r="F1844" t="s">
        <v>1296</v>
      </c>
      <c r="G1844" t="s">
        <v>23</v>
      </c>
      <c r="H1844" t="s">
        <v>11</v>
      </c>
    </row>
    <row r="1845" spans="1:8" x14ac:dyDescent="0.45">
      <c r="A1845">
        <v>8039</v>
      </c>
      <c r="B1845">
        <v>44178</v>
      </c>
      <c r="C1845">
        <v>28</v>
      </c>
      <c r="D1845">
        <v>789.89</v>
      </c>
      <c r="E1845" t="s">
        <v>25</v>
      </c>
      <c r="F1845" t="s">
        <v>1297</v>
      </c>
      <c r="G1845" t="s">
        <v>13</v>
      </c>
      <c r="H1845" t="s">
        <v>17</v>
      </c>
    </row>
    <row r="1846" spans="1:8" x14ac:dyDescent="0.45">
      <c r="A1846">
        <v>8040</v>
      </c>
      <c r="B1846">
        <v>43928</v>
      </c>
      <c r="C1846">
        <v>90</v>
      </c>
      <c r="D1846">
        <v>1498.19</v>
      </c>
      <c r="E1846" t="s">
        <v>8</v>
      </c>
      <c r="F1846" t="s">
        <v>1298</v>
      </c>
      <c r="G1846" t="s">
        <v>20</v>
      </c>
      <c r="H1846" t="s">
        <v>17</v>
      </c>
    </row>
    <row r="1847" spans="1:8" x14ac:dyDescent="0.45">
      <c r="A1847">
        <v>8041</v>
      </c>
      <c r="B1847">
        <v>43937</v>
      </c>
      <c r="C1847">
        <v>83</v>
      </c>
      <c r="D1847">
        <v>811.94</v>
      </c>
      <c r="E1847" t="s">
        <v>8</v>
      </c>
      <c r="F1847" t="s">
        <v>1299</v>
      </c>
      <c r="G1847" t="s">
        <v>23</v>
      </c>
      <c r="H1847" t="s">
        <v>17</v>
      </c>
    </row>
    <row r="1848" spans="1:8" x14ac:dyDescent="0.45">
      <c r="A1848">
        <v>8042</v>
      </c>
      <c r="B1848">
        <v>44004</v>
      </c>
      <c r="C1848">
        <v>2</v>
      </c>
      <c r="D1848">
        <v>733.96</v>
      </c>
      <c r="E1848" t="s">
        <v>464</v>
      </c>
      <c r="F1848" t="s">
        <v>1300</v>
      </c>
      <c r="G1848" t="s">
        <v>10</v>
      </c>
      <c r="H1848" t="s">
        <v>17</v>
      </c>
    </row>
    <row r="1849" spans="1:8" x14ac:dyDescent="0.45">
      <c r="A1849">
        <v>8043</v>
      </c>
      <c r="B1849">
        <v>43887</v>
      </c>
      <c r="C1849">
        <v>78</v>
      </c>
      <c r="D1849">
        <v>245.31</v>
      </c>
      <c r="E1849" t="s">
        <v>25</v>
      </c>
      <c r="F1849" t="s">
        <v>1301</v>
      </c>
      <c r="G1849" t="s">
        <v>13</v>
      </c>
      <c r="H1849" t="s">
        <v>17</v>
      </c>
    </row>
    <row r="1850" spans="1:8" x14ac:dyDescent="0.45">
      <c r="A1850">
        <v>8044</v>
      </c>
      <c r="B1850">
        <v>43870</v>
      </c>
      <c r="C1850">
        <v>86</v>
      </c>
      <c r="D1850">
        <v>398.84</v>
      </c>
      <c r="E1850" t="s">
        <v>25</v>
      </c>
      <c r="F1850" t="s">
        <v>1302</v>
      </c>
      <c r="G1850" t="s">
        <v>20</v>
      </c>
      <c r="H1850" t="s">
        <v>11</v>
      </c>
    </row>
    <row r="1851" spans="1:8" x14ac:dyDescent="0.45">
      <c r="A1851">
        <v>8045</v>
      </c>
      <c r="B1851">
        <v>44013</v>
      </c>
      <c r="C1851">
        <v>42</v>
      </c>
      <c r="D1851">
        <v>245.88</v>
      </c>
      <c r="E1851" t="s">
        <v>8</v>
      </c>
      <c r="F1851" t="s">
        <v>1303</v>
      </c>
      <c r="G1851" t="s">
        <v>23</v>
      </c>
      <c r="H1851" t="s">
        <v>17</v>
      </c>
    </row>
    <row r="1852" spans="1:8" x14ac:dyDescent="0.45">
      <c r="A1852">
        <v>8046</v>
      </c>
      <c r="B1852">
        <v>43983</v>
      </c>
      <c r="C1852">
        <v>81</v>
      </c>
      <c r="D1852">
        <v>444.15</v>
      </c>
      <c r="E1852" t="s">
        <v>25</v>
      </c>
      <c r="F1852" t="s">
        <v>1304</v>
      </c>
      <c r="G1852" t="s">
        <v>20</v>
      </c>
      <c r="H1852" t="s">
        <v>11</v>
      </c>
    </row>
    <row r="1853" spans="1:8" x14ac:dyDescent="0.45">
      <c r="A1853">
        <v>8047</v>
      </c>
      <c r="B1853">
        <v>43864</v>
      </c>
      <c r="C1853">
        <v>77</v>
      </c>
      <c r="D1853">
        <v>829.17</v>
      </c>
      <c r="E1853" t="s">
        <v>8</v>
      </c>
      <c r="F1853" t="s">
        <v>1305</v>
      </c>
      <c r="G1853" t="s">
        <v>23</v>
      </c>
      <c r="H1853" t="s">
        <v>11</v>
      </c>
    </row>
    <row r="1854" spans="1:8" x14ac:dyDescent="0.45">
      <c r="A1854">
        <v>8048</v>
      </c>
      <c r="B1854">
        <v>44036</v>
      </c>
      <c r="C1854">
        <v>7</v>
      </c>
      <c r="D1854">
        <v>774.02</v>
      </c>
      <c r="E1854" t="s">
        <v>464</v>
      </c>
      <c r="F1854" t="s">
        <v>1306</v>
      </c>
      <c r="G1854" t="s">
        <v>10</v>
      </c>
      <c r="H1854" t="s">
        <v>17</v>
      </c>
    </row>
    <row r="1855" spans="1:8" x14ac:dyDescent="0.45">
      <c r="A1855">
        <v>8049</v>
      </c>
      <c r="B1855">
        <v>44056</v>
      </c>
      <c r="C1855">
        <v>7</v>
      </c>
      <c r="D1855">
        <v>577.62</v>
      </c>
      <c r="E1855" t="s">
        <v>464</v>
      </c>
      <c r="F1855" t="s">
        <v>1307</v>
      </c>
      <c r="G1855" t="s">
        <v>23</v>
      </c>
      <c r="H1855" t="s">
        <v>17</v>
      </c>
    </row>
    <row r="1856" spans="1:8" x14ac:dyDescent="0.45">
      <c r="A1856">
        <v>8050</v>
      </c>
      <c r="B1856">
        <v>44130</v>
      </c>
      <c r="C1856">
        <v>89</v>
      </c>
      <c r="D1856">
        <v>686.28</v>
      </c>
      <c r="E1856" t="s">
        <v>8</v>
      </c>
      <c r="F1856" t="s">
        <v>1308</v>
      </c>
      <c r="G1856" t="s">
        <v>10</v>
      </c>
      <c r="H1856" t="s">
        <v>11</v>
      </c>
    </row>
    <row r="1857" spans="1:8" x14ac:dyDescent="0.45">
      <c r="A1857">
        <v>8051</v>
      </c>
      <c r="B1857">
        <v>44060</v>
      </c>
      <c r="C1857">
        <v>47</v>
      </c>
      <c r="D1857">
        <v>399.53</v>
      </c>
      <c r="E1857" t="s">
        <v>25</v>
      </c>
      <c r="F1857" t="s">
        <v>1309</v>
      </c>
      <c r="G1857" t="s">
        <v>10</v>
      </c>
      <c r="H1857" t="s">
        <v>15</v>
      </c>
    </row>
    <row r="1858" spans="1:8" x14ac:dyDescent="0.45">
      <c r="A1858">
        <v>8052</v>
      </c>
      <c r="B1858">
        <v>43907</v>
      </c>
      <c r="C1858">
        <v>82</v>
      </c>
      <c r="D1858">
        <v>495.18</v>
      </c>
      <c r="E1858" t="s">
        <v>8</v>
      </c>
      <c r="F1858" t="s">
        <v>1310</v>
      </c>
      <c r="G1858" t="s">
        <v>20</v>
      </c>
      <c r="H1858" t="s">
        <v>15</v>
      </c>
    </row>
    <row r="1859" spans="1:8" x14ac:dyDescent="0.45">
      <c r="A1859">
        <v>8053</v>
      </c>
      <c r="B1859">
        <v>44153</v>
      </c>
      <c r="C1859">
        <v>34</v>
      </c>
      <c r="D1859">
        <v>387.35</v>
      </c>
      <c r="E1859" t="s">
        <v>25</v>
      </c>
      <c r="F1859" t="s">
        <v>1311</v>
      </c>
      <c r="G1859" t="s">
        <v>13</v>
      </c>
      <c r="H1859" t="s">
        <v>11</v>
      </c>
    </row>
    <row r="1860" spans="1:8" x14ac:dyDescent="0.45">
      <c r="A1860">
        <v>8054</v>
      </c>
      <c r="B1860">
        <v>43962</v>
      </c>
      <c r="C1860">
        <v>30</v>
      </c>
      <c r="D1860">
        <v>619.21</v>
      </c>
      <c r="E1860" t="s">
        <v>25</v>
      </c>
      <c r="F1860" t="s">
        <v>1312</v>
      </c>
      <c r="G1860" t="s">
        <v>13</v>
      </c>
      <c r="H1860" t="s">
        <v>15</v>
      </c>
    </row>
    <row r="1861" spans="1:8" x14ac:dyDescent="0.45">
      <c r="A1861">
        <v>8055</v>
      </c>
      <c r="B1861">
        <v>43962</v>
      </c>
      <c r="C1861">
        <v>51</v>
      </c>
      <c r="D1861">
        <v>1015.27</v>
      </c>
      <c r="E1861" t="s">
        <v>8</v>
      </c>
      <c r="F1861" t="s">
        <v>1313</v>
      </c>
      <c r="G1861" t="s">
        <v>10</v>
      </c>
      <c r="H1861" t="s">
        <v>17</v>
      </c>
    </row>
    <row r="1862" spans="1:8" x14ac:dyDescent="0.45">
      <c r="A1862">
        <v>8056</v>
      </c>
      <c r="B1862">
        <v>44094</v>
      </c>
      <c r="C1862">
        <v>83</v>
      </c>
      <c r="D1862">
        <v>712.26</v>
      </c>
      <c r="E1862" t="s">
        <v>8</v>
      </c>
      <c r="F1862" t="s">
        <v>1314</v>
      </c>
      <c r="G1862" t="s">
        <v>13</v>
      </c>
      <c r="H1862" t="s">
        <v>17</v>
      </c>
    </row>
    <row r="1863" spans="1:8" x14ac:dyDescent="0.45">
      <c r="A1863">
        <v>8057</v>
      </c>
      <c r="B1863">
        <v>44107</v>
      </c>
      <c r="C1863">
        <v>26</v>
      </c>
      <c r="D1863">
        <v>76.400000000000006</v>
      </c>
      <c r="E1863" t="s">
        <v>25</v>
      </c>
      <c r="F1863" t="s">
        <v>1315</v>
      </c>
      <c r="G1863" t="s">
        <v>23</v>
      </c>
      <c r="H1863" t="s">
        <v>17</v>
      </c>
    </row>
    <row r="1864" spans="1:8" x14ac:dyDescent="0.45">
      <c r="A1864">
        <v>8058</v>
      </c>
      <c r="B1864">
        <v>44007</v>
      </c>
      <c r="C1864">
        <v>89</v>
      </c>
      <c r="D1864">
        <v>1432.8</v>
      </c>
      <c r="E1864" t="s">
        <v>464</v>
      </c>
      <c r="F1864" t="s">
        <v>1316</v>
      </c>
      <c r="G1864" t="s">
        <v>10</v>
      </c>
      <c r="H1864" t="s">
        <v>11</v>
      </c>
    </row>
    <row r="1865" spans="1:8" x14ac:dyDescent="0.45">
      <c r="A1865">
        <v>8059</v>
      </c>
      <c r="B1865">
        <v>44176</v>
      </c>
      <c r="C1865">
        <v>34</v>
      </c>
      <c r="D1865">
        <v>1436.1</v>
      </c>
      <c r="E1865" t="s">
        <v>8</v>
      </c>
      <c r="F1865" t="s">
        <v>1317</v>
      </c>
      <c r="G1865" t="s">
        <v>20</v>
      </c>
      <c r="H1865" t="s">
        <v>17</v>
      </c>
    </row>
    <row r="1866" spans="1:8" x14ac:dyDescent="0.45">
      <c r="A1866">
        <v>8060</v>
      </c>
      <c r="B1866">
        <v>44086</v>
      </c>
      <c r="C1866">
        <v>80</v>
      </c>
      <c r="D1866">
        <v>677.09</v>
      </c>
      <c r="E1866" t="s">
        <v>25</v>
      </c>
      <c r="F1866" t="s">
        <v>1318</v>
      </c>
      <c r="G1866" t="s">
        <v>10</v>
      </c>
      <c r="H1866" t="s">
        <v>11</v>
      </c>
    </row>
    <row r="1867" spans="1:8" x14ac:dyDescent="0.45">
      <c r="A1867">
        <v>8061</v>
      </c>
      <c r="B1867">
        <v>43979</v>
      </c>
      <c r="C1867">
        <v>8</v>
      </c>
      <c r="D1867">
        <v>1029.55</v>
      </c>
      <c r="E1867" t="s">
        <v>464</v>
      </c>
      <c r="F1867" t="s">
        <v>1319</v>
      </c>
      <c r="G1867" t="s">
        <v>23</v>
      </c>
      <c r="H1867" t="s">
        <v>17</v>
      </c>
    </row>
    <row r="1868" spans="1:8" x14ac:dyDescent="0.45">
      <c r="A1868">
        <v>8062</v>
      </c>
      <c r="B1868">
        <v>44120</v>
      </c>
      <c r="C1868">
        <v>73</v>
      </c>
      <c r="D1868">
        <v>154.69999999999999</v>
      </c>
      <c r="E1868" t="s">
        <v>25</v>
      </c>
      <c r="F1868" t="s">
        <v>1320</v>
      </c>
      <c r="G1868" t="s">
        <v>20</v>
      </c>
      <c r="H1868" t="s">
        <v>15</v>
      </c>
    </row>
    <row r="1869" spans="1:8" x14ac:dyDescent="0.45">
      <c r="A1869">
        <v>8063</v>
      </c>
      <c r="B1869">
        <v>43841</v>
      </c>
      <c r="C1869">
        <v>56</v>
      </c>
      <c r="D1869">
        <v>820.01</v>
      </c>
      <c r="E1869" t="s">
        <v>464</v>
      </c>
      <c r="F1869" t="s">
        <v>1321</v>
      </c>
      <c r="G1869" t="s">
        <v>20</v>
      </c>
      <c r="H1869" t="s">
        <v>17</v>
      </c>
    </row>
    <row r="1870" spans="1:8" x14ac:dyDescent="0.45">
      <c r="A1870">
        <v>8064</v>
      </c>
      <c r="B1870">
        <v>44181</v>
      </c>
      <c r="C1870">
        <v>59</v>
      </c>
      <c r="D1870">
        <v>838.28</v>
      </c>
      <c r="E1870" t="s">
        <v>25</v>
      </c>
      <c r="F1870" t="s">
        <v>1322</v>
      </c>
      <c r="G1870" t="s">
        <v>10</v>
      </c>
      <c r="H1870" t="s">
        <v>17</v>
      </c>
    </row>
    <row r="1871" spans="1:8" x14ac:dyDescent="0.45">
      <c r="A1871">
        <v>8065</v>
      </c>
      <c r="B1871">
        <v>43853</v>
      </c>
      <c r="C1871">
        <v>15</v>
      </c>
      <c r="D1871">
        <v>303.48</v>
      </c>
      <c r="E1871" t="s">
        <v>464</v>
      </c>
      <c r="F1871" t="s">
        <v>1323</v>
      </c>
      <c r="G1871" t="s">
        <v>10</v>
      </c>
      <c r="H1871" t="s">
        <v>11</v>
      </c>
    </row>
    <row r="1872" spans="1:8" x14ac:dyDescent="0.45">
      <c r="A1872">
        <v>8066</v>
      </c>
      <c r="B1872">
        <v>43981</v>
      </c>
      <c r="C1872">
        <v>23</v>
      </c>
      <c r="D1872">
        <v>53.98</v>
      </c>
      <c r="E1872" t="s">
        <v>464</v>
      </c>
      <c r="F1872" t="s">
        <v>1324</v>
      </c>
      <c r="G1872" t="s">
        <v>13</v>
      </c>
      <c r="H1872" t="s">
        <v>17</v>
      </c>
    </row>
    <row r="1873" spans="1:8" x14ac:dyDescent="0.45">
      <c r="A1873">
        <v>8067</v>
      </c>
      <c r="B1873">
        <v>44139</v>
      </c>
      <c r="C1873">
        <v>24</v>
      </c>
      <c r="D1873">
        <v>1005.44</v>
      </c>
      <c r="E1873" t="s">
        <v>25</v>
      </c>
      <c r="F1873" t="s">
        <v>1325</v>
      </c>
      <c r="G1873" t="s">
        <v>23</v>
      </c>
      <c r="H1873" t="s">
        <v>17</v>
      </c>
    </row>
    <row r="1874" spans="1:8" x14ac:dyDescent="0.45">
      <c r="A1874">
        <v>8068</v>
      </c>
      <c r="B1874">
        <v>44100</v>
      </c>
      <c r="C1874">
        <v>40</v>
      </c>
      <c r="D1874">
        <v>950.56</v>
      </c>
      <c r="E1874" t="s">
        <v>8</v>
      </c>
      <c r="F1874" t="s">
        <v>1326</v>
      </c>
      <c r="G1874" t="s">
        <v>23</v>
      </c>
      <c r="H1874" t="s">
        <v>11</v>
      </c>
    </row>
    <row r="1875" spans="1:8" x14ac:dyDescent="0.45">
      <c r="A1875">
        <v>8069</v>
      </c>
      <c r="B1875">
        <v>44144</v>
      </c>
      <c r="C1875">
        <v>76</v>
      </c>
      <c r="D1875">
        <v>301.04000000000002</v>
      </c>
      <c r="E1875" t="s">
        <v>464</v>
      </c>
      <c r="F1875" t="s">
        <v>1327</v>
      </c>
      <c r="G1875" t="s">
        <v>13</v>
      </c>
      <c r="H1875" t="s">
        <v>17</v>
      </c>
    </row>
    <row r="1876" spans="1:8" x14ac:dyDescent="0.45">
      <c r="A1876">
        <v>8070</v>
      </c>
      <c r="B1876">
        <v>44035</v>
      </c>
      <c r="C1876">
        <v>11</v>
      </c>
      <c r="D1876">
        <v>576.27</v>
      </c>
      <c r="E1876" t="s">
        <v>25</v>
      </c>
      <c r="F1876" t="s">
        <v>1328</v>
      </c>
      <c r="G1876" t="s">
        <v>13</v>
      </c>
      <c r="H1876" t="s">
        <v>15</v>
      </c>
    </row>
    <row r="1877" spans="1:8" x14ac:dyDescent="0.45">
      <c r="A1877">
        <v>8071</v>
      </c>
      <c r="B1877">
        <v>44188</v>
      </c>
      <c r="C1877">
        <v>53</v>
      </c>
      <c r="D1877">
        <v>467.33</v>
      </c>
      <c r="E1877" t="s">
        <v>8</v>
      </c>
      <c r="F1877" t="s">
        <v>1329</v>
      </c>
      <c r="G1877" t="s">
        <v>13</v>
      </c>
      <c r="H1877" t="s">
        <v>17</v>
      </c>
    </row>
    <row r="1878" spans="1:8" x14ac:dyDescent="0.45">
      <c r="A1878">
        <v>8072</v>
      </c>
      <c r="B1878">
        <v>44173</v>
      </c>
      <c r="C1878">
        <v>40</v>
      </c>
      <c r="D1878">
        <v>1223.1199999999999</v>
      </c>
      <c r="E1878" t="s">
        <v>25</v>
      </c>
      <c r="F1878" t="s">
        <v>1330</v>
      </c>
      <c r="G1878" t="s">
        <v>20</v>
      </c>
      <c r="H1878" t="s">
        <v>11</v>
      </c>
    </row>
    <row r="1879" spans="1:8" x14ac:dyDescent="0.45">
      <c r="A1879">
        <v>8073</v>
      </c>
      <c r="B1879">
        <v>43839</v>
      </c>
      <c r="C1879">
        <v>19</v>
      </c>
      <c r="D1879">
        <v>384.91</v>
      </c>
      <c r="E1879" t="s">
        <v>25</v>
      </c>
      <c r="F1879" t="s">
        <v>1331</v>
      </c>
      <c r="G1879" t="s">
        <v>13</v>
      </c>
      <c r="H1879" t="s">
        <v>15</v>
      </c>
    </row>
    <row r="1880" spans="1:8" x14ac:dyDescent="0.45">
      <c r="A1880">
        <v>8074</v>
      </c>
      <c r="B1880">
        <v>43870</v>
      </c>
      <c r="C1880">
        <v>18</v>
      </c>
      <c r="D1880">
        <v>967.37</v>
      </c>
      <c r="E1880" t="s">
        <v>25</v>
      </c>
      <c r="F1880" t="s">
        <v>1332</v>
      </c>
      <c r="G1880" t="s">
        <v>13</v>
      </c>
      <c r="H1880" t="s">
        <v>15</v>
      </c>
    </row>
    <row r="1881" spans="1:8" x14ac:dyDescent="0.45">
      <c r="A1881">
        <v>8075</v>
      </c>
      <c r="B1881">
        <v>44077</v>
      </c>
      <c r="C1881">
        <v>39</v>
      </c>
      <c r="D1881">
        <v>839.6</v>
      </c>
      <c r="E1881" t="s">
        <v>8</v>
      </c>
      <c r="F1881" t="s">
        <v>1333</v>
      </c>
      <c r="G1881" t="s">
        <v>10</v>
      </c>
      <c r="H1881" t="s">
        <v>15</v>
      </c>
    </row>
    <row r="1882" spans="1:8" x14ac:dyDescent="0.45">
      <c r="A1882">
        <v>8076</v>
      </c>
      <c r="B1882">
        <v>43929</v>
      </c>
      <c r="C1882">
        <v>71</v>
      </c>
      <c r="D1882">
        <v>380.5</v>
      </c>
      <c r="E1882" t="s">
        <v>8</v>
      </c>
      <c r="F1882" t="s">
        <v>1334</v>
      </c>
      <c r="G1882" t="s">
        <v>10</v>
      </c>
      <c r="H1882" t="s">
        <v>17</v>
      </c>
    </row>
    <row r="1883" spans="1:8" x14ac:dyDescent="0.45">
      <c r="A1883">
        <v>8077</v>
      </c>
      <c r="B1883">
        <v>44101</v>
      </c>
      <c r="C1883">
        <v>54</v>
      </c>
      <c r="D1883">
        <v>1300.6600000000001</v>
      </c>
      <c r="E1883" t="s">
        <v>8</v>
      </c>
      <c r="F1883" t="s">
        <v>1335</v>
      </c>
      <c r="G1883" t="s">
        <v>20</v>
      </c>
      <c r="H1883" t="s">
        <v>17</v>
      </c>
    </row>
    <row r="1884" spans="1:8" x14ac:dyDescent="0.45">
      <c r="A1884">
        <v>8078</v>
      </c>
      <c r="B1884">
        <v>43842</v>
      </c>
      <c r="C1884">
        <v>49</v>
      </c>
      <c r="D1884">
        <v>751.73</v>
      </c>
      <c r="E1884" t="s">
        <v>464</v>
      </c>
      <c r="F1884" t="s">
        <v>1336</v>
      </c>
      <c r="G1884" t="s">
        <v>10</v>
      </c>
      <c r="H1884" t="s">
        <v>15</v>
      </c>
    </row>
    <row r="1885" spans="1:8" x14ac:dyDescent="0.45">
      <c r="A1885">
        <v>8079</v>
      </c>
      <c r="B1885">
        <v>44160</v>
      </c>
      <c r="C1885">
        <v>3</v>
      </c>
      <c r="D1885">
        <v>729.28</v>
      </c>
      <c r="E1885" t="s">
        <v>25</v>
      </c>
      <c r="F1885" t="s">
        <v>1337</v>
      </c>
      <c r="G1885" t="s">
        <v>13</v>
      </c>
      <c r="H1885" t="s">
        <v>17</v>
      </c>
    </row>
    <row r="1886" spans="1:8" x14ac:dyDescent="0.45">
      <c r="A1886">
        <v>8080</v>
      </c>
      <c r="B1886">
        <v>43900</v>
      </c>
      <c r="C1886">
        <v>38</v>
      </c>
      <c r="D1886">
        <v>228.74</v>
      </c>
      <c r="E1886" t="s">
        <v>464</v>
      </c>
      <c r="F1886" t="s">
        <v>1338</v>
      </c>
      <c r="G1886" t="s">
        <v>23</v>
      </c>
      <c r="H1886" t="s">
        <v>17</v>
      </c>
    </row>
    <row r="1887" spans="1:8" x14ac:dyDescent="0.45">
      <c r="A1887">
        <v>8081</v>
      </c>
      <c r="B1887">
        <v>44198</v>
      </c>
      <c r="C1887">
        <v>5</v>
      </c>
      <c r="D1887">
        <v>1033.94</v>
      </c>
      <c r="E1887" t="s">
        <v>8</v>
      </c>
      <c r="F1887" t="s">
        <v>1339</v>
      </c>
      <c r="G1887" t="s">
        <v>20</v>
      </c>
      <c r="H1887" t="s">
        <v>11</v>
      </c>
    </row>
    <row r="1888" spans="1:8" x14ac:dyDescent="0.45">
      <c r="A1888">
        <v>8082</v>
      </c>
      <c r="B1888">
        <v>43841</v>
      </c>
      <c r="C1888">
        <v>86</v>
      </c>
      <c r="D1888">
        <v>706.14</v>
      </c>
      <c r="E1888" t="s">
        <v>8</v>
      </c>
      <c r="F1888" t="s">
        <v>1340</v>
      </c>
      <c r="G1888" t="s">
        <v>10</v>
      </c>
      <c r="H1888" t="s">
        <v>11</v>
      </c>
    </row>
    <row r="1889" spans="1:8" x14ac:dyDescent="0.45">
      <c r="A1889">
        <v>8083</v>
      </c>
      <c r="B1889">
        <v>44028</v>
      </c>
      <c r="C1889">
        <v>51</v>
      </c>
      <c r="D1889">
        <v>1147.8900000000001</v>
      </c>
      <c r="E1889" t="s">
        <v>8</v>
      </c>
      <c r="F1889" t="s">
        <v>1341</v>
      </c>
      <c r="G1889" t="s">
        <v>10</v>
      </c>
      <c r="H1889" t="s">
        <v>17</v>
      </c>
    </row>
    <row r="1890" spans="1:8" x14ac:dyDescent="0.45">
      <c r="A1890">
        <v>8084</v>
      </c>
      <c r="B1890">
        <v>43923</v>
      </c>
      <c r="C1890">
        <v>25</v>
      </c>
      <c r="D1890">
        <v>508.57</v>
      </c>
      <c r="E1890" t="s">
        <v>464</v>
      </c>
      <c r="F1890" t="s">
        <v>1342</v>
      </c>
      <c r="G1890" t="s">
        <v>10</v>
      </c>
      <c r="H1890" t="s">
        <v>17</v>
      </c>
    </row>
    <row r="1891" spans="1:8" x14ac:dyDescent="0.45">
      <c r="A1891">
        <v>8085</v>
      </c>
      <c r="B1891">
        <v>44067</v>
      </c>
      <c r="C1891">
        <v>40</v>
      </c>
      <c r="D1891">
        <v>247.14</v>
      </c>
      <c r="E1891" t="s">
        <v>25</v>
      </c>
      <c r="F1891" t="s">
        <v>1343</v>
      </c>
      <c r="G1891" t="s">
        <v>10</v>
      </c>
      <c r="H1891" t="s">
        <v>17</v>
      </c>
    </row>
    <row r="1892" spans="1:8" x14ac:dyDescent="0.45">
      <c r="A1892">
        <v>8086</v>
      </c>
      <c r="B1892">
        <v>44149</v>
      </c>
      <c r="C1892">
        <v>51</v>
      </c>
      <c r="D1892">
        <v>728.05</v>
      </c>
      <c r="E1892" t="s">
        <v>25</v>
      </c>
      <c r="F1892" t="s">
        <v>1344</v>
      </c>
      <c r="G1892" t="s">
        <v>23</v>
      </c>
      <c r="H1892" t="s">
        <v>15</v>
      </c>
    </row>
    <row r="1893" spans="1:8" x14ac:dyDescent="0.45">
      <c r="A1893">
        <v>8087</v>
      </c>
      <c r="B1893">
        <v>44149</v>
      </c>
      <c r="C1893">
        <v>53</v>
      </c>
      <c r="D1893">
        <v>1492.6</v>
      </c>
      <c r="E1893" t="s">
        <v>8</v>
      </c>
      <c r="F1893" t="s">
        <v>1345</v>
      </c>
      <c r="G1893" t="s">
        <v>23</v>
      </c>
      <c r="H1893" t="s">
        <v>15</v>
      </c>
    </row>
    <row r="1894" spans="1:8" x14ac:dyDescent="0.45">
      <c r="A1894">
        <v>8088</v>
      </c>
      <c r="B1894">
        <v>43891</v>
      </c>
      <c r="C1894">
        <v>13</v>
      </c>
      <c r="D1894">
        <v>1326.99</v>
      </c>
      <c r="E1894" t="s">
        <v>8</v>
      </c>
      <c r="F1894" t="s">
        <v>1346</v>
      </c>
      <c r="G1894" t="s">
        <v>13</v>
      </c>
      <c r="H1894" t="s">
        <v>15</v>
      </c>
    </row>
    <row r="1895" spans="1:8" x14ac:dyDescent="0.45">
      <c r="A1895">
        <v>8089</v>
      </c>
      <c r="B1895">
        <v>44061</v>
      </c>
      <c r="C1895">
        <v>69</v>
      </c>
      <c r="D1895">
        <v>700.49</v>
      </c>
      <c r="E1895" t="s">
        <v>25</v>
      </c>
      <c r="F1895" t="s">
        <v>1347</v>
      </c>
      <c r="G1895" t="s">
        <v>10</v>
      </c>
      <c r="H1895" t="s">
        <v>11</v>
      </c>
    </row>
    <row r="1896" spans="1:8" x14ac:dyDescent="0.45">
      <c r="A1896">
        <v>8090</v>
      </c>
      <c r="B1896">
        <v>43896</v>
      </c>
      <c r="C1896">
        <v>8</v>
      </c>
      <c r="D1896">
        <v>1430.83</v>
      </c>
      <c r="E1896" t="s">
        <v>25</v>
      </c>
      <c r="F1896" t="s">
        <v>1348</v>
      </c>
      <c r="G1896" t="s">
        <v>20</v>
      </c>
      <c r="H1896" t="s">
        <v>15</v>
      </c>
    </row>
    <row r="1897" spans="1:8" x14ac:dyDescent="0.45">
      <c r="A1897">
        <v>8091</v>
      </c>
      <c r="B1897">
        <v>43937</v>
      </c>
      <c r="C1897">
        <v>69</v>
      </c>
      <c r="D1897">
        <v>1147.8499999999999</v>
      </c>
      <c r="E1897" t="s">
        <v>464</v>
      </c>
      <c r="F1897" t="s">
        <v>1349</v>
      </c>
      <c r="G1897" t="s">
        <v>20</v>
      </c>
      <c r="H1897" t="s">
        <v>11</v>
      </c>
    </row>
    <row r="1898" spans="1:8" x14ac:dyDescent="0.45">
      <c r="A1898">
        <v>8092</v>
      </c>
      <c r="B1898">
        <v>44123</v>
      </c>
      <c r="C1898">
        <v>46</v>
      </c>
      <c r="D1898">
        <v>1011.69</v>
      </c>
      <c r="E1898" t="s">
        <v>25</v>
      </c>
      <c r="F1898" t="s">
        <v>1350</v>
      </c>
      <c r="G1898" t="s">
        <v>13</v>
      </c>
      <c r="H1898" t="s">
        <v>11</v>
      </c>
    </row>
    <row r="1899" spans="1:8" x14ac:dyDescent="0.45">
      <c r="A1899">
        <v>8093</v>
      </c>
      <c r="B1899">
        <v>44188</v>
      </c>
      <c r="C1899">
        <v>82</v>
      </c>
      <c r="D1899">
        <v>1066.77</v>
      </c>
      <c r="E1899" t="s">
        <v>464</v>
      </c>
      <c r="F1899" t="s">
        <v>1351</v>
      </c>
      <c r="G1899" t="s">
        <v>23</v>
      </c>
      <c r="H1899" t="s">
        <v>17</v>
      </c>
    </row>
    <row r="1900" spans="1:8" x14ac:dyDescent="0.45">
      <c r="A1900">
        <v>8094</v>
      </c>
      <c r="B1900">
        <v>43859</v>
      </c>
      <c r="C1900">
        <v>26</v>
      </c>
      <c r="D1900">
        <v>385.91</v>
      </c>
      <c r="E1900" t="s">
        <v>8</v>
      </c>
      <c r="F1900" t="s">
        <v>1352</v>
      </c>
      <c r="G1900" t="s">
        <v>23</v>
      </c>
      <c r="H1900" t="s">
        <v>17</v>
      </c>
    </row>
    <row r="1901" spans="1:8" x14ac:dyDescent="0.45">
      <c r="A1901">
        <v>8095</v>
      </c>
      <c r="B1901">
        <v>44126</v>
      </c>
      <c r="C1901">
        <v>69</v>
      </c>
      <c r="D1901">
        <v>968.3</v>
      </c>
      <c r="E1901" t="s">
        <v>8</v>
      </c>
      <c r="F1901" t="s">
        <v>1353</v>
      </c>
      <c r="G1901" t="s">
        <v>20</v>
      </c>
      <c r="H1901" t="s">
        <v>15</v>
      </c>
    </row>
    <row r="1902" spans="1:8" x14ac:dyDescent="0.45">
      <c r="A1902">
        <v>8096</v>
      </c>
      <c r="B1902">
        <v>44062</v>
      </c>
      <c r="C1902">
        <v>17</v>
      </c>
      <c r="D1902">
        <v>434.21</v>
      </c>
      <c r="E1902" t="s">
        <v>25</v>
      </c>
      <c r="F1902" t="s">
        <v>1354</v>
      </c>
      <c r="G1902" t="s">
        <v>13</v>
      </c>
      <c r="H1902" t="s">
        <v>15</v>
      </c>
    </row>
    <row r="1903" spans="1:8" x14ac:dyDescent="0.45">
      <c r="A1903">
        <v>8097</v>
      </c>
      <c r="B1903">
        <v>43947</v>
      </c>
      <c r="C1903">
        <v>66</v>
      </c>
      <c r="D1903">
        <v>944.71</v>
      </c>
      <c r="E1903" t="s">
        <v>464</v>
      </c>
      <c r="F1903" t="s">
        <v>1355</v>
      </c>
      <c r="G1903" t="s">
        <v>23</v>
      </c>
      <c r="H1903" t="s">
        <v>15</v>
      </c>
    </row>
    <row r="1904" spans="1:8" x14ac:dyDescent="0.45">
      <c r="A1904">
        <v>8098</v>
      </c>
      <c r="B1904">
        <v>44033</v>
      </c>
      <c r="C1904">
        <v>45</v>
      </c>
      <c r="D1904">
        <v>1324.55</v>
      </c>
      <c r="E1904" t="s">
        <v>25</v>
      </c>
      <c r="F1904" t="s">
        <v>1356</v>
      </c>
      <c r="G1904" t="s">
        <v>23</v>
      </c>
      <c r="H1904" t="s">
        <v>11</v>
      </c>
    </row>
    <row r="1905" spans="1:8" x14ac:dyDescent="0.45">
      <c r="A1905">
        <v>8099</v>
      </c>
      <c r="B1905">
        <v>44142</v>
      </c>
      <c r="C1905">
        <v>56</v>
      </c>
      <c r="D1905">
        <v>645.15</v>
      </c>
      <c r="E1905" t="s">
        <v>8</v>
      </c>
      <c r="F1905" t="s">
        <v>1357</v>
      </c>
      <c r="G1905" t="s">
        <v>10</v>
      </c>
      <c r="H1905" t="s">
        <v>17</v>
      </c>
    </row>
    <row r="1906" spans="1:8" x14ac:dyDescent="0.45">
      <c r="A1906">
        <v>8100</v>
      </c>
      <c r="B1906">
        <v>44148</v>
      </c>
      <c r="C1906">
        <v>77</v>
      </c>
      <c r="D1906">
        <v>132.77000000000001</v>
      </c>
      <c r="E1906" t="s">
        <v>464</v>
      </c>
      <c r="F1906" t="s">
        <v>1358</v>
      </c>
      <c r="G1906" t="s">
        <v>10</v>
      </c>
      <c r="H1906" t="s">
        <v>17</v>
      </c>
    </row>
    <row r="1907" spans="1:8" x14ac:dyDescent="0.45">
      <c r="A1907">
        <v>8101</v>
      </c>
      <c r="B1907">
        <v>44105</v>
      </c>
      <c r="C1907">
        <v>81</v>
      </c>
      <c r="D1907">
        <v>419.32</v>
      </c>
      <c r="E1907" t="s">
        <v>464</v>
      </c>
      <c r="F1907" t="s">
        <v>1359</v>
      </c>
      <c r="G1907" t="s">
        <v>13</v>
      </c>
      <c r="H1907" t="s">
        <v>15</v>
      </c>
    </row>
    <row r="1908" spans="1:8" x14ac:dyDescent="0.45">
      <c r="A1908">
        <v>8102</v>
      </c>
      <c r="B1908">
        <v>43977</v>
      </c>
      <c r="C1908">
        <v>16</v>
      </c>
      <c r="D1908">
        <v>407.43</v>
      </c>
      <c r="E1908" t="s">
        <v>8</v>
      </c>
      <c r="F1908" t="s">
        <v>1360</v>
      </c>
      <c r="G1908" t="s">
        <v>10</v>
      </c>
      <c r="H1908" t="s">
        <v>11</v>
      </c>
    </row>
    <row r="1909" spans="1:8" x14ac:dyDescent="0.45">
      <c r="A1909">
        <v>8103</v>
      </c>
      <c r="B1909">
        <v>44158</v>
      </c>
      <c r="C1909">
        <v>85</v>
      </c>
      <c r="D1909">
        <v>507.77</v>
      </c>
      <c r="E1909" t="s">
        <v>464</v>
      </c>
      <c r="F1909" t="s">
        <v>1361</v>
      </c>
      <c r="G1909" t="s">
        <v>23</v>
      </c>
      <c r="H1909" t="s">
        <v>17</v>
      </c>
    </row>
    <row r="1910" spans="1:8" x14ac:dyDescent="0.45">
      <c r="A1910">
        <v>8104</v>
      </c>
      <c r="B1910">
        <v>43853</v>
      </c>
      <c r="C1910">
        <v>72</v>
      </c>
      <c r="D1910">
        <v>91.88</v>
      </c>
      <c r="E1910" t="s">
        <v>8</v>
      </c>
      <c r="F1910" t="s">
        <v>1362</v>
      </c>
      <c r="G1910" t="s">
        <v>23</v>
      </c>
      <c r="H1910" t="s">
        <v>17</v>
      </c>
    </row>
    <row r="1911" spans="1:8" x14ac:dyDescent="0.45">
      <c r="A1911">
        <v>8105</v>
      </c>
      <c r="B1911">
        <v>43861</v>
      </c>
      <c r="C1911">
        <v>95</v>
      </c>
      <c r="D1911">
        <v>1370.34</v>
      </c>
      <c r="E1911" t="s">
        <v>8</v>
      </c>
      <c r="F1911" t="s">
        <v>1363</v>
      </c>
      <c r="G1911" t="s">
        <v>23</v>
      </c>
      <c r="H1911" t="s">
        <v>15</v>
      </c>
    </row>
    <row r="1912" spans="1:8" x14ac:dyDescent="0.45">
      <c r="A1912">
        <v>8106</v>
      </c>
      <c r="B1912">
        <v>43965</v>
      </c>
      <c r="C1912">
        <v>23</v>
      </c>
      <c r="D1912">
        <v>636.71</v>
      </c>
      <c r="E1912" t="s">
        <v>8</v>
      </c>
      <c r="F1912" t="s">
        <v>1364</v>
      </c>
      <c r="G1912" t="s">
        <v>10</v>
      </c>
      <c r="H1912" t="s">
        <v>17</v>
      </c>
    </row>
    <row r="1913" spans="1:8" x14ac:dyDescent="0.45">
      <c r="A1913">
        <v>8107</v>
      </c>
      <c r="B1913">
        <v>43971</v>
      </c>
      <c r="C1913">
        <v>15</v>
      </c>
      <c r="D1913">
        <v>806.24</v>
      </c>
      <c r="E1913" t="s">
        <v>8</v>
      </c>
      <c r="F1913" t="s">
        <v>1365</v>
      </c>
      <c r="G1913" t="s">
        <v>10</v>
      </c>
      <c r="H1913" t="s">
        <v>11</v>
      </c>
    </row>
    <row r="1914" spans="1:8" x14ac:dyDescent="0.45">
      <c r="A1914">
        <v>8108</v>
      </c>
      <c r="B1914">
        <v>44020</v>
      </c>
      <c r="C1914">
        <v>31</v>
      </c>
      <c r="D1914">
        <v>369.31</v>
      </c>
      <c r="E1914" t="s">
        <v>464</v>
      </c>
      <c r="F1914" t="s">
        <v>1366</v>
      </c>
      <c r="G1914" t="s">
        <v>10</v>
      </c>
      <c r="H1914" t="s">
        <v>17</v>
      </c>
    </row>
    <row r="1915" spans="1:8" x14ac:dyDescent="0.45">
      <c r="A1915">
        <v>8109</v>
      </c>
      <c r="B1915">
        <v>43916</v>
      </c>
      <c r="C1915">
        <v>44</v>
      </c>
      <c r="D1915">
        <v>227.38</v>
      </c>
      <c r="E1915" t="s">
        <v>464</v>
      </c>
      <c r="F1915" t="s">
        <v>1367</v>
      </c>
      <c r="G1915" t="s">
        <v>13</v>
      </c>
      <c r="H1915" t="s">
        <v>15</v>
      </c>
    </row>
    <row r="1916" spans="1:8" x14ac:dyDescent="0.45">
      <c r="A1916">
        <v>8110</v>
      </c>
      <c r="B1916">
        <v>43951</v>
      </c>
      <c r="C1916">
        <v>96</v>
      </c>
      <c r="D1916">
        <v>1156.7</v>
      </c>
      <c r="E1916" t="s">
        <v>25</v>
      </c>
      <c r="F1916" t="s">
        <v>1368</v>
      </c>
      <c r="G1916" t="s">
        <v>13</v>
      </c>
      <c r="H1916" t="s">
        <v>15</v>
      </c>
    </row>
    <row r="1917" spans="1:8" x14ac:dyDescent="0.45">
      <c r="A1917">
        <v>8111</v>
      </c>
      <c r="B1917">
        <v>44092</v>
      </c>
      <c r="C1917">
        <v>9</v>
      </c>
      <c r="D1917">
        <v>116.01</v>
      </c>
      <c r="E1917" t="s">
        <v>8</v>
      </c>
      <c r="F1917" t="s">
        <v>1369</v>
      </c>
      <c r="G1917" t="s">
        <v>13</v>
      </c>
      <c r="H1917" t="s">
        <v>11</v>
      </c>
    </row>
    <row r="1918" spans="1:8" x14ac:dyDescent="0.45">
      <c r="A1918">
        <v>8112</v>
      </c>
      <c r="B1918">
        <v>43970</v>
      </c>
      <c r="C1918">
        <v>37</v>
      </c>
      <c r="D1918">
        <v>1228.26</v>
      </c>
      <c r="E1918" t="s">
        <v>8</v>
      </c>
      <c r="F1918" t="s">
        <v>1370</v>
      </c>
      <c r="G1918" t="s">
        <v>20</v>
      </c>
      <c r="H1918" t="s">
        <v>15</v>
      </c>
    </row>
    <row r="1919" spans="1:8" x14ac:dyDescent="0.45">
      <c r="A1919">
        <v>8113</v>
      </c>
      <c r="B1919">
        <v>44165</v>
      </c>
      <c r="C1919">
        <v>18</v>
      </c>
      <c r="D1919">
        <v>1154.74</v>
      </c>
      <c r="E1919" t="s">
        <v>8</v>
      </c>
      <c r="F1919" t="s">
        <v>1371</v>
      </c>
      <c r="G1919" t="s">
        <v>20</v>
      </c>
      <c r="H1919" t="s">
        <v>15</v>
      </c>
    </row>
    <row r="1920" spans="1:8" x14ac:dyDescent="0.45">
      <c r="A1920">
        <v>8114</v>
      </c>
      <c r="B1920">
        <v>44151</v>
      </c>
      <c r="C1920">
        <v>89</v>
      </c>
      <c r="D1920">
        <v>1287.1199999999999</v>
      </c>
      <c r="E1920" t="s">
        <v>25</v>
      </c>
      <c r="F1920" t="s">
        <v>1372</v>
      </c>
      <c r="G1920" t="s">
        <v>23</v>
      </c>
      <c r="H1920" t="s">
        <v>11</v>
      </c>
    </row>
    <row r="1921" spans="1:8" x14ac:dyDescent="0.45">
      <c r="A1921">
        <v>8115</v>
      </c>
      <c r="B1921">
        <v>44137</v>
      </c>
      <c r="C1921">
        <v>90</v>
      </c>
      <c r="D1921">
        <v>193.04</v>
      </c>
      <c r="E1921" t="s">
        <v>8</v>
      </c>
      <c r="F1921" t="s">
        <v>1373</v>
      </c>
      <c r="G1921" t="s">
        <v>13</v>
      </c>
      <c r="H1921" t="s">
        <v>17</v>
      </c>
    </row>
    <row r="1922" spans="1:8" x14ac:dyDescent="0.45">
      <c r="A1922">
        <v>8116</v>
      </c>
      <c r="B1922">
        <v>43986</v>
      </c>
      <c r="C1922">
        <v>23</v>
      </c>
      <c r="D1922">
        <v>1292.9000000000001</v>
      </c>
      <c r="E1922" t="s">
        <v>8</v>
      </c>
      <c r="F1922" t="s">
        <v>1374</v>
      </c>
      <c r="G1922" t="s">
        <v>20</v>
      </c>
      <c r="H1922" t="s">
        <v>17</v>
      </c>
    </row>
    <row r="1923" spans="1:8" x14ac:dyDescent="0.45">
      <c r="A1923">
        <v>8117</v>
      </c>
      <c r="B1923">
        <v>43855</v>
      </c>
      <c r="C1923">
        <v>14</v>
      </c>
      <c r="D1923">
        <v>245.46</v>
      </c>
      <c r="E1923" t="s">
        <v>464</v>
      </c>
      <c r="F1923" t="s">
        <v>1375</v>
      </c>
      <c r="G1923" t="s">
        <v>10</v>
      </c>
      <c r="H1923" t="s">
        <v>11</v>
      </c>
    </row>
    <row r="1924" spans="1:8" x14ac:dyDescent="0.45">
      <c r="A1924">
        <v>8118</v>
      </c>
      <c r="B1924">
        <v>44192</v>
      </c>
      <c r="C1924">
        <v>35</v>
      </c>
      <c r="D1924">
        <v>881.71</v>
      </c>
      <c r="E1924" t="s">
        <v>8</v>
      </c>
      <c r="F1924" t="s">
        <v>1376</v>
      </c>
      <c r="G1924" t="s">
        <v>13</v>
      </c>
      <c r="H1924" t="s">
        <v>11</v>
      </c>
    </row>
    <row r="1925" spans="1:8" x14ac:dyDescent="0.45">
      <c r="A1925">
        <v>8119</v>
      </c>
      <c r="B1925">
        <v>43868</v>
      </c>
      <c r="C1925">
        <v>20</v>
      </c>
      <c r="D1925">
        <v>1253.71</v>
      </c>
      <c r="E1925" t="s">
        <v>25</v>
      </c>
      <c r="F1925" t="s">
        <v>1377</v>
      </c>
      <c r="G1925" t="s">
        <v>13</v>
      </c>
      <c r="H1925" t="s">
        <v>17</v>
      </c>
    </row>
    <row r="1926" spans="1:8" x14ac:dyDescent="0.45">
      <c r="A1926">
        <v>8120</v>
      </c>
      <c r="B1926">
        <v>43855</v>
      </c>
      <c r="C1926">
        <v>90</v>
      </c>
      <c r="D1926">
        <v>832.75</v>
      </c>
      <c r="E1926" t="s">
        <v>464</v>
      </c>
      <c r="F1926" t="s">
        <v>1378</v>
      </c>
      <c r="G1926" t="s">
        <v>13</v>
      </c>
      <c r="H1926" t="s">
        <v>11</v>
      </c>
    </row>
    <row r="1927" spans="1:8" x14ac:dyDescent="0.45">
      <c r="A1927">
        <v>8121</v>
      </c>
      <c r="B1927">
        <v>43995</v>
      </c>
      <c r="C1927">
        <v>27</v>
      </c>
      <c r="D1927">
        <v>901.87</v>
      </c>
      <c r="E1927" t="s">
        <v>464</v>
      </c>
      <c r="F1927" t="s">
        <v>1379</v>
      </c>
      <c r="G1927" t="s">
        <v>10</v>
      </c>
      <c r="H1927" t="s">
        <v>17</v>
      </c>
    </row>
    <row r="1928" spans="1:8" x14ac:dyDescent="0.45">
      <c r="A1928">
        <v>8122</v>
      </c>
      <c r="B1928">
        <v>44131</v>
      </c>
      <c r="C1928">
        <v>38</v>
      </c>
      <c r="D1928">
        <v>814.62</v>
      </c>
      <c r="E1928" t="s">
        <v>464</v>
      </c>
      <c r="F1928" t="s">
        <v>1380</v>
      </c>
      <c r="G1928" t="s">
        <v>13</v>
      </c>
      <c r="H1928" t="s">
        <v>15</v>
      </c>
    </row>
    <row r="1929" spans="1:8" x14ac:dyDescent="0.45">
      <c r="A1929">
        <v>8123</v>
      </c>
      <c r="B1929">
        <v>44074</v>
      </c>
      <c r="C1929">
        <v>17</v>
      </c>
      <c r="D1929">
        <v>1276.1300000000001</v>
      </c>
      <c r="E1929" t="s">
        <v>464</v>
      </c>
      <c r="F1929" t="s">
        <v>1381</v>
      </c>
      <c r="G1929" t="s">
        <v>13</v>
      </c>
      <c r="H1929" t="s">
        <v>17</v>
      </c>
    </row>
    <row r="1930" spans="1:8" x14ac:dyDescent="0.45">
      <c r="A1930">
        <v>8124</v>
      </c>
      <c r="B1930">
        <v>44117</v>
      </c>
      <c r="C1930">
        <v>53</v>
      </c>
      <c r="D1930">
        <v>1420.84</v>
      </c>
      <c r="E1930" t="s">
        <v>8</v>
      </c>
      <c r="F1930" t="s">
        <v>1382</v>
      </c>
      <c r="G1930" t="s">
        <v>20</v>
      </c>
      <c r="H1930" t="s">
        <v>11</v>
      </c>
    </row>
    <row r="1931" spans="1:8" x14ac:dyDescent="0.45">
      <c r="A1931">
        <v>8125</v>
      </c>
      <c r="B1931">
        <v>44160</v>
      </c>
      <c r="C1931">
        <v>75</v>
      </c>
      <c r="D1931">
        <v>554.75</v>
      </c>
      <c r="E1931" t="s">
        <v>464</v>
      </c>
      <c r="F1931" t="s">
        <v>1383</v>
      </c>
      <c r="G1931" t="s">
        <v>13</v>
      </c>
      <c r="H1931" t="s">
        <v>17</v>
      </c>
    </row>
    <row r="1932" spans="1:8" x14ac:dyDescent="0.45">
      <c r="A1932">
        <v>8126</v>
      </c>
      <c r="B1932">
        <v>44151</v>
      </c>
      <c r="C1932">
        <v>22</v>
      </c>
      <c r="D1932">
        <v>902.91</v>
      </c>
      <c r="E1932" t="s">
        <v>25</v>
      </c>
      <c r="F1932" t="s">
        <v>1384</v>
      </c>
      <c r="G1932" t="s">
        <v>13</v>
      </c>
      <c r="H1932" t="s">
        <v>17</v>
      </c>
    </row>
    <row r="1933" spans="1:8" x14ac:dyDescent="0.45">
      <c r="A1933">
        <v>8127</v>
      </c>
      <c r="B1933">
        <v>43974</v>
      </c>
      <c r="C1933">
        <v>15</v>
      </c>
      <c r="D1933">
        <v>1482.96</v>
      </c>
      <c r="E1933" t="s">
        <v>464</v>
      </c>
      <c r="F1933" t="s">
        <v>1385</v>
      </c>
      <c r="G1933" t="s">
        <v>20</v>
      </c>
      <c r="H1933" t="s">
        <v>15</v>
      </c>
    </row>
    <row r="1934" spans="1:8" x14ac:dyDescent="0.45">
      <c r="A1934">
        <v>8128</v>
      </c>
      <c r="B1934">
        <v>44060</v>
      </c>
      <c r="C1934">
        <v>4</v>
      </c>
      <c r="D1934">
        <v>137.86000000000001</v>
      </c>
      <c r="E1934" t="s">
        <v>8</v>
      </c>
      <c r="F1934" t="s">
        <v>1386</v>
      </c>
      <c r="G1934" t="s">
        <v>13</v>
      </c>
      <c r="H1934" t="s">
        <v>11</v>
      </c>
    </row>
    <row r="1935" spans="1:8" x14ac:dyDescent="0.45">
      <c r="A1935">
        <v>8129</v>
      </c>
      <c r="B1935">
        <v>43941</v>
      </c>
      <c r="C1935">
        <v>73</v>
      </c>
      <c r="D1935">
        <v>765.68</v>
      </c>
      <c r="E1935" t="s">
        <v>464</v>
      </c>
      <c r="F1935" t="s">
        <v>1387</v>
      </c>
      <c r="G1935" t="s">
        <v>23</v>
      </c>
      <c r="H1935" t="s">
        <v>15</v>
      </c>
    </row>
    <row r="1936" spans="1:8" x14ac:dyDescent="0.45">
      <c r="A1936">
        <v>8130</v>
      </c>
      <c r="B1936">
        <v>43846</v>
      </c>
      <c r="C1936">
        <v>54</v>
      </c>
      <c r="D1936">
        <v>1469</v>
      </c>
      <c r="E1936" t="s">
        <v>25</v>
      </c>
      <c r="F1936" t="s">
        <v>1388</v>
      </c>
      <c r="G1936" t="s">
        <v>20</v>
      </c>
      <c r="H1936" t="s">
        <v>11</v>
      </c>
    </row>
    <row r="1937" spans="1:8" x14ac:dyDescent="0.45">
      <c r="A1937">
        <v>8131</v>
      </c>
      <c r="B1937">
        <v>43944</v>
      </c>
      <c r="C1937">
        <v>40</v>
      </c>
      <c r="D1937">
        <v>1004.76</v>
      </c>
      <c r="E1937" t="s">
        <v>464</v>
      </c>
      <c r="F1937" t="s">
        <v>1389</v>
      </c>
      <c r="G1937" t="s">
        <v>13</v>
      </c>
      <c r="H1937" t="s">
        <v>11</v>
      </c>
    </row>
    <row r="1938" spans="1:8" x14ac:dyDescent="0.45">
      <c r="A1938">
        <v>8132</v>
      </c>
      <c r="B1938">
        <v>44188</v>
      </c>
      <c r="C1938">
        <v>93</v>
      </c>
      <c r="D1938">
        <v>1179.24</v>
      </c>
      <c r="E1938" t="s">
        <v>25</v>
      </c>
      <c r="F1938" t="s">
        <v>1390</v>
      </c>
      <c r="G1938" t="s">
        <v>10</v>
      </c>
      <c r="H1938" t="s">
        <v>17</v>
      </c>
    </row>
    <row r="1939" spans="1:8" x14ac:dyDescent="0.45">
      <c r="A1939">
        <v>8133</v>
      </c>
      <c r="B1939">
        <v>44112</v>
      </c>
      <c r="C1939">
        <v>37</v>
      </c>
      <c r="D1939">
        <v>323.75</v>
      </c>
      <c r="E1939" t="s">
        <v>8</v>
      </c>
      <c r="F1939" t="s">
        <v>1391</v>
      </c>
      <c r="G1939" t="s">
        <v>20</v>
      </c>
      <c r="H1939" t="s">
        <v>15</v>
      </c>
    </row>
    <row r="1940" spans="1:8" x14ac:dyDescent="0.45">
      <c r="A1940">
        <v>8134</v>
      </c>
      <c r="B1940">
        <v>43914</v>
      </c>
      <c r="C1940">
        <v>24</v>
      </c>
      <c r="D1940">
        <v>911.46</v>
      </c>
      <c r="E1940" t="s">
        <v>464</v>
      </c>
      <c r="F1940" t="s">
        <v>1392</v>
      </c>
      <c r="G1940" t="s">
        <v>20</v>
      </c>
      <c r="H1940" t="s">
        <v>17</v>
      </c>
    </row>
    <row r="1941" spans="1:8" x14ac:dyDescent="0.45">
      <c r="A1941">
        <v>8135</v>
      </c>
      <c r="B1941">
        <v>44199</v>
      </c>
      <c r="C1941">
        <v>93</v>
      </c>
      <c r="D1941">
        <v>886.06</v>
      </c>
      <c r="E1941" t="s">
        <v>8</v>
      </c>
      <c r="F1941" t="s">
        <v>1393</v>
      </c>
      <c r="G1941" t="s">
        <v>13</v>
      </c>
      <c r="H1941" t="s">
        <v>17</v>
      </c>
    </row>
    <row r="1942" spans="1:8" x14ac:dyDescent="0.45">
      <c r="A1942">
        <v>8136</v>
      </c>
      <c r="B1942">
        <v>44079</v>
      </c>
      <c r="C1942">
        <v>92</v>
      </c>
      <c r="D1942">
        <v>116.67</v>
      </c>
      <c r="E1942" t="s">
        <v>8</v>
      </c>
      <c r="F1942" t="s">
        <v>1394</v>
      </c>
      <c r="G1942" t="s">
        <v>23</v>
      </c>
      <c r="H1942" t="s">
        <v>15</v>
      </c>
    </row>
    <row r="1943" spans="1:8" x14ac:dyDescent="0.45">
      <c r="A1943">
        <v>8137</v>
      </c>
      <c r="B1943">
        <v>44052</v>
      </c>
      <c r="C1943">
        <v>70</v>
      </c>
      <c r="D1943">
        <v>369.42</v>
      </c>
      <c r="E1943" t="s">
        <v>464</v>
      </c>
      <c r="F1943" t="s">
        <v>1395</v>
      </c>
      <c r="G1943" t="s">
        <v>20</v>
      </c>
      <c r="H1943" t="s">
        <v>15</v>
      </c>
    </row>
    <row r="1944" spans="1:8" x14ac:dyDescent="0.45">
      <c r="A1944">
        <v>8138</v>
      </c>
      <c r="B1944">
        <v>44048</v>
      </c>
      <c r="C1944">
        <v>77</v>
      </c>
      <c r="D1944">
        <v>1148.2</v>
      </c>
      <c r="E1944" t="s">
        <v>25</v>
      </c>
      <c r="F1944" t="s">
        <v>1396</v>
      </c>
      <c r="G1944" t="s">
        <v>13</v>
      </c>
      <c r="H1944" t="s">
        <v>15</v>
      </c>
    </row>
    <row r="1945" spans="1:8" x14ac:dyDescent="0.45">
      <c r="A1945">
        <v>8139</v>
      </c>
      <c r="B1945">
        <v>44014</v>
      </c>
      <c r="C1945">
        <v>37</v>
      </c>
      <c r="D1945">
        <v>1305.44</v>
      </c>
      <c r="E1945" t="s">
        <v>8</v>
      </c>
      <c r="F1945" t="s">
        <v>1397</v>
      </c>
      <c r="G1945" t="s">
        <v>23</v>
      </c>
      <c r="H1945" t="s">
        <v>15</v>
      </c>
    </row>
    <row r="1946" spans="1:8" x14ac:dyDescent="0.45">
      <c r="A1946">
        <v>8140</v>
      </c>
      <c r="B1946">
        <v>44097</v>
      </c>
      <c r="C1946">
        <v>58</v>
      </c>
      <c r="D1946">
        <v>1361.93</v>
      </c>
      <c r="E1946" t="s">
        <v>464</v>
      </c>
      <c r="F1946" t="s">
        <v>1398</v>
      </c>
      <c r="G1946" t="s">
        <v>23</v>
      </c>
      <c r="H1946" t="s">
        <v>15</v>
      </c>
    </row>
    <row r="1947" spans="1:8" x14ac:dyDescent="0.45">
      <c r="A1947">
        <v>8141</v>
      </c>
      <c r="B1947">
        <v>44093</v>
      </c>
      <c r="C1947">
        <v>27</v>
      </c>
      <c r="D1947">
        <v>821.02</v>
      </c>
      <c r="E1947" t="s">
        <v>8</v>
      </c>
      <c r="F1947" t="s">
        <v>1399</v>
      </c>
      <c r="G1947" t="s">
        <v>13</v>
      </c>
      <c r="H1947" t="s">
        <v>17</v>
      </c>
    </row>
    <row r="1948" spans="1:8" x14ac:dyDescent="0.45">
      <c r="A1948">
        <v>8142</v>
      </c>
      <c r="B1948">
        <v>43852</v>
      </c>
      <c r="C1948">
        <v>24</v>
      </c>
      <c r="D1948">
        <v>734.39</v>
      </c>
      <c r="E1948" t="s">
        <v>8</v>
      </c>
      <c r="F1948" t="s">
        <v>1400</v>
      </c>
      <c r="G1948" t="s">
        <v>13</v>
      </c>
      <c r="H1948" t="s">
        <v>17</v>
      </c>
    </row>
    <row r="1949" spans="1:8" x14ac:dyDescent="0.45">
      <c r="A1949">
        <v>8143</v>
      </c>
      <c r="B1949">
        <v>44126</v>
      </c>
      <c r="C1949">
        <v>21</v>
      </c>
      <c r="D1949">
        <v>1405.25</v>
      </c>
      <c r="E1949" t="s">
        <v>464</v>
      </c>
      <c r="F1949" t="s">
        <v>1401</v>
      </c>
      <c r="G1949" t="s">
        <v>13</v>
      </c>
      <c r="H1949" t="s">
        <v>15</v>
      </c>
    </row>
    <row r="1950" spans="1:8" x14ac:dyDescent="0.45">
      <c r="A1950">
        <v>8144</v>
      </c>
      <c r="B1950">
        <v>44014</v>
      </c>
      <c r="C1950">
        <v>62</v>
      </c>
      <c r="D1950">
        <v>1379.09</v>
      </c>
      <c r="E1950" t="s">
        <v>8</v>
      </c>
      <c r="F1950" t="s">
        <v>1402</v>
      </c>
      <c r="G1950" t="s">
        <v>23</v>
      </c>
      <c r="H1950" t="s">
        <v>11</v>
      </c>
    </row>
    <row r="1951" spans="1:8" x14ac:dyDescent="0.45">
      <c r="A1951">
        <v>8145</v>
      </c>
      <c r="B1951">
        <v>44193</v>
      </c>
      <c r="C1951">
        <v>41</v>
      </c>
      <c r="D1951">
        <v>264.24</v>
      </c>
      <c r="E1951" t="s">
        <v>464</v>
      </c>
      <c r="F1951" t="s">
        <v>1403</v>
      </c>
      <c r="G1951" t="s">
        <v>23</v>
      </c>
      <c r="H1951" t="s">
        <v>15</v>
      </c>
    </row>
    <row r="1952" spans="1:8" x14ac:dyDescent="0.45">
      <c r="A1952">
        <v>8146</v>
      </c>
      <c r="B1952">
        <v>43945</v>
      </c>
      <c r="C1952">
        <v>73</v>
      </c>
      <c r="D1952">
        <v>192.11</v>
      </c>
      <c r="E1952" t="s">
        <v>464</v>
      </c>
      <c r="F1952" t="s">
        <v>1404</v>
      </c>
      <c r="G1952" t="s">
        <v>20</v>
      </c>
      <c r="H1952" t="s">
        <v>15</v>
      </c>
    </row>
    <row r="1953" spans="1:8" x14ac:dyDescent="0.45">
      <c r="A1953">
        <v>8147</v>
      </c>
      <c r="B1953">
        <v>44072</v>
      </c>
      <c r="C1953">
        <v>11</v>
      </c>
      <c r="D1953">
        <v>1294.05</v>
      </c>
      <c r="E1953" t="s">
        <v>464</v>
      </c>
      <c r="F1953" t="s">
        <v>1405</v>
      </c>
      <c r="G1953" t="s">
        <v>13</v>
      </c>
      <c r="H1953" t="s">
        <v>15</v>
      </c>
    </row>
    <row r="1954" spans="1:8" x14ac:dyDescent="0.45">
      <c r="A1954">
        <v>8148</v>
      </c>
      <c r="B1954">
        <v>43870</v>
      </c>
      <c r="C1954">
        <v>4</v>
      </c>
      <c r="D1954">
        <v>1219.33</v>
      </c>
      <c r="E1954" t="s">
        <v>464</v>
      </c>
      <c r="F1954" t="s">
        <v>1406</v>
      </c>
      <c r="G1954" t="s">
        <v>13</v>
      </c>
      <c r="H1954" t="s">
        <v>11</v>
      </c>
    </row>
    <row r="1955" spans="1:8" x14ac:dyDescent="0.45">
      <c r="A1955">
        <v>8149</v>
      </c>
      <c r="B1955">
        <v>44005</v>
      </c>
      <c r="C1955">
        <v>88</v>
      </c>
      <c r="D1955">
        <v>1422.66</v>
      </c>
      <c r="E1955" t="s">
        <v>8</v>
      </c>
      <c r="F1955" t="s">
        <v>1407</v>
      </c>
      <c r="G1955" t="s">
        <v>20</v>
      </c>
      <c r="H1955" t="s">
        <v>17</v>
      </c>
    </row>
    <row r="1956" spans="1:8" x14ac:dyDescent="0.45">
      <c r="A1956">
        <v>8150</v>
      </c>
      <c r="B1956">
        <v>44033</v>
      </c>
      <c r="C1956">
        <v>31</v>
      </c>
      <c r="D1956">
        <v>1406.05</v>
      </c>
      <c r="E1956" t="s">
        <v>8</v>
      </c>
      <c r="F1956" t="s">
        <v>1408</v>
      </c>
      <c r="G1956" t="s">
        <v>23</v>
      </c>
      <c r="H1956" t="s">
        <v>11</v>
      </c>
    </row>
    <row r="1957" spans="1:8" x14ac:dyDescent="0.45">
      <c r="A1957">
        <v>8151</v>
      </c>
      <c r="B1957">
        <v>44156</v>
      </c>
      <c r="C1957">
        <v>96</v>
      </c>
      <c r="D1957">
        <v>234.01</v>
      </c>
      <c r="E1957" t="s">
        <v>8</v>
      </c>
      <c r="F1957" t="s">
        <v>1409</v>
      </c>
      <c r="G1957" t="s">
        <v>20</v>
      </c>
      <c r="H1957" t="s">
        <v>17</v>
      </c>
    </row>
    <row r="1958" spans="1:8" x14ac:dyDescent="0.45">
      <c r="A1958">
        <v>8152</v>
      </c>
      <c r="B1958">
        <v>43840</v>
      </c>
      <c r="C1958">
        <v>70</v>
      </c>
      <c r="D1958">
        <v>450.26</v>
      </c>
      <c r="E1958" t="s">
        <v>8</v>
      </c>
      <c r="F1958" t="s">
        <v>1410</v>
      </c>
      <c r="G1958" t="s">
        <v>23</v>
      </c>
      <c r="H1958" t="s">
        <v>11</v>
      </c>
    </row>
    <row r="1959" spans="1:8" x14ac:dyDescent="0.45">
      <c r="A1959">
        <v>8153</v>
      </c>
      <c r="B1959">
        <v>44086</v>
      </c>
      <c r="C1959">
        <v>99</v>
      </c>
      <c r="D1959">
        <v>1298.79</v>
      </c>
      <c r="E1959" t="s">
        <v>464</v>
      </c>
      <c r="F1959" t="s">
        <v>1411</v>
      </c>
      <c r="G1959" t="s">
        <v>20</v>
      </c>
      <c r="H1959" t="s">
        <v>17</v>
      </c>
    </row>
    <row r="1960" spans="1:8" x14ac:dyDescent="0.45">
      <c r="A1960">
        <v>8154</v>
      </c>
      <c r="B1960">
        <v>44119</v>
      </c>
      <c r="C1960">
        <v>7</v>
      </c>
      <c r="D1960">
        <v>102.46</v>
      </c>
      <c r="E1960" t="s">
        <v>25</v>
      </c>
      <c r="F1960" t="s">
        <v>1412</v>
      </c>
      <c r="G1960" t="s">
        <v>13</v>
      </c>
      <c r="H1960" t="s">
        <v>15</v>
      </c>
    </row>
    <row r="1961" spans="1:8" x14ac:dyDescent="0.45">
      <c r="A1961">
        <v>8155</v>
      </c>
      <c r="B1961">
        <v>44023</v>
      </c>
      <c r="C1961">
        <v>12</v>
      </c>
      <c r="D1961">
        <v>105.36</v>
      </c>
      <c r="E1961" t="s">
        <v>8</v>
      </c>
      <c r="F1961" t="s">
        <v>1413</v>
      </c>
      <c r="G1961" t="s">
        <v>20</v>
      </c>
      <c r="H1961" t="s">
        <v>15</v>
      </c>
    </row>
    <row r="1962" spans="1:8" x14ac:dyDescent="0.45">
      <c r="A1962">
        <v>8156</v>
      </c>
      <c r="B1962">
        <v>44062</v>
      </c>
      <c r="C1962">
        <v>54</v>
      </c>
      <c r="D1962">
        <v>1231.45</v>
      </c>
      <c r="E1962" t="s">
        <v>464</v>
      </c>
      <c r="F1962" t="s">
        <v>1414</v>
      </c>
      <c r="G1962" t="s">
        <v>23</v>
      </c>
      <c r="H1962" t="s">
        <v>15</v>
      </c>
    </row>
    <row r="1963" spans="1:8" x14ac:dyDescent="0.45">
      <c r="A1963">
        <v>8157</v>
      </c>
      <c r="B1963">
        <v>44008</v>
      </c>
      <c r="C1963">
        <v>59</v>
      </c>
      <c r="D1963">
        <v>54.59</v>
      </c>
      <c r="E1963" t="s">
        <v>25</v>
      </c>
      <c r="F1963" t="s">
        <v>1415</v>
      </c>
      <c r="G1963" t="s">
        <v>23</v>
      </c>
      <c r="H1963" t="s">
        <v>11</v>
      </c>
    </row>
    <row r="1964" spans="1:8" x14ac:dyDescent="0.45">
      <c r="A1964">
        <v>8158</v>
      </c>
      <c r="B1964">
        <v>44072</v>
      </c>
      <c r="C1964">
        <v>7</v>
      </c>
      <c r="D1964">
        <v>752.79</v>
      </c>
      <c r="E1964" t="s">
        <v>8</v>
      </c>
      <c r="F1964" t="s">
        <v>1416</v>
      </c>
      <c r="G1964" t="s">
        <v>10</v>
      </c>
      <c r="H1964" t="s">
        <v>17</v>
      </c>
    </row>
    <row r="1965" spans="1:8" x14ac:dyDescent="0.45">
      <c r="A1965">
        <v>8159</v>
      </c>
      <c r="B1965">
        <v>44084</v>
      </c>
      <c r="C1965">
        <v>74</v>
      </c>
      <c r="D1965">
        <v>871.42</v>
      </c>
      <c r="E1965" t="s">
        <v>25</v>
      </c>
      <c r="F1965" t="s">
        <v>1417</v>
      </c>
      <c r="G1965" t="s">
        <v>20</v>
      </c>
      <c r="H1965" t="s">
        <v>15</v>
      </c>
    </row>
    <row r="1966" spans="1:8" x14ac:dyDescent="0.45">
      <c r="A1966">
        <v>8160</v>
      </c>
      <c r="B1966">
        <v>44012</v>
      </c>
      <c r="C1966">
        <v>1</v>
      </c>
      <c r="D1966">
        <v>428.06</v>
      </c>
      <c r="E1966" t="s">
        <v>25</v>
      </c>
      <c r="F1966" t="s">
        <v>1418</v>
      </c>
      <c r="G1966" t="s">
        <v>20</v>
      </c>
      <c r="H1966" t="s">
        <v>11</v>
      </c>
    </row>
    <row r="1967" spans="1:8" x14ac:dyDescent="0.45">
      <c r="A1967">
        <v>8161</v>
      </c>
      <c r="B1967">
        <v>43972</v>
      </c>
      <c r="C1967">
        <v>68</v>
      </c>
      <c r="D1967">
        <v>562.26</v>
      </c>
      <c r="E1967" t="s">
        <v>8</v>
      </c>
      <c r="F1967" t="s">
        <v>1419</v>
      </c>
      <c r="G1967" t="s">
        <v>20</v>
      </c>
      <c r="H1967" t="s">
        <v>11</v>
      </c>
    </row>
    <row r="1968" spans="1:8" x14ac:dyDescent="0.45">
      <c r="A1968">
        <v>8162</v>
      </c>
      <c r="B1968">
        <v>43946</v>
      </c>
      <c r="C1968">
        <v>86</v>
      </c>
      <c r="D1968">
        <v>417.6</v>
      </c>
      <c r="E1968" t="s">
        <v>464</v>
      </c>
      <c r="F1968" t="s">
        <v>1420</v>
      </c>
      <c r="G1968" t="s">
        <v>23</v>
      </c>
      <c r="H1968" t="s">
        <v>11</v>
      </c>
    </row>
    <row r="1969" spans="1:8" x14ac:dyDescent="0.45">
      <c r="A1969">
        <v>8163</v>
      </c>
      <c r="B1969">
        <v>43931</v>
      </c>
      <c r="C1969">
        <v>69</v>
      </c>
      <c r="D1969">
        <v>1294.29</v>
      </c>
      <c r="E1969" t="s">
        <v>25</v>
      </c>
      <c r="F1969" t="s">
        <v>1421</v>
      </c>
      <c r="G1969" t="s">
        <v>10</v>
      </c>
      <c r="H1969" t="s">
        <v>11</v>
      </c>
    </row>
    <row r="1970" spans="1:8" x14ac:dyDescent="0.45">
      <c r="A1970">
        <v>8164</v>
      </c>
      <c r="B1970">
        <v>44162</v>
      </c>
      <c r="C1970">
        <v>49</v>
      </c>
      <c r="D1970">
        <v>1006.66</v>
      </c>
      <c r="E1970" t="s">
        <v>464</v>
      </c>
      <c r="F1970" t="s">
        <v>1422</v>
      </c>
      <c r="G1970" t="s">
        <v>13</v>
      </c>
      <c r="H1970" t="s">
        <v>15</v>
      </c>
    </row>
    <row r="1971" spans="1:8" x14ac:dyDescent="0.45">
      <c r="A1971">
        <v>8165</v>
      </c>
      <c r="B1971">
        <v>44084</v>
      </c>
      <c r="C1971">
        <v>100</v>
      </c>
      <c r="D1971">
        <v>695.16</v>
      </c>
      <c r="E1971" t="s">
        <v>8</v>
      </c>
      <c r="F1971" t="s">
        <v>1423</v>
      </c>
      <c r="G1971" t="s">
        <v>23</v>
      </c>
      <c r="H1971" t="s">
        <v>15</v>
      </c>
    </row>
    <row r="1972" spans="1:8" x14ac:dyDescent="0.45">
      <c r="A1972">
        <v>8166</v>
      </c>
      <c r="B1972">
        <v>44173</v>
      </c>
      <c r="C1972">
        <v>95</v>
      </c>
      <c r="D1972">
        <v>1157.46</v>
      </c>
      <c r="E1972" t="s">
        <v>8</v>
      </c>
      <c r="F1972" t="s">
        <v>1424</v>
      </c>
      <c r="G1972" t="s">
        <v>13</v>
      </c>
      <c r="H1972" t="s">
        <v>15</v>
      </c>
    </row>
    <row r="1973" spans="1:8" x14ac:dyDescent="0.45">
      <c r="A1973">
        <v>8167</v>
      </c>
      <c r="B1973">
        <v>44063</v>
      </c>
      <c r="C1973">
        <v>51</v>
      </c>
      <c r="D1973">
        <v>1204.73</v>
      </c>
      <c r="E1973" t="s">
        <v>8</v>
      </c>
      <c r="F1973" t="s">
        <v>1425</v>
      </c>
      <c r="G1973" t="s">
        <v>13</v>
      </c>
      <c r="H1973" t="s">
        <v>17</v>
      </c>
    </row>
    <row r="1974" spans="1:8" x14ac:dyDescent="0.45">
      <c r="A1974">
        <v>8168</v>
      </c>
      <c r="B1974">
        <v>44135</v>
      </c>
      <c r="C1974">
        <v>9</v>
      </c>
      <c r="D1974">
        <v>1350.53</v>
      </c>
      <c r="E1974" t="s">
        <v>464</v>
      </c>
      <c r="F1974" t="s">
        <v>1426</v>
      </c>
      <c r="G1974" t="s">
        <v>10</v>
      </c>
      <c r="H1974" t="s">
        <v>17</v>
      </c>
    </row>
    <row r="1975" spans="1:8" x14ac:dyDescent="0.45">
      <c r="A1975">
        <v>8169</v>
      </c>
      <c r="B1975">
        <v>43895</v>
      </c>
      <c r="C1975">
        <v>95</v>
      </c>
      <c r="D1975">
        <v>1340.91</v>
      </c>
      <c r="E1975" t="s">
        <v>464</v>
      </c>
      <c r="F1975" t="s">
        <v>1427</v>
      </c>
      <c r="G1975" t="s">
        <v>23</v>
      </c>
      <c r="H1975" t="s">
        <v>15</v>
      </c>
    </row>
    <row r="1976" spans="1:8" x14ac:dyDescent="0.45">
      <c r="A1976">
        <v>8170</v>
      </c>
      <c r="B1976">
        <v>44015</v>
      </c>
      <c r="C1976">
        <v>19</v>
      </c>
      <c r="D1976">
        <v>182.43</v>
      </c>
      <c r="E1976" t="s">
        <v>25</v>
      </c>
      <c r="F1976" t="s">
        <v>1428</v>
      </c>
      <c r="G1976" t="s">
        <v>23</v>
      </c>
      <c r="H1976" t="s">
        <v>11</v>
      </c>
    </row>
    <row r="1977" spans="1:8" x14ac:dyDescent="0.45">
      <c r="A1977">
        <v>8171</v>
      </c>
      <c r="B1977">
        <v>43921</v>
      </c>
      <c r="C1977">
        <v>85</v>
      </c>
      <c r="D1977">
        <v>313.97000000000003</v>
      </c>
      <c r="E1977" t="s">
        <v>25</v>
      </c>
      <c r="F1977" t="s">
        <v>1429</v>
      </c>
      <c r="G1977" t="s">
        <v>10</v>
      </c>
      <c r="H1977" t="s">
        <v>11</v>
      </c>
    </row>
    <row r="1978" spans="1:8" x14ac:dyDescent="0.45">
      <c r="A1978">
        <v>8172</v>
      </c>
      <c r="B1978">
        <v>44061</v>
      </c>
      <c r="C1978">
        <v>17</v>
      </c>
      <c r="D1978">
        <v>445.52</v>
      </c>
      <c r="E1978" t="s">
        <v>8</v>
      </c>
      <c r="F1978" t="s">
        <v>1430</v>
      </c>
      <c r="G1978" t="s">
        <v>13</v>
      </c>
      <c r="H1978" t="s">
        <v>17</v>
      </c>
    </row>
    <row r="1979" spans="1:8" x14ac:dyDescent="0.45">
      <c r="A1979">
        <v>8173</v>
      </c>
      <c r="B1979">
        <v>44065</v>
      </c>
      <c r="C1979">
        <v>62</v>
      </c>
      <c r="D1979">
        <v>1250.5999999999999</v>
      </c>
      <c r="E1979" t="s">
        <v>25</v>
      </c>
      <c r="F1979" t="s">
        <v>1431</v>
      </c>
      <c r="G1979" t="s">
        <v>13</v>
      </c>
      <c r="H1979" t="s">
        <v>15</v>
      </c>
    </row>
    <row r="1980" spans="1:8" x14ac:dyDescent="0.45">
      <c r="A1980">
        <v>8174</v>
      </c>
      <c r="B1980">
        <v>43846</v>
      </c>
      <c r="C1980">
        <v>26</v>
      </c>
      <c r="D1980">
        <v>1300.7</v>
      </c>
      <c r="E1980" t="s">
        <v>8</v>
      </c>
      <c r="F1980" t="s">
        <v>1432</v>
      </c>
      <c r="G1980" t="s">
        <v>20</v>
      </c>
      <c r="H1980" t="s">
        <v>15</v>
      </c>
    </row>
    <row r="1981" spans="1:8" x14ac:dyDescent="0.45">
      <c r="A1981">
        <v>8175</v>
      </c>
      <c r="B1981">
        <v>43943</v>
      </c>
      <c r="C1981">
        <v>32</v>
      </c>
      <c r="D1981">
        <v>1298.69</v>
      </c>
      <c r="E1981" t="s">
        <v>8</v>
      </c>
      <c r="F1981" t="s">
        <v>1433</v>
      </c>
      <c r="G1981" t="s">
        <v>23</v>
      </c>
      <c r="H1981" t="s">
        <v>17</v>
      </c>
    </row>
    <row r="1982" spans="1:8" x14ac:dyDescent="0.45">
      <c r="A1982">
        <v>8176</v>
      </c>
      <c r="B1982">
        <v>43949</v>
      </c>
      <c r="C1982">
        <v>31</v>
      </c>
      <c r="D1982">
        <v>288.91000000000003</v>
      </c>
      <c r="E1982" t="s">
        <v>8</v>
      </c>
      <c r="F1982" t="s">
        <v>1434</v>
      </c>
      <c r="G1982" t="s">
        <v>23</v>
      </c>
      <c r="H1982" t="s">
        <v>17</v>
      </c>
    </row>
    <row r="1983" spans="1:8" x14ac:dyDescent="0.45">
      <c r="A1983">
        <v>8177</v>
      </c>
      <c r="B1983">
        <v>44164</v>
      </c>
      <c r="C1983">
        <v>16</v>
      </c>
      <c r="D1983">
        <v>1059.6099999999999</v>
      </c>
      <c r="E1983" t="s">
        <v>464</v>
      </c>
      <c r="F1983" t="s">
        <v>1435</v>
      </c>
      <c r="G1983" t="s">
        <v>13</v>
      </c>
      <c r="H1983" t="s">
        <v>17</v>
      </c>
    </row>
    <row r="1984" spans="1:8" x14ac:dyDescent="0.45">
      <c r="A1984">
        <v>8178</v>
      </c>
      <c r="B1984">
        <v>44100</v>
      </c>
      <c r="C1984">
        <v>14</v>
      </c>
      <c r="D1984">
        <v>148.65</v>
      </c>
      <c r="E1984" t="s">
        <v>8</v>
      </c>
      <c r="F1984" t="s">
        <v>1436</v>
      </c>
      <c r="G1984" t="s">
        <v>23</v>
      </c>
      <c r="H1984" t="s">
        <v>17</v>
      </c>
    </row>
    <row r="1985" spans="1:8" x14ac:dyDescent="0.45">
      <c r="A1985">
        <v>8179</v>
      </c>
      <c r="B1985">
        <v>44139</v>
      </c>
      <c r="C1985">
        <v>32</v>
      </c>
      <c r="D1985">
        <v>62.64</v>
      </c>
      <c r="E1985" t="s">
        <v>464</v>
      </c>
      <c r="F1985" t="s">
        <v>1437</v>
      </c>
      <c r="G1985" t="s">
        <v>10</v>
      </c>
      <c r="H1985" t="s">
        <v>11</v>
      </c>
    </row>
    <row r="1986" spans="1:8" x14ac:dyDescent="0.45">
      <c r="A1986">
        <v>8180</v>
      </c>
      <c r="B1986">
        <v>43933</v>
      </c>
      <c r="C1986">
        <v>83</v>
      </c>
      <c r="D1986">
        <v>303.32</v>
      </c>
      <c r="E1986" t="s">
        <v>8</v>
      </c>
      <c r="F1986" t="s">
        <v>1438</v>
      </c>
      <c r="G1986" t="s">
        <v>23</v>
      </c>
      <c r="H1986" t="s">
        <v>11</v>
      </c>
    </row>
    <row r="1987" spans="1:8" x14ac:dyDescent="0.45">
      <c r="A1987">
        <v>8181</v>
      </c>
      <c r="B1987">
        <v>43965</v>
      </c>
      <c r="C1987">
        <v>56</v>
      </c>
      <c r="D1987">
        <v>498.87</v>
      </c>
      <c r="E1987" t="s">
        <v>8</v>
      </c>
      <c r="F1987" t="s">
        <v>1439</v>
      </c>
      <c r="G1987" t="s">
        <v>13</v>
      </c>
      <c r="H1987" t="s">
        <v>17</v>
      </c>
    </row>
    <row r="1988" spans="1:8" x14ac:dyDescent="0.45">
      <c r="A1988">
        <v>8182</v>
      </c>
      <c r="B1988">
        <v>44195</v>
      </c>
      <c r="C1988">
        <v>35</v>
      </c>
      <c r="D1988">
        <v>181.57</v>
      </c>
      <c r="E1988" t="s">
        <v>464</v>
      </c>
      <c r="F1988" t="s">
        <v>1440</v>
      </c>
      <c r="G1988" t="s">
        <v>13</v>
      </c>
      <c r="H1988" t="s">
        <v>17</v>
      </c>
    </row>
    <row r="1989" spans="1:8" x14ac:dyDescent="0.45">
      <c r="A1989">
        <v>8183</v>
      </c>
      <c r="B1989">
        <v>43941</v>
      </c>
      <c r="C1989">
        <v>63</v>
      </c>
      <c r="D1989">
        <v>1256.18</v>
      </c>
      <c r="E1989" t="s">
        <v>25</v>
      </c>
      <c r="F1989" t="s">
        <v>1441</v>
      </c>
      <c r="G1989" t="s">
        <v>20</v>
      </c>
      <c r="H1989" t="s">
        <v>15</v>
      </c>
    </row>
    <row r="1990" spans="1:8" x14ac:dyDescent="0.45">
      <c r="A1990">
        <v>8184</v>
      </c>
      <c r="B1990">
        <v>44036</v>
      </c>
      <c r="C1990">
        <v>32</v>
      </c>
      <c r="D1990">
        <v>1244.81</v>
      </c>
      <c r="E1990" t="s">
        <v>25</v>
      </c>
      <c r="F1990" t="s">
        <v>1442</v>
      </c>
      <c r="G1990" t="s">
        <v>20</v>
      </c>
      <c r="H1990" t="s">
        <v>11</v>
      </c>
    </row>
    <row r="1991" spans="1:8" x14ac:dyDescent="0.45">
      <c r="A1991">
        <v>8185</v>
      </c>
      <c r="B1991">
        <v>43952</v>
      </c>
      <c r="C1991">
        <v>82</v>
      </c>
      <c r="D1991">
        <v>1060.77</v>
      </c>
      <c r="E1991" t="s">
        <v>25</v>
      </c>
      <c r="F1991" t="s">
        <v>1443</v>
      </c>
      <c r="G1991" t="s">
        <v>13</v>
      </c>
      <c r="H1991" t="s">
        <v>15</v>
      </c>
    </row>
    <row r="1992" spans="1:8" x14ac:dyDescent="0.45">
      <c r="A1992">
        <v>8186</v>
      </c>
      <c r="B1992">
        <v>43977</v>
      </c>
      <c r="C1992">
        <v>83</v>
      </c>
      <c r="D1992">
        <v>588.11</v>
      </c>
      <c r="E1992" t="s">
        <v>8</v>
      </c>
      <c r="F1992" t="s">
        <v>1444</v>
      </c>
      <c r="G1992" t="s">
        <v>23</v>
      </c>
      <c r="H1992" t="s">
        <v>11</v>
      </c>
    </row>
    <row r="1993" spans="1:8" x14ac:dyDescent="0.45">
      <c r="A1993">
        <v>8187</v>
      </c>
      <c r="B1993">
        <v>43874</v>
      </c>
      <c r="C1993">
        <v>62</v>
      </c>
      <c r="D1993">
        <v>781.46</v>
      </c>
      <c r="E1993" t="s">
        <v>464</v>
      </c>
      <c r="F1993" t="s">
        <v>1445</v>
      </c>
      <c r="G1993" t="s">
        <v>23</v>
      </c>
      <c r="H1993" t="s">
        <v>17</v>
      </c>
    </row>
    <row r="1994" spans="1:8" x14ac:dyDescent="0.45">
      <c r="A1994">
        <v>8188</v>
      </c>
      <c r="B1994">
        <v>44015</v>
      </c>
      <c r="C1994">
        <v>35</v>
      </c>
      <c r="D1994">
        <v>237.45</v>
      </c>
      <c r="E1994" t="s">
        <v>25</v>
      </c>
      <c r="F1994" t="s">
        <v>1446</v>
      </c>
      <c r="G1994" t="s">
        <v>13</v>
      </c>
      <c r="H1994" t="s">
        <v>15</v>
      </c>
    </row>
    <row r="1995" spans="1:8" x14ac:dyDescent="0.45">
      <c r="A1995">
        <v>8189</v>
      </c>
      <c r="B1995">
        <v>43991</v>
      </c>
      <c r="C1995">
        <v>52</v>
      </c>
      <c r="D1995">
        <v>698.35</v>
      </c>
      <c r="E1995" t="s">
        <v>464</v>
      </c>
      <c r="F1995" t="s">
        <v>1447</v>
      </c>
      <c r="G1995" t="s">
        <v>23</v>
      </c>
      <c r="H1995" t="s">
        <v>15</v>
      </c>
    </row>
    <row r="1996" spans="1:8" x14ac:dyDescent="0.45">
      <c r="A1996">
        <v>8190</v>
      </c>
      <c r="B1996">
        <v>43847</v>
      </c>
      <c r="C1996">
        <v>58</v>
      </c>
      <c r="D1996">
        <v>300.75</v>
      </c>
      <c r="E1996" t="s">
        <v>464</v>
      </c>
      <c r="F1996" t="s">
        <v>674</v>
      </c>
      <c r="G1996" t="s">
        <v>13</v>
      </c>
      <c r="H1996" t="s">
        <v>11</v>
      </c>
    </row>
    <row r="1997" spans="1:8" x14ac:dyDescent="0.45">
      <c r="A1997">
        <v>8191</v>
      </c>
      <c r="B1997">
        <v>43935</v>
      </c>
      <c r="C1997">
        <v>8</v>
      </c>
      <c r="D1997">
        <v>789.74</v>
      </c>
      <c r="E1997" t="s">
        <v>8</v>
      </c>
      <c r="F1997" t="s">
        <v>1448</v>
      </c>
      <c r="G1997" t="s">
        <v>23</v>
      </c>
      <c r="H1997" t="s">
        <v>11</v>
      </c>
    </row>
    <row r="1998" spans="1:8" x14ac:dyDescent="0.45">
      <c r="A1998">
        <v>8192</v>
      </c>
      <c r="B1998">
        <v>44172</v>
      </c>
      <c r="C1998">
        <v>19</v>
      </c>
      <c r="D1998">
        <v>728.09</v>
      </c>
      <c r="E1998" t="s">
        <v>25</v>
      </c>
      <c r="F1998" t="s">
        <v>1449</v>
      </c>
      <c r="G1998" t="s">
        <v>23</v>
      </c>
      <c r="H1998" t="s">
        <v>11</v>
      </c>
    </row>
    <row r="1999" spans="1:8" x14ac:dyDescent="0.45">
      <c r="A1999">
        <v>8193</v>
      </c>
      <c r="B1999">
        <v>44002</v>
      </c>
      <c r="C1999">
        <v>79</v>
      </c>
      <c r="D1999">
        <v>459.16</v>
      </c>
      <c r="E1999" t="s">
        <v>464</v>
      </c>
      <c r="F1999" t="s">
        <v>1450</v>
      </c>
      <c r="G1999" t="s">
        <v>23</v>
      </c>
      <c r="H1999" t="s">
        <v>11</v>
      </c>
    </row>
    <row r="2000" spans="1:8" x14ac:dyDescent="0.45">
      <c r="A2000">
        <v>8194</v>
      </c>
      <c r="B2000">
        <v>44095</v>
      </c>
      <c r="C2000">
        <v>71</v>
      </c>
      <c r="D2000">
        <v>1349.19</v>
      </c>
      <c r="E2000" t="s">
        <v>8</v>
      </c>
      <c r="F2000" t="s">
        <v>1451</v>
      </c>
      <c r="G2000" t="s">
        <v>13</v>
      </c>
      <c r="H2000" t="s">
        <v>11</v>
      </c>
    </row>
    <row r="2001" spans="1:8" x14ac:dyDescent="0.45">
      <c r="A2001">
        <v>8195</v>
      </c>
      <c r="B2001">
        <v>43939</v>
      </c>
      <c r="C2001">
        <v>77</v>
      </c>
      <c r="D2001">
        <v>1225.73</v>
      </c>
      <c r="E2001" t="s">
        <v>8</v>
      </c>
      <c r="F2001" t="s">
        <v>1452</v>
      </c>
      <c r="G2001" t="s">
        <v>10</v>
      </c>
      <c r="H2001" t="s">
        <v>15</v>
      </c>
    </row>
    <row r="2002" spans="1:8" x14ac:dyDescent="0.45">
      <c r="A2002">
        <v>8196</v>
      </c>
      <c r="B2002">
        <v>44041</v>
      </c>
      <c r="C2002">
        <v>85</v>
      </c>
      <c r="D2002">
        <v>1224.49</v>
      </c>
      <c r="E2002" t="s">
        <v>8</v>
      </c>
      <c r="F2002" t="s">
        <v>1453</v>
      </c>
      <c r="G2002" t="s">
        <v>23</v>
      </c>
      <c r="H2002" t="s">
        <v>17</v>
      </c>
    </row>
    <row r="2003" spans="1:8" x14ac:dyDescent="0.45">
      <c r="A2003">
        <v>8197</v>
      </c>
      <c r="B2003">
        <v>44199</v>
      </c>
      <c r="C2003">
        <v>34</v>
      </c>
      <c r="D2003">
        <v>1389.84</v>
      </c>
      <c r="E2003" t="s">
        <v>464</v>
      </c>
      <c r="F2003" t="s">
        <v>1454</v>
      </c>
      <c r="G2003" t="s">
        <v>20</v>
      </c>
      <c r="H2003" t="s">
        <v>15</v>
      </c>
    </row>
    <row r="2004" spans="1:8" x14ac:dyDescent="0.45">
      <c r="A2004">
        <v>8198</v>
      </c>
      <c r="B2004">
        <v>44033</v>
      </c>
      <c r="C2004">
        <v>34</v>
      </c>
      <c r="D2004">
        <v>1160.05</v>
      </c>
      <c r="E2004" t="s">
        <v>464</v>
      </c>
      <c r="F2004" t="s">
        <v>1455</v>
      </c>
      <c r="G2004" t="s">
        <v>20</v>
      </c>
      <c r="H2004" t="s">
        <v>11</v>
      </c>
    </row>
    <row r="2005" spans="1:8" x14ac:dyDescent="0.45">
      <c r="A2005">
        <v>8199</v>
      </c>
      <c r="B2005">
        <v>43878</v>
      </c>
      <c r="C2005">
        <v>6</v>
      </c>
      <c r="D2005">
        <v>768.57</v>
      </c>
      <c r="E2005" t="s">
        <v>464</v>
      </c>
      <c r="F2005" t="s">
        <v>1456</v>
      </c>
      <c r="G2005" t="s">
        <v>20</v>
      </c>
      <c r="H2005" t="s">
        <v>17</v>
      </c>
    </row>
    <row r="2006" spans="1:8" x14ac:dyDescent="0.45">
      <c r="A2006">
        <v>8200</v>
      </c>
      <c r="B2006">
        <v>44137</v>
      </c>
      <c r="C2006">
        <v>29</v>
      </c>
      <c r="D2006">
        <v>179.24</v>
      </c>
      <c r="E2006" t="s">
        <v>8</v>
      </c>
      <c r="F2006" t="s">
        <v>1457</v>
      </c>
      <c r="G2006" t="s">
        <v>13</v>
      </c>
      <c r="H2006" t="s">
        <v>15</v>
      </c>
    </row>
    <row r="2007" spans="1:8" x14ac:dyDescent="0.45">
      <c r="A2007">
        <v>8201</v>
      </c>
      <c r="B2007">
        <v>43990</v>
      </c>
      <c r="C2007">
        <v>100</v>
      </c>
      <c r="D2007">
        <v>366.95</v>
      </c>
      <c r="E2007" t="s">
        <v>464</v>
      </c>
      <c r="F2007" t="s">
        <v>1458</v>
      </c>
      <c r="G2007" t="s">
        <v>13</v>
      </c>
      <c r="H2007" t="s">
        <v>15</v>
      </c>
    </row>
    <row r="2008" spans="1:8" x14ac:dyDescent="0.45">
      <c r="A2008">
        <v>8202</v>
      </c>
      <c r="B2008">
        <v>43905</v>
      </c>
      <c r="C2008">
        <v>39</v>
      </c>
      <c r="D2008">
        <v>582.35</v>
      </c>
      <c r="E2008" t="s">
        <v>464</v>
      </c>
      <c r="F2008" t="s">
        <v>1459</v>
      </c>
      <c r="G2008" t="s">
        <v>23</v>
      </c>
      <c r="H2008"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66FA6-0C3F-4263-BF2B-018968FCF660}">
  <dimension ref="A1:P2008"/>
  <sheetViews>
    <sheetView topLeftCell="C1" workbookViewId="0">
      <selection activeCell="M18" sqref="M18"/>
    </sheetView>
  </sheetViews>
  <sheetFormatPr defaultRowHeight="14.25" x14ac:dyDescent="0.45"/>
  <cols>
    <col min="1" max="1" width="9.53125" customWidth="1"/>
    <col min="2" max="2" width="12.1328125" style="15" bestFit="1" customWidth="1"/>
    <col min="3" max="3" width="12.1328125" customWidth="1"/>
    <col min="4" max="4" width="18.73046875" bestFit="1" customWidth="1"/>
    <col min="5" max="5" width="12.1328125" style="16" customWidth="1"/>
    <col min="6" max="6" width="15.73046875" customWidth="1"/>
    <col min="7" max="7" width="10.86328125" style="16" bestFit="1" customWidth="1"/>
    <col min="8" max="8" width="13.53125" bestFit="1" customWidth="1"/>
    <col min="9" max="9" width="19.33203125" customWidth="1"/>
    <col min="10" max="10" width="18.1328125" customWidth="1"/>
    <col min="11" max="11" width="18.6640625" bestFit="1" customWidth="1"/>
    <col min="13" max="13" width="24.6640625" customWidth="1"/>
    <col min="14" max="14" width="14.3984375" bestFit="1" customWidth="1"/>
  </cols>
  <sheetData>
    <row r="1" spans="1:16" x14ac:dyDescent="0.45">
      <c r="A1" t="s">
        <v>0</v>
      </c>
      <c r="B1" s="15" t="s">
        <v>1</v>
      </c>
      <c r="C1" t="s">
        <v>1460</v>
      </c>
      <c r="D1" t="s">
        <v>1461</v>
      </c>
      <c r="E1" s="16" t="s">
        <v>1462</v>
      </c>
      <c r="F1" t="s">
        <v>2</v>
      </c>
      <c r="G1" s="16" t="s">
        <v>4</v>
      </c>
      <c r="H1" t="s">
        <v>3</v>
      </c>
      <c r="I1" t="s">
        <v>5</v>
      </c>
      <c r="J1" t="s">
        <v>6</v>
      </c>
      <c r="K1" t="s">
        <v>7</v>
      </c>
    </row>
    <row r="2" spans="1:16" x14ac:dyDescent="0.45">
      <c r="A2">
        <v>32</v>
      </c>
      <c r="B2" s="15">
        <v>44757</v>
      </c>
      <c r="C2" t="str">
        <f>TEXT(Table1[[#This Row],[Order Date]], "yyyy")</f>
        <v>2022</v>
      </c>
      <c r="D2" t="str">
        <f>TEXT(Table1[[#This Row],[Order Date]], "mmmm")</f>
        <v>July</v>
      </c>
      <c r="E2" s="16">
        <f>Table1[[#This Row],[Order Quantity]]*Table1[[#This Row],[Unit Price]]</f>
        <v>1701.3600000000001</v>
      </c>
      <c r="F2">
        <v>24</v>
      </c>
      <c r="G2" s="16">
        <v>70.89</v>
      </c>
      <c r="H2" t="s">
        <v>16</v>
      </c>
      <c r="I2" t="s">
        <v>14</v>
      </c>
      <c r="J2" t="s">
        <v>13</v>
      </c>
      <c r="K2" t="s">
        <v>15</v>
      </c>
      <c r="M2" s="17" t="s">
        <v>1538</v>
      </c>
      <c r="N2" s="18">
        <f>SUM(Table1[Sales])</f>
        <v>39642220.810000107</v>
      </c>
    </row>
    <row r="3" spans="1:16" x14ac:dyDescent="0.45">
      <c r="A3">
        <v>32</v>
      </c>
      <c r="B3" s="15">
        <v>43661</v>
      </c>
      <c r="C3" t="str">
        <f>TEXT(Table1[[#This Row],[Order Date]], "yyyy")</f>
        <v>2019</v>
      </c>
      <c r="D3" t="str">
        <f>TEXT(Table1[[#This Row],[Order Date]], "mmmm")</f>
        <v>July</v>
      </c>
      <c r="E3" s="16">
        <f>Table1[[#This Row],[Order Quantity]]*Table1[[#This Row],[Unit Price]]</f>
        <v>1701.3600000000001</v>
      </c>
      <c r="F3">
        <v>24</v>
      </c>
      <c r="G3" s="16">
        <v>70.89</v>
      </c>
      <c r="H3" t="s">
        <v>16</v>
      </c>
      <c r="I3" t="s">
        <v>14</v>
      </c>
      <c r="J3" t="s">
        <v>13</v>
      </c>
      <c r="K3" t="s">
        <v>15</v>
      </c>
    </row>
    <row r="4" spans="1:16" x14ac:dyDescent="0.45">
      <c r="A4">
        <v>132</v>
      </c>
      <c r="B4" s="15">
        <v>44357</v>
      </c>
      <c r="C4" t="str">
        <f>TEXT(Table1[[#This Row],[Order Date]], "yyyy")</f>
        <v>2021</v>
      </c>
      <c r="D4" t="str">
        <f>TEXT(Table1[[#This Row],[Order Date]], "mmmm")</f>
        <v>June</v>
      </c>
      <c r="E4" s="16">
        <f>Table1[[#This Row],[Order Quantity]]*Table1[[#This Row],[Unit Price]]</f>
        <v>3929.3999999999996</v>
      </c>
      <c r="F4">
        <v>30</v>
      </c>
      <c r="G4" s="16">
        <v>130.97999999999999</v>
      </c>
      <c r="H4" t="s">
        <v>16</v>
      </c>
      <c r="I4" t="s">
        <v>31</v>
      </c>
      <c r="J4" t="s">
        <v>23</v>
      </c>
      <c r="K4" t="s">
        <v>15</v>
      </c>
      <c r="M4" s="17" t="s">
        <v>1539</v>
      </c>
      <c r="N4" s="18">
        <f>AVERAGE(Table1[Sales])</f>
        <v>19751.978480318936</v>
      </c>
    </row>
    <row r="5" spans="1:16" x14ac:dyDescent="0.45">
      <c r="A5">
        <v>258</v>
      </c>
      <c r="B5" s="15">
        <v>44558</v>
      </c>
      <c r="C5" t="str">
        <f>TEXT(Table1[[#This Row],[Order Date]], "yyyy")</f>
        <v>2021</v>
      </c>
      <c r="D5" t="str">
        <f>TEXT(Table1[[#This Row],[Order Date]], "mmmm")</f>
        <v>December</v>
      </c>
      <c r="E5" s="16">
        <f>Table1[[#This Row],[Order Quantity]]*Table1[[#This Row],[Unit Price]]</f>
        <v>146.86000000000001</v>
      </c>
      <c r="F5">
        <v>7</v>
      </c>
      <c r="G5" s="16">
        <v>20.98</v>
      </c>
      <c r="H5" t="s">
        <v>16</v>
      </c>
      <c r="I5" t="s">
        <v>45</v>
      </c>
      <c r="J5" t="s">
        <v>20</v>
      </c>
      <c r="K5" t="s">
        <v>11</v>
      </c>
    </row>
    <row r="6" spans="1:16" x14ac:dyDescent="0.45">
      <c r="A6">
        <v>293</v>
      </c>
      <c r="B6" s="15">
        <v>45200</v>
      </c>
      <c r="C6" t="str">
        <f>TEXT(Table1[[#This Row],[Order Date]], "yyyy")</f>
        <v>2023</v>
      </c>
      <c r="D6" t="str">
        <f>TEXT(Table1[[#This Row],[Order Date]], "mmmm")</f>
        <v>October</v>
      </c>
      <c r="E6" s="16">
        <f>Table1[[#This Row],[Order Quantity]]*Table1[[#This Row],[Unit Price]]</f>
        <v>10199.84</v>
      </c>
      <c r="F6">
        <v>49</v>
      </c>
      <c r="G6" s="16">
        <v>208.16</v>
      </c>
      <c r="H6" t="s">
        <v>16</v>
      </c>
      <c r="I6" t="s">
        <v>49</v>
      </c>
      <c r="J6" t="s">
        <v>23</v>
      </c>
      <c r="K6" t="s">
        <v>11</v>
      </c>
      <c r="M6" s="17" t="s">
        <v>1540</v>
      </c>
      <c r="N6" s="18">
        <f>MAX(Table1[Sales])</f>
        <v>147346.65</v>
      </c>
    </row>
    <row r="7" spans="1:16" x14ac:dyDescent="0.45">
      <c r="A7">
        <v>358</v>
      </c>
      <c r="B7" s="15">
        <v>44458</v>
      </c>
      <c r="C7" t="str">
        <f>TEXT(Table1[[#This Row],[Order Date]], "yyyy")</f>
        <v>2021</v>
      </c>
      <c r="D7" t="str">
        <f>TEXT(Table1[[#This Row],[Order Date]], "mmmm")</f>
        <v>September</v>
      </c>
      <c r="E7" s="16">
        <f>Table1[[#This Row],[Order Quantity]]*Table1[[#This Row],[Unit Price]]</f>
        <v>1603.1399999999999</v>
      </c>
      <c r="F7">
        <v>33</v>
      </c>
      <c r="G7" s="16">
        <v>48.58</v>
      </c>
      <c r="H7" t="s">
        <v>16</v>
      </c>
      <c r="I7" t="s">
        <v>57</v>
      </c>
      <c r="J7" t="s">
        <v>13</v>
      </c>
      <c r="K7" t="s">
        <v>15</v>
      </c>
    </row>
    <row r="8" spans="1:16" x14ac:dyDescent="0.45">
      <c r="A8">
        <v>359</v>
      </c>
      <c r="B8" s="15">
        <v>44183</v>
      </c>
      <c r="C8" t="str">
        <f>TEXT(Table1[[#This Row],[Order Date]], "yyyy")</f>
        <v>2020</v>
      </c>
      <c r="D8" t="str">
        <f>TEXT(Table1[[#This Row],[Order Date]], "mmmm")</f>
        <v>December</v>
      </c>
      <c r="E8" s="16">
        <f>Table1[[#This Row],[Order Quantity]]*Table1[[#This Row],[Unit Price]]</f>
        <v>3734.7</v>
      </c>
      <c r="F8">
        <v>30</v>
      </c>
      <c r="G8" s="16">
        <v>124.49</v>
      </c>
      <c r="H8" t="s">
        <v>16</v>
      </c>
      <c r="I8" t="s">
        <v>58</v>
      </c>
      <c r="J8" t="s">
        <v>13</v>
      </c>
      <c r="K8" t="s">
        <v>15</v>
      </c>
      <c r="M8" s="17" t="s">
        <v>1541</v>
      </c>
      <c r="N8" s="18">
        <f>MIN(Table1[Sales])</f>
        <v>1.48</v>
      </c>
    </row>
    <row r="9" spans="1:16" x14ac:dyDescent="0.45">
      <c r="A9">
        <v>384</v>
      </c>
      <c r="B9" s="15">
        <v>44987</v>
      </c>
      <c r="C9" t="str">
        <f>TEXT(Table1[[#This Row],[Order Date]], "yyyy")</f>
        <v>2023</v>
      </c>
      <c r="D9" t="str">
        <f>TEXT(Table1[[#This Row],[Order Date]], "mmmm")</f>
        <v>March</v>
      </c>
      <c r="E9" s="16">
        <f>Table1[[#This Row],[Order Quantity]]*Table1[[#This Row],[Unit Price]]</f>
        <v>7302.5000000000009</v>
      </c>
      <c r="F9">
        <v>50</v>
      </c>
      <c r="G9" s="16">
        <v>146.05000000000001</v>
      </c>
      <c r="H9" t="s">
        <v>16</v>
      </c>
      <c r="I9" t="s">
        <v>59</v>
      </c>
      <c r="J9" t="s">
        <v>13</v>
      </c>
      <c r="K9" t="s">
        <v>15</v>
      </c>
    </row>
    <row r="10" spans="1:16" ht="27.4" customHeight="1" x14ac:dyDescent="0.45">
      <c r="A10">
        <v>417</v>
      </c>
      <c r="B10" s="15">
        <v>43866</v>
      </c>
      <c r="C10" t="str">
        <f>TEXT(Table1[[#This Row],[Order Date]], "yyyy")</f>
        <v>2020</v>
      </c>
      <c r="D10" t="str">
        <f>TEXT(Table1[[#This Row],[Order Date]], "mmmm")</f>
        <v>February</v>
      </c>
      <c r="E10" s="16">
        <f>Table1[[#This Row],[Order Quantity]]*Table1[[#This Row],[Unit Price]]</f>
        <v>19538.22</v>
      </c>
      <c r="F10">
        <v>39</v>
      </c>
      <c r="G10" s="16">
        <v>500.98</v>
      </c>
      <c r="H10" t="s">
        <v>16</v>
      </c>
      <c r="I10" t="s">
        <v>63</v>
      </c>
      <c r="J10" t="s">
        <v>10</v>
      </c>
      <c r="K10" t="s">
        <v>17</v>
      </c>
      <c r="M10" s="22" t="s">
        <v>1542</v>
      </c>
      <c r="N10" s="17" t="s">
        <v>1490</v>
      </c>
      <c r="O10" s="21"/>
      <c r="P10" s="21"/>
    </row>
    <row r="11" spans="1:16" x14ac:dyDescent="0.45">
      <c r="A11">
        <v>513</v>
      </c>
      <c r="B11" s="15">
        <v>44681</v>
      </c>
      <c r="C11" t="str">
        <f>TEXT(Table1[[#This Row],[Order Date]], "yyyy")</f>
        <v>2022</v>
      </c>
      <c r="D11" t="str">
        <f>TEXT(Table1[[#This Row],[Order Date]], "mmmm")</f>
        <v>April</v>
      </c>
      <c r="E11" s="16">
        <f>Table1[[#This Row],[Order Quantity]]*Table1[[#This Row],[Unit Price]]</f>
        <v>4979.37</v>
      </c>
      <c r="F11">
        <v>33</v>
      </c>
      <c r="G11" s="16">
        <v>150.88999999999999</v>
      </c>
      <c r="H11" t="s">
        <v>16</v>
      </c>
      <c r="I11" t="s">
        <v>72</v>
      </c>
      <c r="J11" t="s">
        <v>20</v>
      </c>
      <c r="K11" t="s">
        <v>15</v>
      </c>
    </row>
    <row r="12" spans="1:16" x14ac:dyDescent="0.45">
      <c r="A12">
        <v>614</v>
      </c>
      <c r="B12" s="15">
        <v>45260</v>
      </c>
      <c r="C12" t="str">
        <f>TEXT(Table1[[#This Row],[Order Date]], "yyyy")</f>
        <v>2023</v>
      </c>
      <c r="D12" t="str">
        <f>TEXT(Table1[[#This Row],[Order Date]], "mmmm")</f>
        <v>November</v>
      </c>
      <c r="E12" s="16">
        <f>Table1[[#This Row],[Order Quantity]]*Table1[[#This Row],[Unit Price]]</f>
        <v>3330</v>
      </c>
      <c r="F12">
        <v>24</v>
      </c>
      <c r="G12" s="16">
        <v>138.75</v>
      </c>
      <c r="H12" t="s">
        <v>16</v>
      </c>
      <c r="I12" t="s">
        <v>79</v>
      </c>
      <c r="J12" t="s">
        <v>13</v>
      </c>
      <c r="K12" t="s">
        <v>15</v>
      </c>
      <c r="M12" s="17" t="s">
        <v>1543</v>
      </c>
      <c r="N12" s="18" cm="1">
        <f t="array" ref="N12">SUM(SUMIFS(Table1[Sales],Table1[Customer Name],I2,Table1[Customer Segment],J2,Table1[Product Category],{"Furniture","Technology"},Table1[Ship Mode],H1984))</f>
        <v>6212.9000000000005</v>
      </c>
    </row>
    <row r="13" spans="1:16" x14ac:dyDescent="0.45">
      <c r="A13">
        <v>640</v>
      </c>
      <c r="B13" s="15">
        <v>44218</v>
      </c>
      <c r="C13" t="str">
        <f>TEXT(Table1[[#This Row],[Order Date]], "yyyy")</f>
        <v>2021</v>
      </c>
      <c r="D13" t="str">
        <f>TEXT(Table1[[#This Row],[Order Date]], "mmmm")</f>
        <v>January</v>
      </c>
      <c r="E13" s="16">
        <f>Table1[[#This Row],[Order Quantity]]*Table1[[#This Row],[Unit Price]]</f>
        <v>4718.22</v>
      </c>
      <c r="F13">
        <v>39</v>
      </c>
      <c r="G13" s="16">
        <v>120.98</v>
      </c>
      <c r="H13" t="s">
        <v>16</v>
      </c>
      <c r="I13" t="s">
        <v>80</v>
      </c>
      <c r="J13" t="s">
        <v>23</v>
      </c>
      <c r="K13" t="s">
        <v>15</v>
      </c>
    </row>
    <row r="14" spans="1:16" x14ac:dyDescent="0.45">
      <c r="A14">
        <v>644</v>
      </c>
      <c r="B14" s="15">
        <v>45046</v>
      </c>
      <c r="C14" t="str">
        <f>TEXT(Table1[[#This Row],[Order Date]], "yyyy")</f>
        <v>2023</v>
      </c>
      <c r="D14" t="str">
        <f>TEXT(Table1[[#This Row],[Order Date]], "mmmm")</f>
        <v>April</v>
      </c>
      <c r="E14" s="16">
        <f>Table1[[#This Row],[Order Quantity]]*Table1[[#This Row],[Unit Price]]</f>
        <v>1604.9</v>
      </c>
      <c r="F14">
        <v>5</v>
      </c>
      <c r="G14" s="16">
        <v>320.98</v>
      </c>
      <c r="H14" t="s">
        <v>16</v>
      </c>
      <c r="I14" t="s">
        <v>82</v>
      </c>
      <c r="J14" t="s">
        <v>13</v>
      </c>
      <c r="K14" t="s">
        <v>15</v>
      </c>
    </row>
    <row r="15" spans="1:16" x14ac:dyDescent="0.45">
      <c r="A15">
        <v>710</v>
      </c>
      <c r="B15" s="15">
        <v>44197</v>
      </c>
      <c r="C15" t="str">
        <f>TEXT(Table1[[#This Row],[Order Date]], "yyyy")</f>
        <v>2021</v>
      </c>
      <c r="D15" t="str">
        <f>TEXT(Table1[[#This Row],[Order Date]], "mmmm")</f>
        <v>January</v>
      </c>
      <c r="E15" s="16">
        <f>Table1[[#This Row],[Order Quantity]]*Table1[[#This Row],[Unit Price]]</f>
        <v>4218.0499999999993</v>
      </c>
      <c r="F15">
        <v>29</v>
      </c>
      <c r="G15" s="16">
        <v>145.44999999999999</v>
      </c>
      <c r="H15" t="s">
        <v>16</v>
      </c>
      <c r="I15" t="s">
        <v>87</v>
      </c>
      <c r="J15" t="s">
        <v>13</v>
      </c>
      <c r="K15" t="s">
        <v>17</v>
      </c>
    </row>
    <row r="16" spans="1:16" x14ac:dyDescent="0.45">
      <c r="A16">
        <v>769</v>
      </c>
      <c r="B16" s="15">
        <v>44348</v>
      </c>
      <c r="C16" t="str">
        <f>TEXT(Table1[[#This Row],[Order Date]], "yyyy")</f>
        <v>2021</v>
      </c>
      <c r="D16" t="str">
        <f>TEXT(Table1[[#This Row],[Order Date]], "mmmm")</f>
        <v>June</v>
      </c>
      <c r="E16" s="16">
        <f>Table1[[#This Row],[Order Quantity]]*Table1[[#This Row],[Unit Price]]</f>
        <v>4291.63</v>
      </c>
      <c r="F16">
        <v>37</v>
      </c>
      <c r="G16" s="16">
        <v>115.99</v>
      </c>
      <c r="H16" t="s">
        <v>16</v>
      </c>
      <c r="I16" t="s">
        <v>90</v>
      </c>
      <c r="J16" t="s">
        <v>23</v>
      </c>
      <c r="K16" t="s">
        <v>17</v>
      </c>
    </row>
    <row r="17" spans="1:11" x14ac:dyDescent="0.45">
      <c r="A17">
        <v>834</v>
      </c>
      <c r="B17" s="15">
        <v>43973</v>
      </c>
      <c r="C17" t="str">
        <f>TEXT(Table1[[#This Row],[Order Date]], "yyyy")</f>
        <v>2020</v>
      </c>
      <c r="D17" t="str">
        <f>TEXT(Table1[[#This Row],[Order Date]], "mmmm")</f>
        <v>May</v>
      </c>
      <c r="E17" s="16">
        <f>Table1[[#This Row],[Order Quantity]]*Table1[[#This Row],[Unit Price]]</f>
        <v>1739.85</v>
      </c>
      <c r="F17">
        <v>15</v>
      </c>
      <c r="G17" s="16">
        <v>115.99</v>
      </c>
      <c r="H17" t="s">
        <v>16</v>
      </c>
      <c r="I17" t="s">
        <v>102</v>
      </c>
      <c r="J17" t="s">
        <v>20</v>
      </c>
      <c r="K17" t="s">
        <v>17</v>
      </c>
    </row>
    <row r="18" spans="1:11" x14ac:dyDescent="0.45">
      <c r="A18">
        <v>898</v>
      </c>
      <c r="B18" s="15">
        <v>44349</v>
      </c>
      <c r="C18" t="str">
        <f>TEXT(Table1[[#This Row],[Order Date]], "yyyy")</f>
        <v>2021</v>
      </c>
      <c r="D18" t="str">
        <f>TEXT(Table1[[#This Row],[Order Date]], "mmmm")</f>
        <v>June</v>
      </c>
      <c r="E18" s="16">
        <f>Table1[[#This Row],[Order Quantity]]*Table1[[#This Row],[Unit Price]]</f>
        <v>7700.68</v>
      </c>
      <c r="F18">
        <v>26</v>
      </c>
      <c r="G18" s="16">
        <v>296.18</v>
      </c>
      <c r="H18" t="s">
        <v>16</v>
      </c>
      <c r="I18" t="s">
        <v>107</v>
      </c>
      <c r="J18" t="s">
        <v>23</v>
      </c>
      <c r="K18" t="s">
        <v>15</v>
      </c>
    </row>
    <row r="19" spans="1:11" x14ac:dyDescent="0.45">
      <c r="A19">
        <v>962</v>
      </c>
      <c r="B19" s="15">
        <v>43956</v>
      </c>
      <c r="C19" t="str">
        <f>TEXT(Table1[[#This Row],[Order Date]], "yyyy")</f>
        <v>2020</v>
      </c>
      <c r="D19" t="str">
        <f>TEXT(Table1[[#This Row],[Order Date]], "mmmm")</f>
        <v>May</v>
      </c>
      <c r="E19" s="16">
        <f>Table1[[#This Row],[Order Quantity]]*Table1[[#This Row],[Unit Price]]</f>
        <v>3234.07</v>
      </c>
      <c r="F19">
        <v>47</v>
      </c>
      <c r="G19" s="16">
        <v>68.81</v>
      </c>
      <c r="H19" t="s">
        <v>16</v>
      </c>
      <c r="I19" t="s">
        <v>115</v>
      </c>
      <c r="J19" t="s">
        <v>10</v>
      </c>
      <c r="K19" t="s">
        <v>11</v>
      </c>
    </row>
    <row r="20" spans="1:11" x14ac:dyDescent="0.45">
      <c r="A20">
        <v>965</v>
      </c>
      <c r="B20" s="15">
        <v>44695</v>
      </c>
      <c r="C20" t="str">
        <f>TEXT(Table1[[#This Row],[Order Date]], "yyyy")</f>
        <v>2022</v>
      </c>
      <c r="D20" t="str">
        <f>TEXT(Table1[[#This Row],[Order Date]], "mmmm")</f>
        <v>May</v>
      </c>
      <c r="E20" s="16">
        <f>Table1[[#This Row],[Order Quantity]]*Table1[[#This Row],[Unit Price]]</f>
        <v>11801.16</v>
      </c>
      <c r="F20">
        <v>42</v>
      </c>
      <c r="G20" s="16">
        <v>280.98</v>
      </c>
      <c r="H20" t="s">
        <v>16</v>
      </c>
      <c r="I20" t="s">
        <v>117</v>
      </c>
      <c r="J20" t="s">
        <v>13</v>
      </c>
      <c r="K20" t="s">
        <v>15</v>
      </c>
    </row>
    <row r="21" spans="1:11" x14ac:dyDescent="0.45">
      <c r="A21">
        <v>967</v>
      </c>
      <c r="B21" s="15">
        <v>45097</v>
      </c>
      <c r="C21" t="str">
        <f>TEXT(Table1[[#This Row],[Order Date]], "yyyy")</f>
        <v>2023</v>
      </c>
      <c r="D21" t="str">
        <f>TEXT(Table1[[#This Row],[Order Date]], "mmmm")</f>
        <v>June</v>
      </c>
      <c r="E21" s="16">
        <f>Table1[[#This Row],[Order Quantity]]*Table1[[#This Row],[Unit Price]]</f>
        <v>10922.400000000001</v>
      </c>
      <c r="F21">
        <v>48</v>
      </c>
      <c r="G21" s="16">
        <v>227.55</v>
      </c>
      <c r="H21" t="s">
        <v>16</v>
      </c>
      <c r="I21" t="s">
        <v>118</v>
      </c>
      <c r="J21" t="s">
        <v>23</v>
      </c>
      <c r="K21" t="s">
        <v>15</v>
      </c>
    </row>
    <row r="22" spans="1:11" x14ac:dyDescent="0.45">
      <c r="A22">
        <v>1027</v>
      </c>
      <c r="B22" s="15">
        <v>45079</v>
      </c>
      <c r="C22" t="str">
        <f>TEXT(Table1[[#This Row],[Order Date]], "yyyy")</f>
        <v>2023</v>
      </c>
      <c r="D22" t="str">
        <f>TEXT(Table1[[#This Row],[Order Date]], "mmmm")</f>
        <v>June</v>
      </c>
      <c r="E22" s="16">
        <f>Table1[[#This Row],[Order Quantity]]*Table1[[#This Row],[Unit Price]]</f>
        <v>1348.6200000000001</v>
      </c>
      <c r="F22">
        <v>19</v>
      </c>
      <c r="G22" s="16">
        <v>70.98</v>
      </c>
      <c r="H22" t="s">
        <v>16</v>
      </c>
      <c r="I22" t="s">
        <v>122</v>
      </c>
      <c r="J22" t="s">
        <v>20</v>
      </c>
      <c r="K22" t="s">
        <v>15</v>
      </c>
    </row>
    <row r="23" spans="1:11" x14ac:dyDescent="0.45">
      <c r="A23">
        <v>1154</v>
      </c>
      <c r="B23" s="15">
        <v>44971</v>
      </c>
      <c r="C23" t="str">
        <f>TEXT(Table1[[#This Row],[Order Date]], "yyyy")</f>
        <v>2023</v>
      </c>
      <c r="D23" t="str">
        <f>TEXT(Table1[[#This Row],[Order Date]], "mmmm")</f>
        <v>February</v>
      </c>
      <c r="E23" s="16">
        <f>Table1[[#This Row],[Order Quantity]]*Table1[[#This Row],[Unit Price]]</f>
        <v>4443.12</v>
      </c>
      <c r="F23">
        <v>44</v>
      </c>
      <c r="G23" s="16">
        <v>100.98</v>
      </c>
      <c r="H23" t="s">
        <v>16</v>
      </c>
      <c r="I23" t="s">
        <v>128</v>
      </c>
      <c r="J23" t="s">
        <v>20</v>
      </c>
      <c r="K23" t="s">
        <v>15</v>
      </c>
    </row>
    <row r="24" spans="1:11" x14ac:dyDescent="0.45">
      <c r="A24">
        <v>1191</v>
      </c>
      <c r="B24" s="15">
        <v>44871</v>
      </c>
      <c r="C24" t="str">
        <f>TEXT(Table1[[#This Row],[Order Date]], "yyyy")</f>
        <v>2022</v>
      </c>
      <c r="D24" t="str">
        <f>TEXT(Table1[[#This Row],[Order Date]], "mmmm")</f>
        <v>November</v>
      </c>
      <c r="E24" s="16">
        <f>Table1[[#This Row],[Order Quantity]]*Table1[[#This Row],[Unit Price]]</f>
        <v>3528</v>
      </c>
      <c r="F24">
        <v>35</v>
      </c>
      <c r="G24" s="16">
        <v>100.8</v>
      </c>
      <c r="H24" t="s">
        <v>16</v>
      </c>
      <c r="I24" t="s">
        <v>133</v>
      </c>
      <c r="J24" t="s">
        <v>20</v>
      </c>
      <c r="K24" t="s">
        <v>15</v>
      </c>
    </row>
    <row r="25" spans="1:11" x14ac:dyDescent="0.45">
      <c r="A25">
        <v>1285</v>
      </c>
      <c r="B25" s="15">
        <v>45077</v>
      </c>
      <c r="C25" t="str">
        <f>TEXT(Table1[[#This Row],[Order Date]], "yyyy")</f>
        <v>2023</v>
      </c>
      <c r="D25" t="str">
        <f>TEXT(Table1[[#This Row],[Order Date]], "mmmm")</f>
        <v>May</v>
      </c>
      <c r="E25" s="16">
        <f>Table1[[#This Row],[Order Quantity]]*Table1[[#This Row],[Unit Price]]</f>
        <v>3536.4599999999996</v>
      </c>
      <c r="F25">
        <v>27</v>
      </c>
      <c r="G25" s="16">
        <v>130.97999999999999</v>
      </c>
      <c r="H25" t="s">
        <v>16</v>
      </c>
      <c r="I25" t="s">
        <v>140</v>
      </c>
      <c r="J25" t="s">
        <v>13</v>
      </c>
      <c r="K25" t="s">
        <v>15</v>
      </c>
    </row>
    <row r="26" spans="1:11" x14ac:dyDescent="0.45">
      <c r="A26">
        <v>1285</v>
      </c>
      <c r="B26" s="15">
        <v>45077</v>
      </c>
      <c r="C26" t="str">
        <f>TEXT(Table1[[#This Row],[Order Date]], "yyyy")</f>
        <v>2023</v>
      </c>
      <c r="D26" t="str">
        <f>TEXT(Table1[[#This Row],[Order Date]], "mmmm")</f>
        <v>May</v>
      </c>
      <c r="E26" s="16">
        <f>Table1[[#This Row],[Order Quantity]]*Table1[[#This Row],[Unit Price]]</f>
        <v>1750</v>
      </c>
      <c r="F26">
        <v>8</v>
      </c>
      <c r="G26" s="16">
        <v>218.75</v>
      </c>
      <c r="H26" t="s">
        <v>16</v>
      </c>
      <c r="I26" t="s">
        <v>140</v>
      </c>
      <c r="J26" t="s">
        <v>13</v>
      </c>
      <c r="K26" t="s">
        <v>15</v>
      </c>
    </row>
    <row r="27" spans="1:11" x14ac:dyDescent="0.45">
      <c r="A27">
        <v>1345</v>
      </c>
      <c r="B27" s="15">
        <v>45226</v>
      </c>
      <c r="C27" t="str">
        <f>TEXT(Table1[[#This Row],[Order Date]], "yyyy")</f>
        <v>2023</v>
      </c>
      <c r="D27" t="str">
        <f>TEXT(Table1[[#This Row],[Order Date]], "mmmm")</f>
        <v>October</v>
      </c>
      <c r="E27" s="16">
        <f>Table1[[#This Row],[Order Quantity]]*Table1[[#This Row],[Unit Price]]</f>
        <v>2423.52</v>
      </c>
      <c r="F27">
        <v>24</v>
      </c>
      <c r="G27" s="16">
        <v>100.98</v>
      </c>
      <c r="H27" t="s">
        <v>16</v>
      </c>
      <c r="I27" t="s">
        <v>146</v>
      </c>
      <c r="J27" t="s">
        <v>13</v>
      </c>
      <c r="K27" t="s">
        <v>15</v>
      </c>
    </row>
    <row r="28" spans="1:11" x14ac:dyDescent="0.45">
      <c r="A28">
        <v>1346</v>
      </c>
      <c r="B28" s="15">
        <v>45094</v>
      </c>
      <c r="C28" t="str">
        <f>TEXT(Table1[[#This Row],[Order Date]], "yyyy")</f>
        <v>2023</v>
      </c>
      <c r="D28" t="str">
        <f>TEXT(Table1[[#This Row],[Order Date]], "mmmm")</f>
        <v>June</v>
      </c>
      <c r="E28" s="16">
        <f>Table1[[#This Row],[Order Quantity]]*Table1[[#This Row],[Unit Price]]</f>
        <v>4847.04</v>
      </c>
      <c r="F28">
        <v>48</v>
      </c>
      <c r="G28" s="16">
        <v>100.98</v>
      </c>
      <c r="H28" t="s">
        <v>16</v>
      </c>
      <c r="I28" t="s">
        <v>147</v>
      </c>
      <c r="J28" t="s">
        <v>13</v>
      </c>
      <c r="K28" t="s">
        <v>15</v>
      </c>
    </row>
    <row r="29" spans="1:11" x14ac:dyDescent="0.45">
      <c r="A29">
        <v>1382</v>
      </c>
      <c r="B29" s="15">
        <v>44424</v>
      </c>
      <c r="C29" t="str">
        <f>TEXT(Table1[[#This Row],[Order Date]], "yyyy")</f>
        <v>2021</v>
      </c>
      <c r="D29" t="str">
        <f>TEXT(Table1[[#This Row],[Order Date]], "mmmm")</f>
        <v>August</v>
      </c>
      <c r="E29" s="16">
        <f>Table1[[#This Row],[Order Quantity]]*Table1[[#This Row],[Unit Price]]</f>
        <v>6850.38</v>
      </c>
      <c r="F29">
        <v>31</v>
      </c>
      <c r="G29" s="16">
        <v>220.98</v>
      </c>
      <c r="H29" t="s">
        <v>16</v>
      </c>
      <c r="I29" t="s">
        <v>148</v>
      </c>
      <c r="J29" t="s">
        <v>20</v>
      </c>
      <c r="K29" t="s">
        <v>15</v>
      </c>
    </row>
    <row r="30" spans="1:11" x14ac:dyDescent="0.45">
      <c r="A30">
        <v>1411</v>
      </c>
      <c r="B30" s="15">
        <v>44185</v>
      </c>
      <c r="C30" t="str">
        <f>TEXT(Table1[[#This Row],[Order Date]], "yyyy")</f>
        <v>2020</v>
      </c>
      <c r="D30" t="str">
        <f>TEXT(Table1[[#This Row],[Order Date]], "mmmm")</f>
        <v>December</v>
      </c>
      <c r="E30" s="16">
        <f>Table1[[#This Row],[Order Quantity]]*Table1[[#This Row],[Unit Price]]</f>
        <v>6278.2199999999993</v>
      </c>
      <c r="F30">
        <v>39</v>
      </c>
      <c r="G30" s="16">
        <v>160.97999999999999</v>
      </c>
      <c r="H30" t="s">
        <v>16</v>
      </c>
      <c r="I30" t="s">
        <v>150</v>
      </c>
      <c r="J30" t="s">
        <v>10</v>
      </c>
      <c r="K30" t="s">
        <v>15</v>
      </c>
    </row>
    <row r="31" spans="1:11" x14ac:dyDescent="0.45">
      <c r="A31">
        <v>1414</v>
      </c>
      <c r="B31" s="15">
        <v>44788</v>
      </c>
      <c r="C31" t="str">
        <f>TEXT(Table1[[#This Row],[Order Date]], "yyyy")</f>
        <v>2022</v>
      </c>
      <c r="D31" t="str">
        <f>TEXT(Table1[[#This Row],[Order Date]], "mmmm")</f>
        <v>August</v>
      </c>
      <c r="E31" s="16">
        <f>Table1[[#This Row],[Order Quantity]]*Table1[[#This Row],[Unit Price]]</f>
        <v>4641.5599999999995</v>
      </c>
      <c r="F31">
        <v>44</v>
      </c>
      <c r="G31" s="16">
        <v>105.49</v>
      </c>
      <c r="H31" t="s">
        <v>16</v>
      </c>
      <c r="I31" t="s">
        <v>151</v>
      </c>
      <c r="J31" t="s">
        <v>10</v>
      </c>
      <c r="K31" t="s">
        <v>15</v>
      </c>
    </row>
    <row r="32" spans="1:11" x14ac:dyDescent="0.45">
      <c r="A32">
        <v>1444</v>
      </c>
      <c r="B32" s="15">
        <v>44170</v>
      </c>
      <c r="C32" t="str">
        <f>TEXT(Table1[[#This Row],[Order Date]], "yyyy")</f>
        <v>2020</v>
      </c>
      <c r="D32" t="str">
        <f>TEXT(Table1[[#This Row],[Order Date]], "mmmm")</f>
        <v>December</v>
      </c>
      <c r="E32" s="16">
        <f>Table1[[#This Row],[Order Quantity]]*Table1[[#This Row],[Unit Price]]</f>
        <v>17681.82</v>
      </c>
      <c r="F32">
        <v>13</v>
      </c>
      <c r="G32" s="16">
        <v>1360.14</v>
      </c>
      <c r="H32" t="s">
        <v>16</v>
      </c>
      <c r="I32" t="s">
        <v>153</v>
      </c>
      <c r="J32" t="s">
        <v>20</v>
      </c>
      <c r="K32" t="s">
        <v>17</v>
      </c>
    </row>
    <row r="33" spans="1:11" x14ac:dyDescent="0.45">
      <c r="A33">
        <v>1573</v>
      </c>
      <c r="B33" s="15">
        <v>45287</v>
      </c>
      <c r="C33" t="str">
        <f>TEXT(Table1[[#This Row],[Order Date]], "yyyy")</f>
        <v>2023</v>
      </c>
      <c r="D33" t="str">
        <f>TEXT(Table1[[#This Row],[Order Date]], "mmmm")</f>
        <v>December</v>
      </c>
      <c r="E33" s="16">
        <f>Table1[[#This Row],[Order Quantity]]*Table1[[#This Row],[Unit Price]]</f>
        <v>791.57</v>
      </c>
      <c r="F33">
        <v>13</v>
      </c>
      <c r="G33" s="16">
        <v>60.89</v>
      </c>
      <c r="H33" t="s">
        <v>16</v>
      </c>
      <c r="I33" t="s">
        <v>163</v>
      </c>
      <c r="J33" t="s">
        <v>10</v>
      </c>
      <c r="K33" t="s">
        <v>15</v>
      </c>
    </row>
    <row r="34" spans="1:11" x14ac:dyDescent="0.45">
      <c r="A34">
        <v>1761</v>
      </c>
      <c r="B34" s="15">
        <v>44553</v>
      </c>
      <c r="C34" t="str">
        <f>TEXT(Table1[[#This Row],[Order Date]], "yyyy")</f>
        <v>2021</v>
      </c>
      <c r="D34" t="str">
        <f>TEXT(Table1[[#This Row],[Order Date]], "mmmm")</f>
        <v>December</v>
      </c>
      <c r="E34" s="16">
        <f>Table1[[#This Row],[Order Quantity]]*Table1[[#This Row],[Unit Price]]</f>
        <v>11249.75</v>
      </c>
      <c r="F34">
        <v>25</v>
      </c>
      <c r="G34" s="16">
        <v>449.99</v>
      </c>
      <c r="H34" t="s">
        <v>16</v>
      </c>
      <c r="I34" t="s">
        <v>160</v>
      </c>
      <c r="J34" t="s">
        <v>13</v>
      </c>
      <c r="K34" t="s">
        <v>17</v>
      </c>
    </row>
    <row r="35" spans="1:11" x14ac:dyDescent="0.45">
      <c r="A35">
        <v>1799</v>
      </c>
      <c r="B35" s="15">
        <v>43896</v>
      </c>
      <c r="C35" t="str">
        <f>TEXT(Table1[[#This Row],[Order Date]], "yyyy")</f>
        <v>2020</v>
      </c>
      <c r="D35" t="str">
        <f>TEXT(Table1[[#This Row],[Order Date]], "mmmm")</f>
        <v>March</v>
      </c>
      <c r="E35" s="16">
        <f>Table1[[#This Row],[Order Quantity]]*Table1[[#This Row],[Unit Price]]</f>
        <v>1139.8</v>
      </c>
      <c r="F35">
        <v>10</v>
      </c>
      <c r="G35" s="16">
        <v>113.98</v>
      </c>
      <c r="H35" t="s">
        <v>16</v>
      </c>
      <c r="I35" t="s">
        <v>178</v>
      </c>
      <c r="J35" t="s">
        <v>10</v>
      </c>
      <c r="K35" t="s">
        <v>15</v>
      </c>
    </row>
    <row r="36" spans="1:11" x14ac:dyDescent="0.45">
      <c r="A36">
        <v>1831</v>
      </c>
      <c r="B36" s="15">
        <v>44531</v>
      </c>
      <c r="C36" t="str">
        <f>TEXT(Table1[[#This Row],[Order Date]], "yyyy")</f>
        <v>2021</v>
      </c>
      <c r="D36" t="str">
        <f>TEXT(Table1[[#This Row],[Order Date]], "mmmm")</f>
        <v>December</v>
      </c>
      <c r="E36" s="16">
        <f>Table1[[#This Row],[Order Quantity]]*Table1[[#This Row],[Unit Price]]</f>
        <v>12242.34</v>
      </c>
      <c r="F36">
        <v>33</v>
      </c>
      <c r="G36" s="16">
        <v>370.98</v>
      </c>
      <c r="H36" t="s">
        <v>16</v>
      </c>
      <c r="I36" t="s">
        <v>75</v>
      </c>
      <c r="J36" t="s">
        <v>20</v>
      </c>
      <c r="K36" t="s">
        <v>11</v>
      </c>
    </row>
    <row r="37" spans="1:11" x14ac:dyDescent="0.45">
      <c r="A37">
        <v>1863</v>
      </c>
      <c r="B37" s="15">
        <v>44461</v>
      </c>
      <c r="C37" t="str">
        <f>TEXT(Table1[[#This Row],[Order Date]], "yyyy")</f>
        <v>2021</v>
      </c>
      <c r="D37" t="str">
        <f>TEXT(Table1[[#This Row],[Order Date]], "mmmm")</f>
        <v>September</v>
      </c>
      <c r="E37" s="16">
        <f>Table1[[#This Row],[Order Quantity]]*Table1[[#This Row],[Unit Price]]</f>
        <v>2494.7000000000003</v>
      </c>
      <c r="F37">
        <v>26</v>
      </c>
      <c r="G37" s="16">
        <v>95.95</v>
      </c>
      <c r="H37" t="s">
        <v>16</v>
      </c>
      <c r="I37" t="s">
        <v>184</v>
      </c>
      <c r="J37" t="s">
        <v>10</v>
      </c>
      <c r="K37" t="s">
        <v>15</v>
      </c>
    </row>
    <row r="38" spans="1:11" x14ac:dyDescent="0.45">
      <c r="A38">
        <v>1888</v>
      </c>
      <c r="B38" s="15">
        <v>44499</v>
      </c>
      <c r="C38" t="str">
        <f>TEXT(Table1[[#This Row],[Order Date]], "yyyy")</f>
        <v>2021</v>
      </c>
      <c r="D38" t="str">
        <f>TEXT(Table1[[#This Row],[Order Date]], "mmmm")</f>
        <v>October</v>
      </c>
      <c r="E38" s="16">
        <f>Table1[[#This Row],[Order Quantity]]*Table1[[#This Row],[Unit Price]]</f>
        <v>1206.8800000000001</v>
      </c>
      <c r="F38">
        <v>38</v>
      </c>
      <c r="G38" s="16">
        <v>31.76</v>
      </c>
      <c r="H38" t="s">
        <v>16</v>
      </c>
      <c r="I38" t="s">
        <v>185</v>
      </c>
      <c r="J38" t="s">
        <v>13</v>
      </c>
      <c r="K38" t="s">
        <v>15</v>
      </c>
    </row>
    <row r="39" spans="1:11" x14ac:dyDescent="0.45">
      <c r="A39">
        <v>1921</v>
      </c>
      <c r="B39" s="15">
        <v>43847</v>
      </c>
      <c r="C39" t="str">
        <f>TEXT(Table1[[#This Row],[Order Date]], "yyyy")</f>
        <v>2020</v>
      </c>
      <c r="D39" t="str">
        <f>TEXT(Table1[[#This Row],[Order Date]], "mmmm")</f>
        <v>January</v>
      </c>
      <c r="E39" s="16">
        <f>Table1[[#This Row],[Order Quantity]]*Table1[[#This Row],[Unit Price]]</f>
        <v>7875.36</v>
      </c>
      <c r="F39">
        <v>24</v>
      </c>
      <c r="G39" s="16">
        <v>328.14</v>
      </c>
      <c r="H39" t="s">
        <v>16</v>
      </c>
      <c r="I39" t="s">
        <v>188</v>
      </c>
      <c r="J39" t="s">
        <v>10</v>
      </c>
      <c r="K39" t="s">
        <v>11</v>
      </c>
    </row>
    <row r="40" spans="1:11" x14ac:dyDescent="0.45">
      <c r="A40">
        <v>1952</v>
      </c>
      <c r="B40" s="15">
        <v>43905</v>
      </c>
      <c r="C40" t="str">
        <f>TEXT(Table1[[#This Row],[Order Date]], "yyyy")</f>
        <v>2020</v>
      </c>
      <c r="D40" t="str">
        <f>TEXT(Table1[[#This Row],[Order Date]], "mmmm")</f>
        <v>March</v>
      </c>
      <c r="E40" s="16">
        <f>Table1[[#This Row],[Order Quantity]]*Table1[[#This Row],[Unit Price]]</f>
        <v>7108.32</v>
      </c>
      <c r="F40">
        <v>24</v>
      </c>
      <c r="G40" s="16">
        <v>296.18</v>
      </c>
      <c r="H40" t="s">
        <v>16</v>
      </c>
      <c r="I40" t="s">
        <v>190</v>
      </c>
      <c r="J40" t="s">
        <v>13</v>
      </c>
      <c r="K40" t="s">
        <v>15</v>
      </c>
    </row>
    <row r="41" spans="1:11" x14ac:dyDescent="0.45">
      <c r="A41">
        <v>1985</v>
      </c>
      <c r="B41" s="15">
        <v>44075</v>
      </c>
      <c r="C41" t="str">
        <f>TEXT(Table1[[#This Row],[Order Date]], "yyyy")</f>
        <v>2020</v>
      </c>
      <c r="D41" t="str">
        <f>TEXT(Table1[[#This Row],[Order Date]], "mmmm")</f>
        <v>September</v>
      </c>
      <c r="E41" s="16">
        <f>Table1[[#This Row],[Order Quantity]]*Table1[[#This Row],[Unit Price]]</f>
        <v>17676.12</v>
      </c>
      <c r="F41">
        <v>33</v>
      </c>
      <c r="G41" s="16">
        <v>535.64</v>
      </c>
      <c r="H41" t="s">
        <v>16</v>
      </c>
      <c r="I41" t="s">
        <v>192</v>
      </c>
      <c r="J41" t="s">
        <v>20</v>
      </c>
      <c r="K41" t="s">
        <v>17</v>
      </c>
    </row>
    <row r="42" spans="1:11" x14ac:dyDescent="0.45">
      <c r="A42">
        <v>1991</v>
      </c>
      <c r="B42" s="15">
        <v>45175</v>
      </c>
      <c r="C42" t="str">
        <f>TEXT(Table1[[#This Row],[Order Date]], "yyyy")</f>
        <v>2023</v>
      </c>
      <c r="D42" t="str">
        <f>TEXT(Table1[[#This Row],[Order Date]], "mmmm")</f>
        <v>September</v>
      </c>
      <c r="E42" s="16">
        <f>Table1[[#This Row],[Order Quantity]]*Table1[[#This Row],[Unit Price]]</f>
        <v>14799.26</v>
      </c>
      <c r="F42">
        <v>37</v>
      </c>
      <c r="G42" s="16">
        <v>399.98</v>
      </c>
      <c r="H42" t="s">
        <v>16</v>
      </c>
      <c r="I42" t="s">
        <v>194</v>
      </c>
      <c r="J42" t="s">
        <v>13</v>
      </c>
      <c r="K42" t="s">
        <v>17</v>
      </c>
    </row>
    <row r="43" spans="1:11" x14ac:dyDescent="0.45">
      <c r="A43">
        <v>2048</v>
      </c>
      <c r="B43" s="15">
        <v>44514</v>
      </c>
      <c r="C43" t="str">
        <f>TEXT(Table1[[#This Row],[Order Date]], "yyyy")</f>
        <v>2021</v>
      </c>
      <c r="D43" t="str">
        <f>TEXT(Table1[[#This Row],[Order Date]], "mmmm")</f>
        <v>November</v>
      </c>
      <c r="E43" s="16">
        <f>Table1[[#This Row],[Order Quantity]]*Table1[[#This Row],[Unit Price]]</f>
        <v>3535.44</v>
      </c>
      <c r="F43">
        <v>12</v>
      </c>
      <c r="G43" s="16">
        <v>294.62</v>
      </c>
      <c r="H43" t="s">
        <v>16</v>
      </c>
      <c r="I43" t="s">
        <v>177</v>
      </c>
      <c r="J43" t="s">
        <v>13</v>
      </c>
      <c r="K43" t="s">
        <v>11</v>
      </c>
    </row>
    <row r="44" spans="1:11" x14ac:dyDescent="0.45">
      <c r="A44">
        <v>2053</v>
      </c>
      <c r="B44" s="15">
        <v>44598</v>
      </c>
      <c r="C44" t="str">
        <f>TEXT(Table1[[#This Row],[Order Date]], "yyyy")</f>
        <v>2022</v>
      </c>
      <c r="D44" t="str">
        <f>TEXT(Table1[[#This Row],[Order Date]], "mmmm")</f>
        <v>February</v>
      </c>
      <c r="E44" s="16">
        <f>Table1[[#This Row],[Order Quantity]]*Table1[[#This Row],[Unit Price]]</f>
        <v>19538.22</v>
      </c>
      <c r="F44">
        <v>39</v>
      </c>
      <c r="G44" s="16">
        <v>500.98</v>
      </c>
      <c r="H44" t="s">
        <v>16</v>
      </c>
      <c r="I44" t="s">
        <v>199</v>
      </c>
      <c r="J44" t="s">
        <v>23</v>
      </c>
      <c r="K44" t="s">
        <v>15</v>
      </c>
    </row>
    <row r="45" spans="1:11" x14ac:dyDescent="0.45">
      <c r="A45">
        <v>2150</v>
      </c>
      <c r="B45" s="15">
        <v>43984</v>
      </c>
      <c r="C45" t="str">
        <f>TEXT(Table1[[#This Row],[Order Date]], "yyyy")</f>
        <v>2020</v>
      </c>
      <c r="D45" t="str">
        <f>TEXT(Table1[[#This Row],[Order Date]], "mmmm")</f>
        <v>June</v>
      </c>
      <c r="E45" s="16">
        <f>Table1[[#This Row],[Order Quantity]]*Table1[[#This Row],[Unit Price]]</f>
        <v>3765.0899999999997</v>
      </c>
      <c r="F45">
        <v>21</v>
      </c>
      <c r="G45" s="16">
        <v>179.29</v>
      </c>
      <c r="H45" t="s">
        <v>16</v>
      </c>
      <c r="I45" t="s">
        <v>204</v>
      </c>
      <c r="J45" t="s">
        <v>13</v>
      </c>
      <c r="K45" t="s">
        <v>15</v>
      </c>
    </row>
    <row r="46" spans="1:11" x14ac:dyDescent="0.45">
      <c r="A46">
        <v>2209</v>
      </c>
      <c r="B46" s="15">
        <v>45116</v>
      </c>
      <c r="C46" t="str">
        <f>TEXT(Table1[[#This Row],[Order Date]], "yyyy")</f>
        <v>2023</v>
      </c>
      <c r="D46" t="str">
        <f>TEXT(Table1[[#This Row],[Order Date]], "mmmm")</f>
        <v>July</v>
      </c>
      <c r="E46" s="16">
        <f>Table1[[#This Row],[Order Quantity]]*Table1[[#This Row],[Unit Price]]</f>
        <v>8666.4600000000009</v>
      </c>
      <c r="F46">
        <v>27</v>
      </c>
      <c r="G46" s="16">
        <v>320.98</v>
      </c>
      <c r="H46" t="s">
        <v>16</v>
      </c>
      <c r="I46" t="s">
        <v>206</v>
      </c>
      <c r="J46" t="s">
        <v>23</v>
      </c>
      <c r="K46" t="s">
        <v>15</v>
      </c>
    </row>
    <row r="47" spans="1:11" x14ac:dyDescent="0.45">
      <c r="A47">
        <v>2247</v>
      </c>
      <c r="B47" s="15">
        <v>45139</v>
      </c>
      <c r="C47" t="str">
        <f>TEXT(Table1[[#This Row],[Order Date]], "yyyy")</f>
        <v>2023</v>
      </c>
      <c r="D47" t="str">
        <f>TEXT(Table1[[#This Row],[Order Date]], "mmmm")</f>
        <v>August</v>
      </c>
      <c r="E47" s="16">
        <f>Table1[[#This Row],[Order Quantity]]*Table1[[#This Row],[Unit Price]]</f>
        <v>21012.84</v>
      </c>
      <c r="F47">
        <v>6</v>
      </c>
      <c r="G47" s="16">
        <v>3502.14</v>
      </c>
      <c r="H47" t="s">
        <v>16</v>
      </c>
      <c r="I47" t="s">
        <v>209</v>
      </c>
      <c r="J47" t="s">
        <v>10</v>
      </c>
      <c r="K47" t="s">
        <v>17</v>
      </c>
    </row>
    <row r="48" spans="1:11" x14ac:dyDescent="0.45">
      <c r="A48">
        <v>2272</v>
      </c>
      <c r="B48" s="15">
        <v>44298</v>
      </c>
      <c r="C48" t="str">
        <f>TEXT(Table1[[#This Row],[Order Date]], "yyyy")</f>
        <v>2021</v>
      </c>
      <c r="D48" t="str">
        <f>TEXT(Table1[[#This Row],[Order Date]], "mmmm")</f>
        <v>April</v>
      </c>
      <c r="E48" s="16">
        <f>Table1[[#This Row],[Order Quantity]]*Table1[[#This Row],[Unit Price]]</f>
        <v>8291.4</v>
      </c>
      <c r="F48">
        <v>39</v>
      </c>
      <c r="G48" s="16">
        <v>212.6</v>
      </c>
      <c r="H48" t="s">
        <v>16</v>
      </c>
      <c r="I48" t="s">
        <v>210</v>
      </c>
      <c r="J48" t="s">
        <v>23</v>
      </c>
      <c r="K48" t="s">
        <v>15</v>
      </c>
    </row>
    <row r="49" spans="1:11" x14ac:dyDescent="0.45">
      <c r="A49">
        <v>2279</v>
      </c>
      <c r="B49" s="15">
        <v>44249</v>
      </c>
      <c r="C49" t="str">
        <f>TEXT(Table1[[#This Row],[Order Date]], "yyyy")</f>
        <v>2021</v>
      </c>
      <c r="D49" t="str">
        <f>TEXT(Table1[[#This Row],[Order Date]], "mmmm")</f>
        <v>February</v>
      </c>
      <c r="E49" s="16">
        <f>Table1[[#This Row],[Order Quantity]]*Table1[[#This Row],[Unit Price]]</f>
        <v>4458.0200000000004</v>
      </c>
      <c r="F49">
        <v>49</v>
      </c>
      <c r="G49" s="16">
        <v>90.98</v>
      </c>
      <c r="H49" t="s">
        <v>16</v>
      </c>
      <c r="I49" t="s">
        <v>212</v>
      </c>
      <c r="J49" t="s">
        <v>13</v>
      </c>
      <c r="K49" t="s">
        <v>15</v>
      </c>
    </row>
    <row r="50" spans="1:11" x14ac:dyDescent="0.45">
      <c r="A50">
        <v>2305</v>
      </c>
      <c r="B50" s="15">
        <v>44221</v>
      </c>
      <c r="C50" t="str">
        <f>TEXT(Table1[[#This Row],[Order Date]], "yyyy")</f>
        <v>2021</v>
      </c>
      <c r="D50" t="str">
        <f>TEXT(Table1[[#This Row],[Order Date]], "mmmm")</f>
        <v>January</v>
      </c>
      <c r="E50" s="16">
        <f>Table1[[#This Row],[Order Quantity]]*Table1[[#This Row],[Unit Price]]</f>
        <v>3332.34</v>
      </c>
      <c r="F50">
        <v>33</v>
      </c>
      <c r="G50" s="16">
        <v>100.98</v>
      </c>
      <c r="H50" t="s">
        <v>16</v>
      </c>
      <c r="I50" t="s">
        <v>213</v>
      </c>
      <c r="J50" t="s">
        <v>20</v>
      </c>
      <c r="K50" t="s">
        <v>15</v>
      </c>
    </row>
    <row r="51" spans="1:11" x14ac:dyDescent="0.45">
      <c r="A51">
        <v>2433</v>
      </c>
      <c r="B51" s="15">
        <v>44064</v>
      </c>
      <c r="C51" t="str">
        <f>TEXT(Table1[[#This Row],[Order Date]], "yyyy")</f>
        <v>2020</v>
      </c>
      <c r="D51" t="str">
        <f>TEXT(Table1[[#This Row],[Order Date]], "mmmm")</f>
        <v>August</v>
      </c>
      <c r="E51" s="16">
        <f>Table1[[#This Row],[Order Quantity]]*Table1[[#This Row],[Unit Price]]</f>
        <v>28510.720000000001</v>
      </c>
      <c r="F51">
        <v>14</v>
      </c>
      <c r="G51" s="16">
        <v>2036.48</v>
      </c>
      <c r="H51" t="s">
        <v>16</v>
      </c>
      <c r="I51" t="s">
        <v>58</v>
      </c>
      <c r="J51" t="s">
        <v>13</v>
      </c>
      <c r="K51" t="s">
        <v>17</v>
      </c>
    </row>
    <row r="52" spans="1:11" x14ac:dyDescent="0.45">
      <c r="A52">
        <v>2467</v>
      </c>
      <c r="B52" s="15">
        <v>44757</v>
      </c>
      <c r="C52" t="str">
        <f>TEXT(Table1[[#This Row],[Order Date]], "yyyy")</f>
        <v>2022</v>
      </c>
      <c r="D52" t="str">
        <f>TEXT(Table1[[#This Row],[Order Date]], "mmmm")</f>
        <v>July</v>
      </c>
      <c r="E52" s="16">
        <f>Table1[[#This Row],[Order Quantity]]*Table1[[#This Row],[Unit Price]]</f>
        <v>4363.5</v>
      </c>
      <c r="F52">
        <v>30</v>
      </c>
      <c r="G52" s="16">
        <v>145.44999999999999</v>
      </c>
      <c r="H52" t="s">
        <v>16</v>
      </c>
      <c r="I52" t="s">
        <v>88</v>
      </c>
      <c r="J52" t="s">
        <v>13</v>
      </c>
      <c r="K52" t="s">
        <v>17</v>
      </c>
    </row>
    <row r="53" spans="1:11" x14ac:dyDescent="0.45">
      <c r="A53">
        <v>2593</v>
      </c>
      <c r="B53" s="15">
        <v>44442</v>
      </c>
      <c r="C53" t="str">
        <f>TEXT(Table1[[#This Row],[Order Date]], "yyyy")</f>
        <v>2021</v>
      </c>
      <c r="D53" t="str">
        <f>TEXT(Table1[[#This Row],[Order Date]], "mmmm")</f>
        <v>September</v>
      </c>
      <c r="E53" s="16">
        <f>Table1[[#This Row],[Order Quantity]]*Table1[[#This Row],[Unit Price]]</f>
        <v>3659.7</v>
      </c>
      <c r="F53">
        <v>15</v>
      </c>
      <c r="G53" s="16">
        <v>243.98</v>
      </c>
      <c r="H53" t="s">
        <v>16</v>
      </c>
      <c r="I53" t="s">
        <v>231</v>
      </c>
      <c r="J53" t="s">
        <v>13</v>
      </c>
      <c r="K53" t="s">
        <v>15</v>
      </c>
    </row>
    <row r="54" spans="1:11" x14ac:dyDescent="0.45">
      <c r="A54">
        <v>2595</v>
      </c>
      <c r="B54" s="15">
        <v>44908</v>
      </c>
      <c r="C54" t="str">
        <f>TEXT(Table1[[#This Row],[Order Date]], "yyyy")</f>
        <v>2022</v>
      </c>
      <c r="D54" t="str">
        <f>TEXT(Table1[[#This Row],[Order Date]], "mmmm")</f>
        <v>December</v>
      </c>
      <c r="E54" s="16">
        <f>Table1[[#This Row],[Order Quantity]]*Table1[[#This Row],[Unit Price]]</f>
        <v>11452.74</v>
      </c>
      <c r="F54">
        <v>13</v>
      </c>
      <c r="G54" s="16">
        <v>880.98</v>
      </c>
      <c r="H54" t="s">
        <v>16</v>
      </c>
      <c r="I54" t="s">
        <v>232</v>
      </c>
      <c r="J54" t="s">
        <v>13</v>
      </c>
      <c r="K54" t="s">
        <v>15</v>
      </c>
    </row>
    <row r="55" spans="1:11" x14ac:dyDescent="0.45">
      <c r="A55">
        <v>2628</v>
      </c>
      <c r="B55" s="15">
        <v>44490</v>
      </c>
      <c r="C55" t="str">
        <f>TEXT(Table1[[#This Row],[Order Date]], "yyyy")</f>
        <v>2021</v>
      </c>
      <c r="D55" t="str">
        <f>TEXT(Table1[[#This Row],[Order Date]], "mmmm")</f>
        <v>October</v>
      </c>
      <c r="E55" s="16">
        <f>Table1[[#This Row],[Order Quantity]]*Table1[[#This Row],[Unit Price]]</f>
        <v>6343.75</v>
      </c>
      <c r="F55">
        <v>29</v>
      </c>
      <c r="G55" s="16">
        <v>218.75</v>
      </c>
      <c r="H55" t="s">
        <v>16</v>
      </c>
      <c r="I55" t="s">
        <v>234</v>
      </c>
      <c r="J55" t="s">
        <v>23</v>
      </c>
      <c r="K55" t="s">
        <v>15</v>
      </c>
    </row>
    <row r="56" spans="1:11" x14ac:dyDescent="0.45">
      <c r="A56">
        <v>2656</v>
      </c>
      <c r="B56" s="15">
        <v>44319</v>
      </c>
      <c r="C56" t="str">
        <f>TEXT(Table1[[#This Row],[Order Date]], "yyyy")</f>
        <v>2021</v>
      </c>
      <c r="D56" t="str">
        <f>TEXT(Table1[[#This Row],[Order Date]], "mmmm")</f>
        <v>May</v>
      </c>
      <c r="E56" s="16">
        <f>Table1[[#This Row],[Order Quantity]]*Table1[[#This Row],[Unit Price]]</f>
        <v>477.93</v>
      </c>
      <c r="F56">
        <v>3</v>
      </c>
      <c r="G56" s="16">
        <v>159.31</v>
      </c>
      <c r="H56" t="s">
        <v>16</v>
      </c>
      <c r="I56" t="s">
        <v>237</v>
      </c>
      <c r="J56" t="s">
        <v>23</v>
      </c>
      <c r="K56" t="s">
        <v>15</v>
      </c>
    </row>
    <row r="57" spans="1:11" x14ac:dyDescent="0.45">
      <c r="A57">
        <v>2657</v>
      </c>
      <c r="B57" s="15">
        <v>44850</v>
      </c>
      <c r="C57" t="str">
        <f>TEXT(Table1[[#This Row],[Order Date]], "yyyy")</f>
        <v>2022</v>
      </c>
      <c r="D57" t="str">
        <f>TEXT(Table1[[#This Row],[Order Date]], "mmmm")</f>
        <v>October</v>
      </c>
      <c r="E57" s="16">
        <f>Table1[[#This Row],[Order Quantity]]*Table1[[#This Row],[Unit Price]]</f>
        <v>8394.2999999999993</v>
      </c>
      <c r="F57">
        <v>30</v>
      </c>
      <c r="G57" s="16">
        <v>279.81</v>
      </c>
      <c r="H57" t="s">
        <v>16</v>
      </c>
      <c r="I57" t="s">
        <v>238</v>
      </c>
      <c r="J57" t="s">
        <v>20</v>
      </c>
      <c r="K57" t="s">
        <v>11</v>
      </c>
    </row>
    <row r="58" spans="1:11" x14ac:dyDescent="0.45">
      <c r="A58">
        <v>2691</v>
      </c>
      <c r="B58" s="15">
        <v>45045</v>
      </c>
      <c r="C58" t="str">
        <f>TEXT(Table1[[#This Row],[Order Date]], "yyyy")</f>
        <v>2023</v>
      </c>
      <c r="D58" t="str">
        <f>TEXT(Table1[[#This Row],[Order Date]], "mmmm")</f>
        <v>April</v>
      </c>
      <c r="E58" s="16">
        <f>Table1[[#This Row],[Order Quantity]]*Table1[[#This Row],[Unit Price]]</f>
        <v>3653.7200000000003</v>
      </c>
      <c r="F58">
        <v>14</v>
      </c>
      <c r="G58" s="16">
        <v>260.98</v>
      </c>
      <c r="H58" t="s">
        <v>16</v>
      </c>
      <c r="I58" t="s">
        <v>159</v>
      </c>
      <c r="J58" t="s">
        <v>13</v>
      </c>
      <c r="K58" t="s">
        <v>15</v>
      </c>
    </row>
    <row r="59" spans="1:11" x14ac:dyDescent="0.45">
      <c r="A59">
        <v>2757</v>
      </c>
      <c r="B59" s="15">
        <v>44761</v>
      </c>
      <c r="C59" t="str">
        <f>TEXT(Table1[[#This Row],[Order Date]], "yyyy")</f>
        <v>2022</v>
      </c>
      <c r="D59" t="str">
        <f>TEXT(Table1[[#This Row],[Order Date]], "mmmm")</f>
        <v>July</v>
      </c>
      <c r="E59" s="16">
        <f>Table1[[#This Row],[Order Quantity]]*Table1[[#This Row],[Unit Price]]</f>
        <v>3742.05</v>
      </c>
      <c r="F59">
        <v>39</v>
      </c>
      <c r="G59" s="16">
        <v>95.95</v>
      </c>
      <c r="H59" t="s">
        <v>16</v>
      </c>
      <c r="I59" t="s">
        <v>245</v>
      </c>
      <c r="J59" t="s">
        <v>13</v>
      </c>
      <c r="K59" t="s">
        <v>15</v>
      </c>
    </row>
    <row r="60" spans="1:11" x14ac:dyDescent="0.45">
      <c r="A60">
        <v>2790</v>
      </c>
      <c r="B60" s="15">
        <v>44061</v>
      </c>
      <c r="C60" t="str">
        <f>TEXT(Table1[[#This Row],[Order Date]], "yyyy")</f>
        <v>2020</v>
      </c>
      <c r="D60" t="str">
        <f>TEXT(Table1[[#This Row],[Order Date]], "mmmm")</f>
        <v>August</v>
      </c>
      <c r="E60" s="16">
        <f>Table1[[#This Row],[Order Quantity]]*Table1[[#This Row],[Unit Price]]</f>
        <v>22549.59</v>
      </c>
      <c r="F60">
        <v>41</v>
      </c>
      <c r="G60" s="16">
        <v>549.99</v>
      </c>
      <c r="H60" t="s">
        <v>16</v>
      </c>
      <c r="I60" t="s">
        <v>213</v>
      </c>
      <c r="J60" t="s">
        <v>20</v>
      </c>
      <c r="K60" t="s">
        <v>17</v>
      </c>
    </row>
    <row r="61" spans="1:11" x14ac:dyDescent="0.45">
      <c r="A61">
        <v>2791</v>
      </c>
      <c r="B61" s="15">
        <v>44113</v>
      </c>
      <c r="C61" t="str">
        <f>TEXT(Table1[[#This Row],[Order Date]], "yyyy")</f>
        <v>2020</v>
      </c>
      <c r="D61" t="str">
        <f>TEXT(Table1[[#This Row],[Order Date]], "mmmm")</f>
        <v>October</v>
      </c>
      <c r="E61" s="16">
        <f>Table1[[#This Row],[Order Quantity]]*Table1[[#This Row],[Unit Price]]</f>
        <v>5928.02</v>
      </c>
      <c r="F61">
        <v>49</v>
      </c>
      <c r="G61" s="16">
        <v>120.98</v>
      </c>
      <c r="H61" t="s">
        <v>16</v>
      </c>
      <c r="I61" t="s">
        <v>247</v>
      </c>
      <c r="J61" t="s">
        <v>13</v>
      </c>
      <c r="K61" t="s">
        <v>15</v>
      </c>
    </row>
    <row r="62" spans="1:11" x14ac:dyDescent="0.45">
      <c r="A62">
        <v>2823</v>
      </c>
      <c r="B62" s="15">
        <v>44812</v>
      </c>
      <c r="C62" t="str">
        <f>TEXT(Table1[[#This Row],[Order Date]], "yyyy")</f>
        <v>2022</v>
      </c>
      <c r="D62" t="str">
        <f>TEXT(Table1[[#This Row],[Order Date]], "mmmm")</f>
        <v>September</v>
      </c>
      <c r="E62" s="16">
        <f>Table1[[#This Row],[Order Quantity]]*Table1[[#This Row],[Unit Price]]</f>
        <v>4725.42</v>
      </c>
      <c r="F62">
        <v>21</v>
      </c>
      <c r="G62" s="16">
        <v>225.02</v>
      </c>
      <c r="H62" t="s">
        <v>16</v>
      </c>
      <c r="I62" t="s">
        <v>250</v>
      </c>
      <c r="J62" t="s">
        <v>20</v>
      </c>
      <c r="K62" t="s">
        <v>11</v>
      </c>
    </row>
    <row r="63" spans="1:11" x14ac:dyDescent="0.45">
      <c r="A63">
        <v>2882</v>
      </c>
      <c r="B63" s="15">
        <v>44794</v>
      </c>
      <c r="C63" t="str">
        <f>TEXT(Table1[[#This Row],[Order Date]], "yyyy")</f>
        <v>2022</v>
      </c>
      <c r="D63" t="str">
        <f>TEXT(Table1[[#This Row],[Order Date]], "mmmm")</f>
        <v>August</v>
      </c>
      <c r="E63" s="16">
        <f>Table1[[#This Row],[Order Quantity]]*Table1[[#This Row],[Unit Price]]</f>
        <v>3702.54</v>
      </c>
      <c r="F63">
        <v>23</v>
      </c>
      <c r="G63" s="16">
        <v>160.97999999999999</v>
      </c>
      <c r="H63" t="s">
        <v>16</v>
      </c>
      <c r="I63" t="s">
        <v>252</v>
      </c>
      <c r="J63" t="s">
        <v>23</v>
      </c>
      <c r="K63" t="s">
        <v>15</v>
      </c>
    </row>
    <row r="64" spans="1:11" x14ac:dyDescent="0.45">
      <c r="A64">
        <v>2912</v>
      </c>
      <c r="B64" s="15">
        <v>44996</v>
      </c>
      <c r="C64" t="str">
        <f>TEXT(Table1[[#This Row],[Order Date]], "yyyy")</f>
        <v>2023</v>
      </c>
      <c r="D64" t="str">
        <f>TEXT(Table1[[#This Row],[Order Date]], "mmmm")</f>
        <v>March</v>
      </c>
      <c r="E64" s="16">
        <f>Table1[[#This Row],[Order Quantity]]*Table1[[#This Row],[Unit Price]]</f>
        <v>17850.98</v>
      </c>
      <c r="F64">
        <v>7</v>
      </c>
      <c r="G64" s="16">
        <v>2550.14</v>
      </c>
      <c r="H64" t="s">
        <v>16</v>
      </c>
      <c r="I64" t="s">
        <v>21</v>
      </c>
      <c r="J64" t="s">
        <v>13</v>
      </c>
      <c r="K64" t="s">
        <v>17</v>
      </c>
    </row>
    <row r="65" spans="1:11" x14ac:dyDescent="0.45">
      <c r="A65">
        <v>2976</v>
      </c>
      <c r="B65" s="15">
        <v>44539</v>
      </c>
      <c r="C65" t="str">
        <f>TEXT(Table1[[#This Row],[Order Date]], "yyyy")</f>
        <v>2021</v>
      </c>
      <c r="D65" t="str">
        <f>TEXT(Table1[[#This Row],[Order Date]], "mmmm")</f>
        <v>December</v>
      </c>
      <c r="E65" s="16">
        <f>Table1[[#This Row],[Order Quantity]]*Table1[[#This Row],[Unit Price]]</f>
        <v>15029.400000000001</v>
      </c>
      <c r="F65">
        <v>30</v>
      </c>
      <c r="G65" s="16">
        <v>500.98</v>
      </c>
      <c r="H65" t="s">
        <v>16</v>
      </c>
      <c r="I65" t="s">
        <v>255</v>
      </c>
      <c r="J65" t="s">
        <v>23</v>
      </c>
      <c r="K65" t="s">
        <v>15</v>
      </c>
    </row>
    <row r="66" spans="1:11" x14ac:dyDescent="0.45">
      <c r="A66">
        <v>3078</v>
      </c>
      <c r="B66" s="15">
        <v>44238</v>
      </c>
      <c r="C66" t="str">
        <f>TEXT(Table1[[#This Row],[Order Date]], "yyyy")</f>
        <v>2021</v>
      </c>
      <c r="D66" t="str">
        <f>TEXT(Table1[[#This Row],[Order Date]], "mmmm")</f>
        <v>February</v>
      </c>
      <c r="E66" s="16">
        <f>Table1[[#This Row],[Order Quantity]]*Table1[[#This Row],[Unit Price]]</f>
        <v>291.73</v>
      </c>
      <c r="F66">
        <v>1</v>
      </c>
      <c r="G66" s="16">
        <v>291.73</v>
      </c>
      <c r="H66" t="s">
        <v>16</v>
      </c>
      <c r="I66" t="s">
        <v>47</v>
      </c>
      <c r="J66" t="s">
        <v>13</v>
      </c>
      <c r="K66" t="s">
        <v>15</v>
      </c>
    </row>
    <row r="67" spans="1:11" x14ac:dyDescent="0.45">
      <c r="A67">
        <v>3110</v>
      </c>
      <c r="B67" s="15">
        <v>44181</v>
      </c>
      <c r="C67" t="str">
        <f>TEXT(Table1[[#This Row],[Order Date]], "yyyy")</f>
        <v>2020</v>
      </c>
      <c r="D67" t="str">
        <f>TEXT(Table1[[#This Row],[Order Date]], "mmmm")</f>
        <v>December</v>
      </c>
      <c r="E67" s="16">
        <f>Table1[[#This Row],[Order Quantity]]*Table1[[#This Row],[Unit Price]]</f>
        <v>1559.87</v>
      </c>
      <c r="F67">
        <v>13</v>
      </c>
      <c r="G67" s="16">
        <v>119.99</v>
      </c>
      <c r="H67" t="s">
        <v>16</v>
      </c>
      <c r="I67" t="s">
        <v>263</v>
      </c>
      <c r="J67" t="s">
        <v>13</v>
      </c>
      <c r="K67" t="s">
        <v>17</v>
      </c>
    </row>
    <row r="68" spans="1:11" x14ac:dyDescent="0.45">
      <c r="A68">
        <v>3271</v>
      </c>
      <c r="B68" s="15">
        <v>44926</v>
      </c>
      <c r="C68" t="str">
        <f>TEXT(Table1[[#This Row],[Order Date]], "yyyy")</f>
        <v>2022</v>
      </c>
      <c r="D68" t="str">
        <f>TEXT(Table1[[#This Row],[Order Date]], "mmmm")</f>
        <v>December</v>
      </c>
      <c r="E68" s="16">
        <f>Table1[[#This Row],[Order Quantity]]*Table1[[#This Row],[Unit Price]]</f>
        <v>11924.1</v>
      </c>
      <c r="F68">
        <v>45</v>
      </c>
      <c r="G68" s="16">
        <v>264.98</v>
      </c>
      <c r="H68" t="s">
        <v>16</v>
      </c>
      <c r="I68" t="s">
        <v>176</v>
      </c>
      <c r="J68" t="s">
        <v>20</v>
      </c>
      <c r="K68" t="s">
        <v>17</v>
      </c>
    </row>
    <row r="69" spans="1:11" x14ac:dyDescent="0.45">
      <c r="A69">
        <v>3328</v>
      </c>
      <c r="B69" s="15">
        <v>45248</v>
      </c>
      <c r="C69" t="str">
        <f>TEXT(Table1[[#This Row],[Order Date]], "yyyy")</f>
        <v>2023</v>
      </c>
      <c r="D69" t="str">
        <f>TEXT(Table1[[#This Row],[Order Date]], "mmmm")</f>
        <v>November</v>
      </c>
      <c r="E69" s="16">
        <f>Table1[[#This Row],[Order Quantity]]*Table1[[#This Row],[Unit Price]]</f>
        <v>1752.6000000000001</v>
      </c>
      <c r="F69">
        <v>12</v>
      </c>
      <c r="G69" s="16">
        <v>146.05000000000001</v>
      </c>
      <c r="H69" t="s">
        <v>16</v>
      </c>
      <c r="I69" t="s">
        <v>222</v>
      </c>
      <c r="J69" t="s">
        <v>13</v>
      </c>
      <c r="K69" t="s">
        <v>15</v>
      </c>
    </row>
    <row r="70" spans="1:11" x14ac:dyDescent="0.45">
      <c r="A70">
        <v>3456</v>
      </c>
      <c r="B70" s="15">
        <v>44347</v>
      </c>
      <c r="C70" t="str">
        <f>TEXT(Table1[[#This Row],[Order Date]], "yyyy")</f>
        <v>2021</v>
      </c>
      <c r="D70" t="str">
        <f>TEXT(Table1[[#This Row],[Order Date]], "mmmm")</f>
        <v>May</v>
      </c>
      <c r="E70" s="16">
        <f>Table1[[#This Row],[Order Quantity]]*Table1[[#This Row],[Unit Price]]</f>
        <v>5619.6</v>
      </c>
      <c r="F70">
        <v>20</v>
      </c>
      <c r="G70" s="16">
        <v>280.98</v>
      </c>
      <c r="H70" t="s">
        <v>16</v>
      </c>
      <c r="I70" t="s">
        <v>286</v>
      </c>
      <c r="J70" t="s">
        <v>10</v>
      </c>
      <c r="K70" t="s">
        <v>15</v>
      </c>
    </row>
    <row r="71" spans="1:11" x14ac:dyDescent="0.45">
      <c r="A71">
        <v>3488</v>
      </c>
      <c r="B71" s="15">
        <v>44568</v>
      </c>
      <c r="C71" t="str">
        <f>TEXT(Table1[[#This Row],[Order Date]], "yyyy")</f>
        <v>2022</v>
      </c>
      <c r="D71" t="str">
        <f>TEXT(Table1[[#This Row],[Order Date]], "mmmm")</f>
        <v>January</v>
      </c>
      <c r="E71" s="16">
        <f>Table1[[#This Row],[Order Quantity]]*Table1[[#This Row],[Unit Price]]</f>
        <v>4796.6099999999997</v>
      </c>
      <c r="F71">
        <v>39</v>
      </c>
      <c r="G71" s="16">
        <v>122.99</v>
      </c>
      <c r="H71" t="s">
        <v>16</v>
      </c>
      <c r="I71" t="s">
        <v>292</v>
      </c>
      <c r="J71" t="s">
        <v>20</v>
      </c>
      <c r="K71" t="s">
        <v>15</v>
      </c>
    </row>
    <row r="72" spans="1:11" x14ac:dyDescent="0.45">
      <c r="A72">
        <v>3492</v>
      </c>
      <c r="B72" s="15">
        <v>44158</v>
      </c>
      <c r="C72" t="str">
        <f>TEXT(Table1[[#This Row],[Order Date]], "yyyy")</f>
        <v>2020</v>
      </c>
      <c r="D72" t="str">
        <f>TEXT(Table1[[#This Row],[Order Date]], "mmmm")</f>
        <v>November</v>
      </c>
      <c r="E72" s="16">
        <f>Table1[[#This Row],[Order Quantity]]*Table1[[#This Row],[Unit Price]]</f>
        <v>6418.0199999999995</v>
      </c>
      <c r="F72">
        <v>49</v>
      </c>
      <c r="G72" s="16">
        <v>130.97999999999999</v>
      </c>
      <c r="H72" t="s">
        <v>16</v>
      </c>
      <c r="I72" t="s">
        <v>293</v>
      </c>
      <c r="J72" t="s">
        <v>13</v>
      </c>
      <c r="K72" t="s">
        <v>15</v>
      </c>
    </row>
    <row r="73" spans="1:11" x14ac:dyDescent="0.45">
      <c r="A73">
        <v>3588</v>
      </c>
      <c r="B73" s="15">
        <v>44638</v>
      </c>
      <c r="C73" t="str">
        <f>TEXT(Table1[[#This Row],[Order Date]], "yyyy")</f>
        <v>2022</v>
      </c>
      <c r="D73" t="str">
        <f>TEXT(Table1[[#This Row],[Order Date]], "mmmm")</f>
        <v>March</v>
      </c>
      <c r="E73" s="16">
        <f>Table1[[#This Row],[Order Quantity]]*Table1[[#This Row],[Unit Price]]</f>
        <v>1637.46</v>
      </c>
      <c r="F73">
        <v>18</v>
      </c>
      <c r="G73" s="16">
        <v>90.97</v>
      </c>
      <c r="H73" t="s">
        <v>16</v>
      </c>
      <c r="I73" t="s">
        <v>294</v>
      </c>
      <c r="J73" t="s">
        <v>20</v>
      </c>
      <c r="K73" t="s">
        <v>17</v>
      </c>
    </row>
    <row r="74" spans="1:11" x14ac:dyDescent="0.45">
      <c r="A74">
        <v>3591</v>
      </c>
      <c r="B74" s="15">
        <v>44537</v>
      </c>
      <c r="C74" t="str">
        <f>TEXT(Table1[[#This Row],[Order Date]], "yyyy")</f>
        <v>2021</v>
      </c>
      <c r="D74" t="str">
        <f>TEXT(Table1[[#This Row],[Order Date]], "mmmm")</f>
        <v>December</v>
      </c>
      <c r="E74" s="16">
        <f>Table1[[#This Row],[Order Quantity]]*Table1[[#This Row],[Unit Price]]</f>
        <v>302.94</v>
      </c>
      <c r="F74">
        <v>3</v>
      </c>
      <c r="G74" s="16">
        <v>100.98</v>
      </c>
      <c r="H74" t="s">
        <v>16</v>
      </c>
      <c r="I74" t="s">
        <v>303</v>
      </c>
      <c r="J74" t="s">
        <v>10</v>
      </c>
      <c r="K74" t="s">
        <v>11</v>
      </c>
    </row>
    <row r="75" spans="1:11" x14ac:dyDescent="0.45">
      <c r="A75">
        <v>3591</v>
      </c>
      <c r="B75" s="15">
        <v>44537</v>
      </c>
      <c r="C75" t="str">
        <f>TEXT(Table1[[#This Row],[Order Date]], "yyyy")</f>
        <v>2021</v>
      </c>
      <c r="D75" t="str">
        <f>TEXT(Table1[[#This Row],[Order Date]], "mmmm")</f>
        <v>December</v>
      </c>
      <c r="E75" s="16">
        <f>Table1[[#This Row],[Order Quantity]]*Table1[[#This Row],[Unit Price]]</f>
        <v>1079.8799999999999</v>
      </c>
      <c r="F75">
        <v>12</v>
      </c>
      <c r="G75" s="16">
        <v>89.99</v>
      </c>
      <c r="H75" t="s">
        <v>16</v>
      </c>
      <c r="I75" t="s">
        <v>303</v>
      </c>
      <c r="J75" t="s">
        <v>10</v>
      </c>
      <c r="K75" t="s">
        <v>15</v>
      </c>
    </row>
    <row r="76" spans="1:11" x14ac:dyDescent="0.45">
      <c r="A76">
        <v>3650</v>
      </c>
      <c r="B76" s="15">
        <v>45073</v>
      </c>
      <c r="C76" t="str">
        <f>TEXT(Table1[[#This Row],[Order Date]], "yyyy")</f>
        <v>2023</v>
      </c>
      <c r="D76" t="str">
        <f>TEXT(Table1[[#This Row],[Order Date]], "mmmm")</f>
        <v>May</v>
      </c>
      <c r="E76" s="16">
        <f>Table1[[#This Row],[Order Quantity]]*Table1[[#This Row],[Unit Price]]</f>
        <v>5198.3999999999996</v>
      </c>
      <c r="F76">
        <v>24</v>
      </c>
      <c r="G76" s="16">
        <v>216.6</v>
      </c>
      <c r="H76" t="s">
        <v>16</v>
      </c>
      <c r="I76" t="s">
        <v>305</v>
      </c>
      <c r="J76" t="s">
        <v>20</v>
      </c>
      <c r="K76" t="s">
        <v>15</v>
      </c>
    </row>
    <row r="77" spans="1:11" x14ac:dyDescent="0.45">
      <c r="A77">
        <v>3654</v>
      </c>
      <c r="B77" s="15">
        <v>45079</v>
      </c>
      <c r="C77" t="str">
        <f>TEXT(Table1[[#This Row],[Order Date]], "yyyy")</f>
        <v>2023</v>
      </c>
      <c r="D77" t="str">
        <f>TEXT(Table1[[#This Row],[Order Date]], "mmmm")</f>
        <v>June</v>
      </c>
      <c r="E77" s="16">
        <f>Table1[[#This Row],[Order Quantity]]*Table1[[#This Row],[Unit Price]]</f>
        <v>13151.07</v>
      </c>
      <c r="F77">
        <v>47</v>
      </c>
      <c r="G77" s="16">
        <v>279.81</v>
      </c>
      <c r="H77" t="s">
        <v>16</v>
      </c>
      <c r="I77" t="s">
        <v>133</v>
      </c>
      <c r="J77" t="s">
        <v>13</v>
      </c>
      <c r="K77" t="s">
        <v>11</v>
      </c>
    </row>
    <row r="78" spans="1:11" x14ac:dyDescent="0.45">
      <c r="A78">
        <v>3905</v>
      </c>
      <c r="B78" s="15">
        <v>44550</v>
      </c>
      <c r="C78" t="str">
        <f>TEXT(Table1[[#This Row],[Order Date]], "yyyy")</f>
        <v>2021</v>
      </c>
      <c r="D78" t="str">
        <f>TEXT(Table1[[#This Row],[Order Date]], "mmmm")</f>
        <v>December</v>
      </c>
      <c r="E78" s="16">
        <f>Table1[[#This Row],[Order Quantity]]*Table1[[#This Row],[Unit Price]]</f>
        <v>2557.38</v>
      </c>
      <c r="F78">
        <v>42</v>
      </c>
      <c r="G78" s="16">
        <v>60.89</v>
      </c>
      <c r="H78" t="s">
        <v>16</v>
      </c>
      <c r="I78" t="s">
        <v>316</v>
      </c>
      <c r="J78" t="s">
        <v>23</v>
      </c>
      <c r="K78" t="s">
        <v>15</v>
      </c>
    </row>
    <row r="79" spans="1:11" x14ac:dyDescent="0.45">
      <c r="A79">
        <v>3970</v>
      </c>
      <c r="B79" s="15">
        <v>45011</v>
      </c>
      <c r="C79" t="str">
        <f>TEXT(Table1[[#This Row],[Order Date]], "yyyy")</f>
        <v>2023</v>
      </c>
      <c r="D79" t="str">
        <f>TEXT(Table1[[#This Row],[Order Date]], "mmmm")</f>
        <v>March</v>
      </c>
      <c r="E79" s="16">
        <f>Table1[[#This Row],[Order Quantity]]*Table1[[#This Row],[Unit Price]]</f>
        <v>272.74</v>
      </c>
      <c r="F79">
        <v>13</v>
      </c>
      <c r="G79" s="16">
        <v>20.98</v>
      </c>
      <c r="H79" t="s">
        <v>16</v>
      </c>
      <c r="I79" t="s">
        <v>319</v>
      </c>
      <c r="J79" t="s">
        <v>20</v>
      </c>
      <c r="K79" t="s">
        <v>11</v>
      </c>
    </row>
    <row r="80" spans="1:11" x14ac:dyDescent="0.45">
      <c r="A80">
        <v>4033</v>
      </c>
      <c r="B80" s="15">
        <v>44348</v>
      </c>
      <c r="C80" t="str">
        <f>TEXT(Table1[[#This Row],[Order Date]], "yyyy")</f>
        <v>2021</v>
      </c>
      <c r="D80" t="str">
        <f>TEXT(Table1[[#This Row],[Order Date]], "mmmm")</f>
        <v>June</v>
      </c>
      <c r="E80" s="16">
        <f>Table1[[#This Row],[Order Quantity]]*Table1[[#This Row],[Unit Price]]</f>
        <v>19037.240000000002</v>
      </c>
      <c r="F80">
        <v>38</v>
      </c>
      <c r="G80" s="16">
        <v>500.98</v>
      </c>
      <c r="H80" t="s">
        <v>16</v>
      </c>
      <c r="I80" t="s">
        <v>251</v>
      </c>
      <c r="J80" t="s">
        <v>23</v>
      </c>
      <c r="K80" t="s">
        <v>15</v>
      </c>
    </row>
    <row r="81" spans="1:11" x14ac:dyDescent="0.45">
      <c r="A81">
        <v>4034</v>
      </c>
      <c r="B81" s="15">
        <v>44513</v>
      </c>
      <c r="C81" t="str">
        <f>TEXT(Table1[[#This Row],[Order Date]], "yyyy")</f>
        <v>2021</v>
      </c>
      <c r="D81" t="str">
        <f>TEXT(Table1[[#This Row],[Order Date]], "mmmm")</f>
        <v>November</v>
      </c>
      <c r="E81" s="16">
        <f>Table1[[#This Row],[Order Quantity]]*Table1[[#This Row],[Unit Price]]</f>
        <v>5401.2599999999993</v>
      </c>
      <c r="F81">
        <v>37</v>
      </c>
      <c r="G81" s="16">
        <v>145.97999999999999</v>
      </c>
      <c r="H81" t="s">
        <v>16</v>
      </c>
      <c r="I81" t="s">
        <v>322</v>
      </c>
      <c r="J81" t="s">
        <v>10</v>
      </c>
      <c r="K81" t="s">
        <v>15</v>
      </c>
    </row>
    <row r="82" spans="1:11" x14ac:dyDescent="0.45">
      <c r="A82">
        <v>4134</v>
      </c>
      <c r="B82" s="15">
        <v>44572</v>
      </c>
      <c r="C82" t="str">
        <f>TEXT(Table1[[#This Row],[Order Date]], "yyyy")</f>
        <v>2022</v>
      </c>
      <c r="D82" t="str">
        <f>TEXT(Table1[[#This Row],[Order Date]], "mmmm")</f>
        <v>January</v>
      </c>
      <c r="E82" s="16">
        <f>Table1[[#This Row],[Order Quantity]]*Table1[[#This Row],[Unit Price]]</f>
        <v>6287.0399999999991</v>
      </c>
      <c r="F82">
        <v>48</v>
      </c>
      <c r="G82" s="16">
        <v>130.97999999999999</v>
      </c>
      <c r="H82" t="s">
        <v>16</v>
      </c>
      <c r="I82" t="s">
        <v>326</v>
      </c>
      <c r="J82" t="s">
        <v>10</v>
      </c>
      <c r="K82" t="s">
        <v>15</v>
      </c>
    </row>
    <row r="83" spans="1:11" x14ac:dyDescent="0.45">
      <c r="A83">
        <v>4261</v>
      </c>
      <c r="B83" s="15">
        <v>45201</v>
      </c>
      <c r="C83" t="str">
        <f>TEXT(Table1[[#This Row],[Order Date]], "yyyy")</f>
        <v>2023</v>
      </c>
      <c r="D83" t="str">
        <f>TEXT(Table1[[#This Row],[Order Date]], "mmmm")</f>
        <v>October</v>
      </c>
      <c r="E83" s="16">
        <f>Table1[[#This Row],[Order Quantity]]*Table1[[#This Row],[Unit Price]]</f>
        <v>1513.8200000000002</v>
      </c>
      <c r="F83">
        <v>22</v>
      </c>
      <c r="G83" s="16">
        <v>68.81</v>
      </c>
      <c r="H83" t="s">
        <v>16</v>
      </c>
      <c r="I83" t="s">
        <v>136</v>
      </c>
      <c r="J83" t="s">
        <v>13</v>
      </c>
      <c r="K83" t="s">
        <v>11</v>
      </c>
    </row>
    <row r="84" spans="1:11" x14ac:dyDescent="0.45">
      <c r="A84">
        <v>4387</v>
      </c>
      <c r="B84" s="15">
        <v>44856</v>
      </c>
      <c r="C84" t="str">
        <f>TEXT(Table1[[#This Row],[Order Date]], "yyyy")</f>
        <v>2022</v>
      </c>
      <c r="D84" t="str">
        <f>TEXT(Table1[[#This Row],[Order Date]], "mmmm")</f>
        <v>October</v>
      </c>
      <c r="E84" s="16">
        <f>Table1[[#This Row],[Order Quantity]]*Table1[[#This Row],[Unit Price]]</f>
        <v>603.91999999999996</v>
      </c>
      <c r="F84">
        <v>4</v>
      </c>
      <c r="G84" s="16">
        <v>150.97999999999999</v>
      </c>
      <c r="H84" t="s">
        <v>16</v>
      </c>
      <c r="I84" t="s">
        <v>279</v>
      </c>
      <c r="J84" t="s">
        <v>13</v>
      </c>
      <c r="K84" t="s">
        <v>15</v>
      </c>
    </row>
    <row r="85" spans="1:11" x14ac:dyDescent="0.45">
      <c r="A85">
        <v>4389</v>
      </c>
      <c r="B85" s="15">
        <v>43955</v>
      </c>
      <c r="C85" t="str">
        <f>TEXT(Table1[[#This Row],[Order Date]], "yyyy")</f>
        <v>2020</v>
      </c>
      <c r="D85" t="str">
        <f>TEXT(Table1[[#This Row],[Order Date]], "mmmm")</f>
        <v>May</v>
      </c>
      <c r="E85" s="16">
        <f>Table1[[#This Row],[Order Quantity]]*Table1[[#This Row],[Unit Price]]</f>
        <v>7888.0199999999995</v>
      </c>
      <c r="F85">
        <v>49</v>
      </c>
      <c r="G85" s="16">
        <v>160.97999999999999</v>
      </c>
      <c r="H85" t="s">
        <v>16</v>
      </c>
      <c r="I85" t="s">
        <v>333</v>
      </c>
      <c r="J85" t="s">
        <v>13</v>
      </c>
      <c r="K85" t="s">
        <v>15</v>
      </c>
    </row>
    <row r="86" spans="1:11" x14ac:dyDescent="0.45">
      <c r="A86">
        <v>4512</v>
      </c>
      <c r="B86" s="15">
        <v>44858</v>
      </c>
      <c r="C86" t="str">
        <f>TEXT(Table1[[#This Row],[Order Date]], "yyyy")</f>
        <v>2022</v>
      </c>
      <c r="D86" t="str">
        <f>TEXT(Table1[[#This Row],[Order Date]], "mmmm")</f>
        <v>October</v>
      </c>
      <c r="E86" s="16">
        <f>Table1[[#This Row],[Order Quantity]]*Table1[[#This Row],[Unit Price]]</f>
        <v>6292.62</v>
      </c>
      <c r="F86">
        <v>43</v>
      </c>
      <c r="G86" s="16">
        <v>146.34</v>
      </c>
      <c r="H86" t="s">
        <v>16</v>
      </c>
      <c r="I86" t="s">
        <v>279</v>
      </c>
      <c r="J86" t="s">
        <v>20</v>
      </c>
      <c r="K86" t="s">
        <v>15</v>
      </c>
    </row>
    <row r="87" spans="1:11" x14ac:dyDescent="0.45">
      <c r="A87">
        <v>4550</v>
      </c>
      <c r="B87" s="15">
        <v>44193</v>
      </c>
      <c r="C87" t="str">
        <f>TEXT(Table1[[#This Row],[Order Date]], "yyyy")</f>
        <v>2020</v>
      </c>
      <c r="D87" t="str">
        <f>TEXT(Table1[[#This Row],[Order Date]], "mmmm")</f>
        <v>December</v>
      </c>
      <c r="E87" s="16">
        <f>Table1[[#This Row],[Order Quantity]]*Table1[[#This Row],[Unit Price]]</f>
        <v>3839.68</v>
      </c>
      <c r="F87">
        <v>32</v>
      </c>
      <c r="G87" s="16">
        <v>119.99</v>
      </c>
      <c r="H87" t="s">
        <v>16</v>
      </c>
      <c r="I87" t="s">
        <v>282</v>
      </c>
      <c r="J87" t="s">
        <v>20</v>
      </c>
      <c r="K87" t="s">
        <v>17</v>
      </c>
    </row>
    <row r="88" spans="1:11" x14ac:dyDescent="0.45">
      <c r="A88">
        <v>4580</v>
      </c>
      <c r="B88" s="15">
        <v>44514</v>
      </c>
      <c r="C88" t="str">
        <f>TEXT(Table1[[#This Row],[Order Date]], "yyyy")</f>
        <v>2021</v>
      </c>
      <c r="D88" t="str">
        <f>TEXT(Table1[[#This Row],[Order Date]], "mmmm")</f>
        <v>November</v>
      </c>
      <c r="E88" s="16">
        <f>Table1[[#This Row],[Order Quantity]]*Table1[[#This Row],[Unit Price]]</f>
        <v>7867.4400000000005</v>
      </c>
      <c r="F88">
        <v>28</v>
      </c>
      <c r="G88" s="16">
        <v>280.98</v>
      </c>
      <c r="H88" t="s">
        <v>16</v>
      </c>
      <c r="I88" t="s">
        <v>340</v>
      </c>
      <c r="J88" t="s">
        <v>23</v>
      </c>
      <c r="K88" t="s">
        <v>15</v>
      </c>
    </row>
    <row r="89" spans="1:11" x14ac:dyDescent="0.45">
      <c r="A89">
        <v>4583</v>
      </c>
      <c r="B89" s="15">
        <v>44098</v>
      </c>
      <c r="C89" t="str">
        <f>TEXT(Table1[[#This Row],[Order Date]], "yyyy")</f>
        <v>2020</v>
      </c>
      <c r="D89" t="str">
        <f>TEXT(Table1[[#This Row],[Order Date]], "mmmm")</f>
        <v>September</v>
      </c>
      <c r="E89" s="16">
        <f>Table1[[#This Row],[Order Quantity]]*Table1[[#This Row],[Unit Price]]</f>
        <v>3123.1200000000003</v>
      </c>
      <c r="F89">
        <v>44</v>
      </c>
      <c r="G89" s="16">
        <v>70.98</v>
      </c>
      <c r="H89" t="s">
        <v>16</v>
      </c>
      <c r="I89" t="s">
        <v>258</v>
      </c>
      <c r="J89" t="s">
        <v>13</v>
      </c>
      <c r="K89" t="s">
        <v>15</v>
      </c>
    </row>
    <row r="90" spans="1:11" x14ac:dyDescent="0.45">
      <c r="A90">
        <v>4611</v>
      </c>
      <c r="B90" s="15">
        <v>44205</v>
      </c>
      <c r="C90" t="str">
        <f>TEXT(Table1[[#This Row],[Order Date]], "yyyy")</f>
        <v>2021</v>
      </c>
      <c r="D90" t="str">
        <f>TEXT(Table1[[#This Row],[Order Date]], "mmmm")</f>
        <v>January</v>
      </c>
      <c r="E90" s="16">
        <f>Table1[[#This Row],[Order Quantity]]*Table1[[#This Row],[Unit Price]]</f>
        <v>16031.36</v>
      </c>
      <c r="F90">
        <v>32</v>
      </c>
      <c r="G90" s="16">
        <v>500.98</v>
      </c>
      <c r="H90" t="s">
        <v>16</v>
      </c>
      <c r="I90" t="s">
        <v>304</v>
      </c>
      <c r="J90" t="s">
        <v>23</v>
      </c>
      <c r="K90" t="s">
        <v>17</v>
      </c>
    </row>
    <row r="91" spans="1:11" x14ac:dyDescent="0.45">
      <c r="A91">
        <v>4674</v>
      </c>
      <c r="B91" s="15">
        <v>43939</v>
      </c>
      <c r="C91" t="str">
        <f>TEXT(Table1[[#This Row],[Order Date]], "yyyy")</f>
        <v>2020</v>
      </c>
      <c r="D91" t="str">
        <f>TEXT(Table1[[#This Row],[Order Date]], "mmmm")</f>
        <v>April</v>
      </c>
      <c r="E91" s="16">
        <f>Table1[[#This Row],[Order Quantity]]*Table1[[#This Row],[Unit Price]]</f>
        <v>3012.54</v>
      </c>
      <c r="F91">
        <v>23</v>
      </c>
      <c r="G91" s="16">
        <v>130.97999999999999</v>
      </c>
      <c r="H91" t="s">
        <v>16</v>
      </c>
      <c r="I91" t="s">
        <v>343</v>
      </c>
      <c r="J91" t="s">
        <v>13</v>
      </c>
      <c r="K91" t="s">
        <v>15</v>
      </c>
    </row>
    <row r="92" spans="1:11" x14ac:dyDescent="0.45">
      <c r="A92">
        <v>4771</v>
      </c>
      <c r="B92" s="15">
        <v>45273</v>
      </c>
      <c r="C92" t="str">
        <f>TEXT(Table1[[#This Row],[Order Date]], "yyyy")</f>
        <v>2023</v>
      </c>
      <c r="D92" t="str">
        <f>TEXT(Table1[[#This Row],[Order Date]], "mmmm")</f>
        <v>December</v>
      </c>
      <c r="E92" s="16">
        <f>Table1[[#This Row],[Order Quantity]]*Table1[[#This Row],[Unit Price]]</f>
        <v>127.04</v>
      </c>
      <c r="F92">
        <v>4</v>
      </c>
      <c r="G92" s="16">
        <v>31.76</v>
      </c>
      <c r="H92" t="s">
        <v>16</v>
      </c>
      <c r="I92" t="s">
        <v>260</v>
      </c>
      <c r="J92" t="s">
        <v>23</v>
      </c>
      <c r="K92" t="s">
        <v>15</v>
      </c>
    </row>
    <row r="93" spans="1:11" x14ac:dyDescent="0.45">
      <c r="A93">
        <v>4773</v>
      </c>
      <c r="B93" s="15">
        <v>44917</v>
      </c>
      <c r="C93" t="str">
        <f>TEXT(Table1[[#This Row],[Order Date]], "yyyy")</f>
        <v>2022</v>
      </c>
      <c r="D93" t="str">
        <f>TEXT(Table1[[#This Row],[Order Date]], "mmmm")</f>
        <v>December</v>
      </c>
      <c r="E93" s="16">
        <f>Table1[[#This Row],[Order Quantity]]*Table1[[#This Row],[Unit Price]]</f>
        <v>8605.92</v>
      </c>
      <c r="F93">
        <v>48</v>
      </c>
      <c r="G93" s="16">
        <v>179.29</v>
      </c>
      <c r="H93" t="s">
        <v>16</v>
      </c>
      <c r="I93" t="s">
        <v>45</v>
      </c>
      <c r="J93" t="s">
        <v>20</v>
      </c>
      <c r="K93" t="s">
        <v>15</v>
      </c>
    </row>
    <row r="94" spans="1:11" x14ac:dyDescent="0.45">
      <c r="A94">
        <v>4870</v>
      </c>
      <c r="B94" s="15">
        <v>44048</v>
      </c>
      <c r="C94" t="str">
        <f>TEXT(Table1[[#This Row],[Order Date]], "yyyy")</f>
        <v>2020</v>
      </c>
      <c r="D94" t="str">
        <f>TEXT(Table1[[#This Row],[Order Date]], "mmmm")</f>
        <v>August</v>
      </c>
      <c r="E94" s="16">
        <f>Table1[[#This Row],[Order Quantity]]*Table1[[#This Row],[Unit Price]]</f>
        <v>17643.120000000003</v>
      </c>
      <c r="F94">
        <v>44</v>
      </c>
      <c r="G94" s="16">
        <v>400.98</v>
      </c>
      <c r="H94" t="s">
        <v>16</v>
      </c>
      <c r="I94" t="s">
        <v>111</v>
      </c>
      <c r="J94" t="s">
        <v>13</v>
      </c>
      <c r="K94" t="s">
        <v>15</v>
      </c>
    </row>
    <row r="95" spans="1:11" x14ac:dyDescent="0.45">
      <c r="A95">
        <v>4871</v>
      </c>
      <c r="B95" s="15">
        <v>44723</v>
      </c>
      <c r="C95" t="str">
        <f>TEXT(Table1[[#This Row],[Order Date]], "yyyy")</f>
        <v>2022</v>
      </c>
      <c r="D95" t="str">
        <f>TEXT(Table1[[#This Row],[Order Date]], "mmmm")</f>
        <v>June</v>
      </c>
      <c r="E95" s="16">
        <f>Table1[[#This Row],[Order Quantity]]*Table1[[#This Row],[Unit Price]]</f>
        <v>719.92</v>
      </c>
      <c r="F95">
        <v>8</v>
      </c>
      <c r="G95" s="16">
        <v>89.99</v>
      </c>
      <c r="H95" t="s">
        <v>16</v>
      </c>
      <c r="I95" t="s">
        <v>349</v>
      </c>
      <c r="J95" t="s">
        <v>23</v>
      </c>
      <c r="K95" t="s">
        <v>15</v>
      </c>
    </row>
    <row r="96" spans="1:11" x14ac:dyDescent="0.45">
      <c r="A96">
        <v>4960</v>
      </c>
      <c r="B96" s="15">
        <v>44617</v>
      </c>
      <c r="C96" t="str">
        <f>TEXT(Table1[[#This Row],[Order Date]], "yyyy")</f>
        <v>2022</v>
      </c>
      <c r="D96" t="str">
        <f>TEXT(Table1[[#This Row],[Order Date]], "mmmm")</f>
        <v>February</v>
      </c>
      <c r="E96" s="16">
        <f>Table1[[#This Row],[Order Quantity]]*Table1[[#This Row],[Unit Price]]</f>
        <v>9029.4000000000015</v>
      </c>
      <c r="F96">
        <v>30</v>
      </c>
      <c r="G96" s="16">
        <v>300.98</v>
      </c>
      <c r="H96" t="s">
        <v>16</v>
      </c>
      <c r="I96" t="s">
        <v>353</v>
      </c>
      <c r="J96" t="s">
        <v>13</v>
      </c>
      <c r="K96" t="s">
        <v>15</v>
      </c>
    </row>
    <row r="97" spans="1:11" x14ac:dyDescent="0.45">
      <c r="A97">
        <v>5092</v>
      </c>
      <c r="B97" s="15">
        <v>44863</v>
      </c>
      <c r="C97" t="str">
        <f>TEXT(Table1[[#This Row],[Order Date]], "yyyy")</f>
        <v>2022</v>
      </c>
      <c r="D97" t="str">
        <f>TEXT(Table1[[#This Row],[Order Date]], "mmmm")</f>
        <v>October</v>
      </c>
      <c r="E97" s="16">
        <f>Table1[[#This Row],[Order Quantity]]*Table1[[#This Row],[Unit Price]]</f>
        <v>662.93999999999994</v>
      </c>
      <c r="F97">
        <v>3</v>
      </c>
      <c r="G97" s="16">
        <v>220.98</v>
      </c>
      <c r="H97" t="s">
        <v>16</v>
      </c>
      <c r="I97" t="s">
        <v>357</v>
      </c>
      <c r="J97" t="s">
        <v>23</v>
      </c>
      <c r="K97" t="s">
        <v>15</v>
      </c>
    </row>
    <row r="98" spans="1:11" x14ac:dyDescent="0.45">
      <c r="A98">
        <v>5222</v>
      </c>
      <c r="B98" s="15">
        <v>43977</v>
      </c>
      <c r="C98" t="str">
        <f>TEXT(Table1[[#This Row],[Order Date]], "yyyy")</f>
        <v>2020</v>
      </c>
      <c r="D98" t="str">
        <f>TEXT(Table1[[#This Row],[Order Date]], "mmmm")</f>
        <v>May</v>
      </c>
      <c r="E98" s="16">
        <f>Table1[[#This Row],[Order Quantity]]*Table1[[#This Row],[Unit Price]]</f>
        <v>13978</v>
      </c>
      <c r="F98">
        <v>40</v>
      </c>
      <c r="G98" s="16">
        <v>349.45</v>
      </c>
      <c r="H98" t="s">
        <v>16</v>
      </c>
      <c r="I98" t="s">
        <v>362</v>
      </c>
      <c r="J98" t="s">
        <v>23</v>
      </c>
      <c r="K98" t="s">
        <v>15</v>
      </c>
    </row>
    <row r="99" spans="1:11" x14ac:dyDescent="0.45">
      <c r="A99">
        <v>5281</v>
      </c>
      <c r="B99" s="15">
        <v>44866</v>
      </c>
      <c r="C99" t="str">
        <f>TEXT(Table1[[#This Row],[Order Date]], "yyyy")</f>
        <v>2022</v>
      </c>
      <c r="D99" t="str">
        <f>TEXT(Table1[[#This Row],[Order Date]], "mmmm")</f>
        <v>November</v>
      </c>
      <c r="E99" s="16">
        <f>Table1[[#This Row],[Order Quantity]]*Table1[[#This Row],[Unit Price]]</f>
        <v>4355.28</v>
      </c>
      <c r="F99">
        <v>36</v>
      </c>
      <c r="G99" s="16">
        <v>120.98</v>
      </c>
      <c r="H99" t="s">
        <v>16</v>
      </c>
      <c r="I99" t="s">
        <v>364</v>
      </c>
      <c r="J99" t="s">
        <v>23</v>
      </c>
      <c r="K99" t="s">
        <v>15</v>
      </c>
    </row>
    <row r="100" spans="1:11" x14ac:dyDescent="0.45">
      <c r="A100">
        <v>5317</v>
      </c>
      <c r="B100" s="15">
        <v>44082</v>
      </c>
      <c r="C100" t="str">
        <f>TEXT(Table1[[#This Row],[Order Date]], "yyyy")</f>
        <v>2020</v>
      </c>
      <c r="D100" t="str">
        <f>TEXT(Table1[[#This Row],[Order Date]], "mmmm")</f>
        <v>September</v>
      </c>
      <c r="E100" s="16">
        <f>Table1[[#This Row],[Order Quantity]]*Table1[[#This Row],[Unit Price]]</f>
        <v>1409.8</v>
      </c>
      <c r="F100">
        <v>10</v>
      </c>
      <c r="G100" s="16">
        <v>140.97999999999999</v>
      </c>
      <c r="H100" t="s">
        <v>16</v>
      </c>
      <c r="I100" t="s">
        <v>240</v>
      </c>
      <c r="J100" t="s">
        <v>10</v>
      </c>
      <c r="K100" t="s">
        <v>15</v>
      </c>
    </row>
    <row r="101" spans="1:11" x14ac:dyDescent="0.45">
      <c r="A101">
        <v>5346</v>
      </c>
      <c r="B101" s="15">
        <v>44555</v>
      </c>
      <c r="C101" t="str">
        <f>TEXT(Table1[[#This Row],[Order Date]], "yyyy")</f>
        <v>2021</v>
      </c>
      <c r="D101" t="str">
        <f>TEXT(Table1[[#This Row],[Order Date]], "mmmm")</f>
        <v>December</v>
      </c>
      <c r="E101" s="16">
        <f>Table1[[#This Row],[Order Quantity]]*Table1[[#This Row],[Unit Price]]</f>
        <v>9843.75</v>
      </c>
      <c r="F101">
        <v>45</v>
      </c>
      <c r="G101" s="16">
        <v>218.75</v>
      </c>
      <c r="H101" t="s">
        <v>16</v>
      </c>
      <c r="I101" t="s">
        <v>365</v>
      </c>
      <c r="J101" t="s">
        <v>20</v>
      </c>
      <c r="K101" t="s">
        <v>15</v>
      </c>
    </row>
    <row r="102" spans="1:11" x14ac:dyDescent="0.45">
      <c r="A102">
        <v>5346</v>
      </c>
      <c r="B102" s="15">
        <v>44555</v>
      </c>
      <c r="C102" t="str">
        <f>TEXT(Table1[[#This Row],[Order Date]], "yyyy")</f>
        <v>2021</v>
      </c>
      <c r="D102" t="str">
        <f>TEXT(Table1[[#This Row],[Order Date]], "mmmm")</f>
        <v>December</v>
      </c>
      <c r="E102" s="16">
        <f>Table1[[#This Row],[Order Quantity]]*Table1[[#This Row],[Unit Price]]</f>
        <v>2396.66</v>
      </c>
      <c r="F102">
        <v>17</v>
      </c>
      <c r="G102" s="16">
        <v>140.97999999999999</v>
      </c>
      <c r="H102" t="s">
        <v>16</v>
      </c>
      <c r="I102" t="s">
        <v>365</v>
      </c>
      <c r="J102" t="s">
        <v>20</v>
      </c>
      <c r="K102" t="s">
        <v>15</v>
      </c>
    </row>
    <row r="103" spans="1:11" x14ac:dyDescent="0.45">
      <c r="A103">
        <v>5538</v>
      </c>
      <c r="B103" s="15">
        <v>44554</v>
      </c>
      <c r="C103" t="str">
        <f>TEXT(Table1[[#This Row],[Order Date]], "yyyy")</f>
        <v>2021</v>
      </c>
      <c r="D103" t="str">
        <f>TEXT(Table1[[#This Row],[Order Date]], "mmmm")</f>
        <v>December</v>
      </c>
      <c r="E103" s="16">
        <f>Table1[[#This Row],[Order Quantity]]*Table1[[#This Row],[Unit Price]]</f>
        <v>1898.65</v>
      </c>
      <c r="F103">
        <v>13</v>
      </c>
      <c r="G103" s="16">
        <v>146.05000000000001</v>
      </c>
      <c r="H103" t="s">
        <v>16</v>
      </c>
      <c r="I103" t="s">
        <v>291</v>
      </c>
      <c r="J103" t="s">
        <v>23</v>
      </c>
      <c r="K103" t="s">
        <v>15</v>
      </c>
    </row>
    <row r="104" spans="1:11" x14ac:dyDescent="0.45">
      <c r="A104">
        <v>5735</v>
      </c>
      <c r="B104" s="15">
        <v>44175</v>
      </c>
      <c r="C104" t="str">
        <f>TEXT(Table1[[#This Row],[Order Date]], "yyyy")</f>
        <v>2020</v>
      </c>
      <c r="D104" t="str">
        <f>TEXT(Table1[[#This Row],[Order Date]], "mmmm")</f>
        <v>December</v>
      </c>
      <c r="E104" s="16">
        <f>Table1[[#This Row],[Order Quantity]]*Table1[[#This Row],[Unit Price]]</f>
        <v>2809.8</v>
      </c>
      <c r="F104">
        <v>10</v>
      </c>
      <c r="G104" s="16">
        <v>280.98</v>
      </c>
      <c r="H104" t="s">
        <v>16</v>
      </c>
      <c r="I104" t="s">
        <v>68</v>
      </c>
      <c r="J104" t="s">
        <v>20</v>
      </c>
      <c r="K104" t="s">
        <v>15</v>
      </c>
    </row>
    <row r="105" spans="1:11" x14ac:dyDescent="0.45">
      <c r="A105">
        <v>5760</v>
      </c>
      <c r="B105" s="15">
        <v>43975</v>
      </c>
      <c r="C105" t="str">
        <f>TEXT(Table1[[#This Row],[Order Date]], "yyyy")</f>
        <v>2020</v>
      </c>
      <c r="D105" t="str">
        <f>TEXT(Table1[[#This Row],[Order Date]], "mmmm")</f>
        <v>May</v>
      </c>
      <c r="E105" s="16">
        <f>Table1[[#This Row],[Order Quantity]]*Table1[[#This Row],[Unit Price]]</f>
        <v>5133.32</v>
      </c>
      <c r="F105">
        <v>34</v>
      </c>
      <c r="G105" s="16">
        <v>150.97999999999999</v>
      </c>
      <c r="H105" t="s">
        <v>16</v>
      </c>
      <c r="I105" t="s">
        <v>389</v>
      </c>
      <c r="J105" t="s">
        <v>20</v>
      </c>
      <c r="K105" t="s">
        <v>15</v>
      </c>
    </row>
    <row r="106" spans="1:11" x14ac:dyDescent="0.45">
      <c r="A106">
        <v>5799</v>
      </c>
      <c r="B106" s="15">
        <v>44775</v>
      </c>
      <c r="C106" t="str">
        <f>TEXT(Table1[[#This Row],[Order Date]], "yyyy")</f>
        <v>2022</v>
      </c>
      <c r="D106" t="str">
        <f>TEXT(Table1[[#This Row],[Order Date]], "mmmm")</f>
        <v>August</v>
      </c>
      <c r="E106" s="16">
        <f>Table1[[#This Row],[Order Quantity]]*Table1[[#This Row],[Unit Price]]</f>
        <v>10017.08</v>
      </c>
      <c r="F106">
        <v>34</v>
      </c>
      <c r="G106" s="16">
        <v>294.62</v>
      </c>
      <c r="H106" t="s">
        <v>16</v>
      </c>
      <c r="I106" t="s">
        <v>205</v>
      </c>
      <c r="J106" t="s">
        <v>10</v>
      </c>
      <c r="K106" t="s">
        <v>11</v>
      </c>
    </row>
    <row r="107" spans="1:11" x14ac:dyDescent="0.45">
      <c r="A107">
        <v>5828</v>
      </c>
      <c r="B107" s="15">
        <v>43895</v>
      </c>
      <c r="C107" t="str">
        <f>TEXT(Table1[[#This Row],[Order Date]], "yyyy")</f>
        <v>2020</v>
      </c>
      <c r="D107" t="str">
        <f>TEXT(Table1[[#This Row],[Order Date]], "mmmm")</f>
        <v>March</v>
      </c>
      <c r="E107" s="16">
        <f>Table1[[#This Row],[Order Quantity]]*Table1[[#This Row],[Unit Price]]</f>
        <v>6219.78</v>
      </c>
      <c r="F107">
        <v>21</v>
      </c>
      <c r="G107" s="16">
        <v>296.18</v>
      </c>
      <c r="H107" t="s">
        <v>16</v>
      </c>
      <c r="I107" t="s">
        <v>319</v>
      </c>
      <c r="J107" t="s">
        <v>20</v>
      </c>
      <c r="K107" t="s">
        <v>15</v>
      </c>
    </row>
    <row r="108" spans="1:11" x14ac:dyDescent="0.45">
      <c r="A108">
        <v>5856</v>
      </c>
      <c r="B108" s="15">
        <v>44140</v>
      </c>
      <c r="C108" t="str">
        <f>TEXT(Table1[[#This Row],[Order Date]], "yyyy")</f>
        <v>2020</v>
      </c>
      <c r="D108" t="str">
        <f>TEXT(Table1[[#This Row],[Order Date]], "mmmm")</f>
        <v>November</v>
      </c>
      <c r="E108" s="16">
        <f>Table1[[#This Row],[Order Quantity]]*Table1[[#This Row],[Unit Price]]</f>
        <v>9701.16</v>
      </c>
      <c r="F108">
        <v>42</v>
      </c>
      <c r="G108" s="16">
        <v>230.98</v>
      </c>
      <c r="H108" t="s">
        <v>16</v>
      </c>
      <c r="I108" t="s">
        <v>240</v>
      </c>
      <c r="J108" t="s">
        <v>10</v>
      </c>
      <c r="K108" t="s">
        <v>15</v>
      </c>
    </row>
    <row r="109" spans="1:11" x14ac:dyDescent="0.45">
      <c r="A109">
        <v>5954</v>
      </c>
      <c r="B109" s="15">
        <v>45262</v>
      </c>
      <c r="C109" t="str">
        <f>TEXT(Table1[[#This Row],[Order Date]], "yyyy")</f>
        <v>2023</v>
      </c>
      <c r="D109" t="str">
        <f>TEXT(Table1[[#This Row],[Order Date]], "mmmm")</f>
        <v>December</v>
      </c>
      <c r="E109" s="16">
        <f>Table1[[#This Row],[Order Quantity]]*Table1[[#This Row],[Unit Price]]</f>
        <v>19103.36</v>
      </c>
      <c r="F109">
        <v>32</v>
      </c>
      <c r="G109" s="16">
        <v>596.98</v>
      </c>
      <c r="H109" t="s">
        <v>16</v>
      </c>
      <c r="I109" t="s">
        <v>298</v>
      </c>
      <c r="J109" t="s">
        <v>13</v>
      </c>
      <c r="K109" t="s">
        <v>17</v>
      </c>
    </row>
    <row r="110" spans="1:11" x14ac:dyDescent="0.45">
      <c r="A110">
        <v>5957</v>
      </c>
      <c r="B110" s="15">
        <v>44556</v>
      </c>
      <c r="C110" t="str">
        <f>TEXT(Table1[[#This Row],[Order Date]], "yyyy")</f>
        <v>2021</v>
      </c>
      <c r="D110" t="str">
        <f>TEXT(Table1[[#This Row],[Order Date]], "mmmm")</f>
        <v>December</v>
      </c>
      <c r="E110" s="16">
        <f>Table1[[#This Row],[Order Quantity]]*Table1[[#This Row],[Unit Price]]</f>
        <v>452.93999999999994</v>
      </c>
      <c r="F110">
        <v>3</v>
      </c>
      <c r="G110" s="16">
        <v>150.97999999999999</v>
      </c>
      <c r="H110" t="s">
        <v>16</v>
      </c>
      <c r="I110" t="s">
        <v>130</v>
      </c>
      <c r="J110" t="s">
        <v>10</v>
      </c>
      <c r="K110" t="s">
        <v>15</v>
      </c>
    </row>
    <row r="111" spans="1:11" x14ac:dyDescent="0.45">
      <c r="A111">
        <v>5958</v>
      </c>
      <c r="B111" s="15">
        <v>44819</v>
      </c>
      <c r="C111" t="str">
        <f>TEXT(Table1[[#This Row],[Order Date]], "yyyy")</f>
        <v>2022</v>
      </c>
      <c r="D111" t="str">
        <f>TEXT(Table1[[#This Row],[Order Date]], "mmmm")</f>
        <v>September</v>
      </c>
      <c r="E111" s="16">
        <f>Table1[[#This Row],[Order Quantity]]*Table1[[#This Row],[Unit Price]]</f>
        <v>3345.51</v>
      </c>
      <c r="F111">
        <v>21</v>
      </c>
      <c r="G111" s="16">
        <v>159.31</v>
      </c>
      <c r="H111" t="s">
        <v>16</v>
      </c>
      <c r="I111" t="s">
        <v>351</v>
      </c>
      <c r="J111" t="s">
        <v>10</v>
      </c>
      <c r="K111" t="s">
        <v>15</v>
      </c>
    </row>
    <row r="112" spans="1:11" x14ac:dyDescent="0.45">
      <c r="A112">
        <v>5986</v>
      </c>
      <c r="B112" s="15">
        <v>45037</v>
      </c>
      <c r="C112" t="str">
        <f>TEXT(Table1[[#This Row],[Order Date]], "yyyy")</f>
        <v>2023</v>
      </c>
      <c r="D112" t="str">
        <f>TEXT(Table1[[#This Row],[Order Date]], "mmmm")</f>
        <v>April</v>
      </c>
      <c r="E112" s="16">
        <f>Table1[[#This Row],[Order Quantity]]*Table1[[#This Row],[Unit Price]]</f>
        <v>1019.5999999999999</v>
      </c>
      <c r="F112">
        <v>20</v>
      </c>
      <c r="G112" s="16">
        <v>50.98</v>
      </c>
      <c r="H112" t="s">
        <v>16</v>
      </c>
      <c r="I112" t="s">
        <v>399</v>
      </c>
      <c r="J112" t="s">
        <v>10</v>
      </c>
      <c r="K112" t="s">
        <v>15</v>
      </c>
    </row>
    <row r="113" spans="1:11" x14ac:dyDescent="0.45">
      <c r="A113">
        <v>6050</v>
      </c>
      <c r="B113" s="15">
        <v>44283</v>
      </c>
      <c r="C113" t="str">
        <f>TEXT(Table1[[#This Row],[Order Date]], "yyyy")</f>
        <v>2021</v>
      </c>
      <c r="D113" t="str">
        <f>TEXT(Table1[[#This Row],[Order Date]], "mmmm")</f>
        <v>March</v>
      </c>
      <c r="E113" s="16">
        <f>Table1[[#This Row],[Order Quantity]]*Table1[[#This Row],[Unit Price]]</f>
        <v>242.91</v>
      </c>
      <c r="F113">
        <v>3</v>
      </c>
      <c r="G113" s="16">
        <v>80.97</v>
      </c>
      <c r="H113" t="s">
        <v>16</v>
      </c>
      <c r="I113" t="s">
        <v>405</v>
      </c>
      <c r="J113" t="s">
        <v>10</v>
      </c>
      <c r="K113" t="s">
        <v>17</v>
      </c>
    </row>
    <row r="114" spans="1:11" x14ac:dyDescent="0.45">
      <c r="A114">
        <v>6112</v>
      </c>
      <c r="B114" s="15">
        <v>44066</v>
      </c>
      <c r="C114" t="str">
        <f>TEXT(Table1[[#This Row],[Order Date]], "yyyy")</f>
        <v>2020</v>
      </c>
      <c r="D114" t="str">
        <f>TEXT(Table1[[#This Row],[Order Date]], "mmmm")</f>
        <v>August</v>
      </c>
      <c r="E114" s="16">
        <f>Table1[[#This Row],[Order Quantity]]*Table1[[#This Row],[Unit Price]]</f>
        <v>1460.5</v>
      </c>
      <c r="F114">
        <v>10</v>
      </c>
      <c r="G114" s="16">
        <v>146.05000000000001</v>
      </c>
      <c r="H114" t="s">
        <v>16</v>
      </c>
      <c r="I114" t="s">
        <v>404</v>
      </c>
      <c r="J114" t="s">
        <v>13</v>
      </c>
      <c r="K114" t="s">
        <v>15</v>
      </c>
    </row>
    <row r="115" spans="1:11" x14ac:dyDescent="0.45">
      <c r="A115">
        <v>6144</v>
      </c>
      <c r="B115" s="15">
        <v>44003</v>
      </c>
      <c r="C115" t="str">
        <f>TEXT(Table1[[#This Row],[Order Date]], "yyyy")</f>
        <v>2020</v>
      </c>
      <c r="D115" t="str">
        <f>TEXT(Table1[[#This Row],[Order Date]], "mmmm")</f>
        <v>June</v>
      </c>
      <c r="E115" s="16">
        <f>Table1[[#This Row],[Order Quantity]]*Table1[[#This Row],[Unit Price]]</f>
        <v>1392.84</v>
      </c>
      <c r="F115">
        <v>4</v>
      </c>
      <c r="G115" s="16">
        <v>348.21</v>
      </c>
      <c r="H115" t="s">
        <v>16</v>
      </c>
      <c r="I115" t="s">
        <v>348</v>
      </c>
      <c r="J115" t="s">
        <v>13</v>
      </c>
      <c r="K115" t="s">
        <v>15</v>
      </c>
    </row>
    <row r="116" spans="1:11" x14ac:dyDescent="0.45">
      <c r="A116">
        <v>6272</v>
      </c>
      <c r="B116" s="15">
        <v>44254</v>
      </c>
      <c r="C116" t="str">
        <f>TEXT(Table1[[#This Row],[Order Date]], "yyyy")</f>
        <v>2021</v>
      </c>
      <c r="D116" t="str">
        <f>TEXT(Table1[[#This Row],[Order Date]], "mmmm")</f>
        <v>February</v>
      </c>
      <c r="E116" s="16">
        <f>Table1[[#This Row],[Order Quantity]]*Table1[[#This Row],[Unit Price]]</f>
        <v>5975.5199999999995</v>
      </c>
      <c r="F116">
        <v>48</v>
      </c>
      <c r="G116" s="16">
        <v>124.49</v>
      </c>
      <c r="H116" t="s">
        <v>16</v>
      </c>
      <c r="I116" t="s">
        <v>377</v>
      </c>
      <c r="J116" t="s">
        <v>13</v>
      </c>
      <c r="K116" t="s">
        <v>15</v>
      </c>
    </row>
    <row r="117" spans="1:11" x14ac:dyDescent="0.45">
      <c r="A117">
        <v>6337</v>
      </c>
      <c r="B117" s="15">
        <v>44804</v>
      </c>
      <c r="C117" t="str">
        <f>TEXT(Table1[[#This Row],[Order Date]], "yyyy")</f>
        <v>2022</v>
      </c>
      <c r="D117" t="str">
        <f>TEXT(Table1[[#This Row],[Order Date]], "mmmm")</f>
        <v>August</v>
      </c>
      <c r="E117" s="16">
        <f>Table1[[#This Row],[Order Quantity]]*Table1[[#This Row],[Unit Price]]</f>
        <v>376.13</v>
      </c>
      <c r="F117">
        <v>1</v>
      </c>
      <c r="G117" s="16">
        <v>376.13</v>
      </c>
      <c r="H117" t="s">
        <v>16</v>
      </c>
      <c r="I117" t="s">
        <v>143</v>
      </c>
      <c r="J117" t="s">
        <v>13</v>
      </c>
      <c r="K117" t="s">
        <v>15</v>
      </c>
    </row>
    <row r="118" spans="1:11" x14ac:dyDescent="0.45">
      <c r="A118">
        <v>6368</v>
      </c>
      <c r="B118" s="15">
        <v>43883</v>
      </c>
      <c r="C118" t="str">
        <f>TEXT(Table1[[#This Row],[Order Date]], "yyyy")</f>
        <v>2020</v>
      </c>
      <c r="D118" t="str">
        <f>TEXT(Table1[[#This Row],[Order Date]], "mmmm")</f>
        <v>February</v>
      </c>
      <c r="E118" s="16">
        <f>Table1[[#This Row],[Order Quantity]]*Table1[[#This Row],[Unit Price]]</f>
        <v>17685.599999999999</v>
      </c>
      <c r="F118">
        <v>40</v>
      </c>
      <c r="G118" s="16">
        <v>442.14</v>
      </c>
      <c r="H118" t="s">
        <v>16</v>
      </c>
      <c r="I118" t="s">
        <v>110</v>
      </c>
      <c r="J118" t="s">
        <v>13</v>
      </c>
      <c r="K118" t="s">
        <v>17</v>
      </c>
    </row>
    <row r="119" spans="1:11" x14ac:dyDescent="0.45">
      <c r="A119">
        <v>6369</v>
      </c>
      <c r="B119" s="15">
        <v>44184</v>
      </c>
      <c r="C119" t="str">
        <f>TEXT(Table1[[#This Row],[Order Date]], "yyyy")</f>
        <v>2020</v>
      </c>
      <c r="D119" t="str">
        <f>TEXT(Table1[[#This Row],[Order Date]], "mmmm")</f>
        <v>December</v>
      </c>
      <c r="E119" s="16">
        <f>Table1[[#This Row],[Order Quantity]]*Table1[[#This Row],[Unit Price]]</f>
        <v>16529.400000000001</v>
      </c>
      <c r="F119">
        <v>30</v>
      </c>
      <c r="G119" s="16">
        <v>550.98</v>
      </c>
      <c r="H119" t="s">
        <v>16</v>
      </c>
      <c r="I119" t="s">
        <v>302</v>
      </c>
      <c r="J119" t="s">
        <v>13</v>
      </c>
      <c r="K119" t="s">
        <v>15</v>
      </c>
    </row>
    <row r="120" spans="1:11" x14ac:dyDescent="0.45">
      <c r="A120">
        <v>6560</v>
      </c>
      <c r="B120" s="15">
        <v>44565</v>
      </c>
      <c r="C120" t="str">
        <f>TEXT(Table1[[#This Row],[Order Date]], "yyyy")</f>
        <v>2022</v>
      </c>
      <c r="D120" t="str">
        <f>TEXT(Table1[[#This Row],[Order Date]], "mmmm")</f>
        <v>January</v>
      </c>
      <c r="E120" s="16">
        <f>Table1[[#This Row],[Order Quantity]]*Table1[[#This Row],[Unit Price]]</f>
        <v>10396.26</v>
      </c>
      <c r="F120">
        <v>37</v>
      </c>
      <c r="G120" s="16">
        <v>280.98</v>
      </c>
      <c r="H120" t="s">
        <v>16</v>
      </c>
      <c r="I120" t="s">
        <v>423</v>
      </c>
      <c r="J120" t="s">
        <v>13</v>
      </c>
      <c r="K120" t="s">
        <v>15</v>
      </c>
    </row>
    <row r="121" spans="1:11" x14ac:dyDescent="0.45">
      <c r="A121">
        <v>6562</v>
      </c>
      <c r="B121" s="15">
        <v>44185</v>
      </c>
      <c r="C121" t="str">
        <f>TEXT(Table1[[#This Row],[Order Date]], "yyyy")</f>
        <v>2020</v>
      </c>
      <c r="D121" t="str">
        <f>TEXT(Table1[[#This Row],[Order Date]], "mmmm")</f>
        <v>December</v>
      </c>
      <c r="E121" s="16">
        <f>Table1[[#This Row],[Order Quantity]]*Table1[[#This Row],[Unit Price]]</f>
        <v>16321.68</v>
      </c>
      <c r="F121">
        <v>12</v>
      </c>
      <c r="G121" s="16">
        <v>1360.14</v>
      </c>
      <c r="H121" t="s">
        <v>16</v>
      </c>
      <c r="I121" t="s">
        <v>370</v>
      </c>
      <c r="J121" t="s">
        <v>23</v>
      </c>
      <c r="K121" t="s">
        <v>17</v>
      </c>
    </row>
    <row r="122" spans="1:11" x14ac:dyDescent="0.45">
      <c r="A122">
        <v>6596</v>
      </c>
      <c r="B122" s="15">
        <v>44763</v>
      </c>
      <c r="C122" t="str">
        <f>TEXT(Table1[[#This Row],[Order Date]], "yyyy")</f>
        <v>2022</v>
      </c>
      <c r="D122" t="str">
        <f>TEXT(Table1[[#This Row],[Order Date]], "mmmm")</f>
        <v>July</v>
      </c>
      <c r="E122" s="16">
        <f>Table1[[#This Row],[Order Quantity]]*Table1[[#This Row],[Unit Price]]</f>
        <v>18035.28</v>
      </c>
      <c r="F122">
        <v>36</v>
      </c>
      <c r="G122" s="16">
        <v>500.98</v>
      </c>
      <c r="H122" t="s">
        <v>16</v>
      </c>
      <c r="I122" t="s">
        <v>425</v>
      </c>
      <c r="J122" t="s">
        <v>13</v>
      </c>
      <c r="K122" t="s">
        <v>17</v>
      </c>
    </row>
    <row r="123" spans="1:11" x14ac:dyDescent="0.45">
      <c r="A123">
        <v>6625</v>
      </c>
      <c r="B123" s="15">
        <v>44423</v>
      </c>
      <c r="C123" t="str">
        <f>TEXT(Table1[[#This Row],[Order Date]], "yyyy")</f>
        <v>2021</v>
      </c>
      <c r="D123" t="str">
        <f>TEXT(Table1[[#This Row],[Order Date]], "mmmm")</f>
        <v>August</v>
      </c>
      <c r="E123" s="16">
        <f>Table1[[#This Row],[Order Quantity]]*Table1[[#This Row],[Unit Price]]</f>
        <v>20262.54</v>
      </c>
      <c r="F123">
        <v>23</v>
      </c>
      <c r="G123" s="16">
        <v>880.98</v>
      </c>
      <c r="H123" t="s">
        <v>16</v>
      </c>
      <c r="I123" t="s">
        <v>293</v>
      </c>
      <c r="J123" t="s">
        <v>13</v>
      </c>
      <c r="K123" t="s">
        <v>15</v>
      </c>
    </row>
    <row r="124" spans="1:11" x14ac:dyDescent="0.45">
      <c r="A124">
        <v>6661</v>
      </c>
      <c r="B124" s="15">
        <v>44302</v>
      </c>
      <c r="C124" t="str">
        <f>TEXT(Table1[[#This Row],[Order Date]], "yyyy")</f>
        <v>2021</v>
      </c>
      <c r="D124" t="str">
        <f>TEXT(Table1[[#This Row],[Order Date]], "mmmm")</f>
        <v>April</v>
      </c>
      <c r="E124" s="16">
        <f>Table1[[#This Row],[Order Quantity]]*Table1[[#This Row],[Unit Price]]</f>
        <v>21149.53</v>
      </c>
      <c r="F124">
        <v>47</v>
      </c>
      <c r="G124" s="16">
        <v>449.99</v>
      </c>
      <c r="H124" t="s">
        <v>16</v>
      </c>
      <c r="I124" t="s">
        <v>342</v>
      </c>
      <c r="J124" t="s">
        <v>10</v>
      </c>
      <c r="K124" t="s">
        <v>17</v>
      </c>
    </row>
    <row r="125" spans="1:11" x14ac:dyDescent="0.45">
      <c r="A125">
        <v>6720</v>
      </c>
      <c r="B125" s="15">
        <v>44448</v>
      </c>
      <c r="C125" t="str">
        <f>TEXT(Table1[[#This Row],[Order Date]], "yyyy")</f>
        <v>2021</v>
      </c>
      <c r="D125" t="str">
        <f>TEXT(Table1[[#This Row],[Order Date]], "mmmm")</f>
        <v>September</v>
      </c>
      <c r="E125" s="16">
        <f>Table1[[#This Row],[Order Quantity]]*Table1[[#This Row],[Unit Price]]</f>
        <v>4355.28</v>
      </c>
      <c r="F125">
        <v>36</v>
      </c>
      <c r="G125" s="16">
        <v>120.98</v>
      </c>
      <c r="H125" t="s">
        <v>16</v>
      </c>
      <c r="I125" t="s">
        <v>294</v>
      </c>
      <c r="J125" t="s">
        <v>20</v>
      </c>
      <c r="K125" t="s">
        <v>15</v>
      </c>
    </row>
    <row r="126" spans="1:11" x14ac:dyDescent="0.45">
      <c r="A126">
        <v>6757</v>
      </c>
      <c r="B126" s="15">
        <v>44958</v>
      </c>
      <c r="C126" t="str">
        <f>TEXT(Table1[[#This Row],[Order Date]], "yyyy")</f>
        <v>2023</v>
      </c>
      <c r="D126" t="str">
        <f>TEXT(Table1[[#This Row],[Order Date]], "mmmm")</f>
        <v>February</v>
      </c>
      <c r="E126" s="16">
        <f>Table1[[#This Row],[Order Quantity]]*Table1[[#This Row],[Unit Price]]</f>
        <v>3155.3500000000004</v>
      </c>
      <c r="F126">
        <v>11</v>
      </c>
      <c r="G126" s="16">
        <v>286.85000000000002</v>
      </c>
      <c r="H126" t="s">
        <v>16</v>
      </c>
      <c r="I126" t="s">
        <v>430</v>
      </c>
      <c r="J126" t="s">
        <v>10</v>
      </c>
      <c r="K126" t="s">
        <v>15</v>
      </c>
    </row>
    <row r="127" spans="1:11" x14ac:dyDescent="0.45">
      <c r="A127">
        <v>6850</v>
      </c>
      <c r="B127" s="15">
        <v>44238</v>
      </c>
      <c r="C127" t="str">
        <f>TEXT(Table1[[#This Row],[Order Date]], "yyyy")</f>
        <v>2021</v>
      </c>
      <c r="D127" t="str">
        <f>TEXT(Table1[[#This Row],[Order Date]], "mmmm")</f>
        <v>February</v>
      </c>
      <c r="E127" s="16">
        <f>Table1[[#This Row],[Order Quantity]]*Table1[[#This Row],[Unit Price]]</f>
        <v>3607.5</v>
      </c>
      <c r="F127">
        <v>26</v>
      </c>
      <c r="G127" s="16">
        <v>138.75</v>
      </c>
      <c r="H127" t="s">
        <v>16</v>
      </c>
      <c r="I127" t="s">
        <v>433</v>
      </c>
      <c r="J127" t="s">
        <v>13</v>
      </c>
      <c r="K127" t="s">
        <v>15</v>
      </c>
    </row>
    <row r="128" spans="1:11" x14ac:dyDescent="0.45">
      <c r="A128">
        <v>6885</v>
      </c>
      <c r="B128" s="15">
        <v>45096</v>
      </c>
      <c r="C128" t="str">
        <f>TEXT(Table1[[#This Row],[Order Date]], "yyyy")</f>
        <v>2023</v>
      </c>
      <c r="D128" t="str">
        <f>TEXT(Table1[[#This Row],[Order Date]], "mmmm")</f>
        <v>June</v>
      </c>
      <c r="E128" s="16">
        <f>Table1[[#This Row],[Order Quantity]]*Table1[[#This Row],[Unit Price]]</f>
        <v>455.92</v>
      </c>
      <c r="F128">
        <v>4</v>
      </c>
      <c r="G128" s="16">
        <v>113.98</v>
      </c>
      <c r="H128" t="s">
        <v>16</v>
      </c>
      <c r="I128" t="s">
        <v>436</v>
      </c>
      <c r="J128" t="s">
        <v>13</v>
      </c>
      <c r="K128" t="s">
        <v>15</v>
      </c>
    </row>
    <row r="129" spans="1:11" x14ac:dyDescent="0.45">
      <c r="A129">
        <v>6982</v>
      </c>
      <c r="B129" s="15">
        <v>44881</v>
      </c>
      <c r="C129" t="str">
        <f>TEXT(Table1[[#This Row],[Order Date]], "yyyy")</f>
        <v>2022</v>
      </c>
      <c r="D129" t="str">
        <f>TEXT(Table1[[#This Row],[Order Date]], "mmmm")</f>
        <v>November</v>
      </c>
      <c r="E129" s="16">
        <f>Table1[[#This Row],[Order Quantity]]*Table1[[#This Row],[Unit Price]]</f>
        <v>504.90000000000003</v>
      </c>
      <c r="F129">
        <v>5</v>
      </c>
      <c r="G129" s="16">
        <v>100.98</v>
      </c>
      <c r="H129" t="s">
        <v>16</v>
      </c>
      <c r="I129" t="s">
        <v>317</v>
      </c>
      <c r="J129" t="s">
        <v>13</v>
      </c>
      <c r="K129" t="s">
        <v>15</v>
      </c>
    </row>
    <row r="130" spans="1:11" x14ac:dyDescent="0.45">
      <c r="A130">
        <v>7042</v>
      </c>
      <c r="B130" s="15">
        <v>44934</v>
      </c>
      <c r="C130" t="str">
        <f>TEXT(Table1[[#This Row],[Order Date]], "yyyy")</f>
        <v>2023</v>
      </c>
      <c r="D130" t="str">
        <f>TEXT(Table1[[#This Row],[Order Date]], "mmmm")</f>
        <v>January</v>
      </c>
      <c r="E130" s="16">
        <f>Table1[[#This Row],[Order Quantity]]*Table1[[#This Row],[Unit Price]]</f>
        <v>1504.52</v>
      </c>
      <c r="F130">
        <v>4</v>
      </c>
      <c r="G130" s="16">
        <v>376.13</v>
      </c>
      <c r="H130" t="s">
        <v>16</v>
      </c>
      <c r="I130" t="s">
        <v>443</v>
      </c>
      <c r="J130" t="s">
        <v>20</v>
      </c>
      <c r="K130" t="s">
        <v>15</v>
      </c>
    </row>
    <row r="131" spans="1:11" x14ac:dyDescent="0.45">
      <c r="A131">
        <v>7078</v>
      </c>
      <c r="B131" s="15">
        <v>44297</v>
      </c>
      <c r="C131" t="str">
        <f>TEXT(Table1[[#This Row],[Order Date]], "yyyy")</f>
        <v>2021</v>
      </c>
      <c r="D131" t="str">
        <f>TEXT(Table1[[#This Row],[Order Date]], "mmmm")</f>
        <v>April</v>
      </c>
      <c r="E131" s="16">
        <f>Table1[[#This Row],[Order Quantity]]*Table1[[#This Row],[Unit Price]]</f>
        <v>1967.84</v>
      </c>
      <c r="F131">
        <v>16</v>
      </c>
      <c r="G131" s="16">
        <v>122.99</v>
      </c>
      <c r="H131" t="s">
        <v>16</v>
      </c>
      <c r="I131" t="s">
        <v>57</v>
      </c>
      <c r="J131" t="s">
        <v>13</v>
      </c>
      <c r="K131" t="s">
        <v>15</v>
      </c>
    </row>
    <row r="132" spans="1:11" x14ac:dyDescent="0.45">
      <c r="A132">
        <v>7079</v>
      </c>
      <c r="B132" s="15">
        <v>44235</v>
      </c>
      <c r="C132" t="str">
        <f>TEXT(Table1[[#This Row],[Order Date]], "yyyy")</f>
        <v>2021</v>
      </c>
      <c r="D132" t="str">
        <f>TEXT(Table1[[#This Row],[Order Date]], "mmmm")</f>
        <v>February</v>
      </c>
      <c r="E132" s="16">
        <f>Table1[[#This Row],[Order Quantity]]*Table1[[#This Row],[Unit Price]]</f>
        <v>12363.12</v>
      </c>
      <c r="F132">
        <v>44</v>
      </c>
      <c r="G132" s="16">
        <v>280.98</v>
      </c>
      <c r="H132" t="s">
        <v>16</v>
      </c>
      <c r="I132" t="s">
        <v>230</v>
      </c>
      <c r="J132" t="s">
        <v>10</v>
      </c>
      <c r="K132" t="s">
        <v>15</v>
      </c>
    </row>
    <row r="133" spans="1:11" x14ac:dyDescent="0.45">
      <c r="A133">
        <v>7175</v>
      </c>
      <c r="B133" s="15">
        <v>44234</v>
      </c>
      <c r="C133" t="str">
        <f>TEXT(Table1[[#This Row],[Order Date]], "yyyy")</f>
        <v>2021</v>
      </c>
      <c r="D133" t="str">
        <f>TEXT(Table1[[#This Row],[Order Date]], "mmmm")</f>
        <v>February</v>
      </c>
      <c r="E133" s="16">
        <f>Table1[[#This Row],[Order Quantity]]*Table1[[#This Row],[Unit Price]]</f>
        <v>709.80000000000007</v>
      </c>
      <c r="F133">
        <v>10</v>
      </c>
      <c r="G133" s="16">
        <v>70.98</v>
      </c>
      <c r="H133" t="s">
        <v>16</v>
      </c>
      <c r="I133" t="s">
        <v>263</v>
      </c>
      <c r="J133" t="s">
        <v>13</v>
      </c>
      <c r="K133" t="s">
        <v>15</v>
      </c>
    </row>
    <row r="134" spans="1:11" x14ac:dyDescent="0.45">
      <c r="A134">
        <v>69</v>
      </c>
      <c r="B134" s="15">
        <v>43985</v>
      </c>
      <c r="C134" t="str">
        <f>TEXT(Table1[[#This Row],[Order Date]], "yyyy")</f>
        <v>2020</v>
      </c>
      <c r="D134" t="str">
        <f>TEXT(Table1[[#This Row],[Order Date]], "mmmm")</f>
        <v>June</v>
      </c>
      <c r="E134" s="16">
        <f>Table1[[#This Row],[Order Quantity]]*Table1[[#This Row],[Unit Price]]</f>
        <v>47.04</v>
      </c>
      <c r="F134">
        <v>28</v>
      </c>
      <c r="G134" s="16">
        <v>1.68</v>
      </c>
      <c r="H134" t="s">
        <v>25</v>
      </c>
      <c r="I134" t="s">
        <v>24</v>
      </c>
      <c r="J134" t="s">
        <v>13</v>
      </c>
      <c r="K134" t="s">
        <v>11</v>
      </c>
    </row>
    <row r="135" spans="1:11" x14ac:dyDescent="0.45">
      <c r="A135">
        <v>130</v>
      </c>
      <c r="B135" s="15">
        <v>45053</v>
      </c>
      <c r="C135" t="str">
        <f>TEXT(Table1[[#This Row],[Order Date]], "yyyy")</f>
        <v>2023</v>
      </c>
      <c r="D135" t="str">
        <f>TEXT(Table1[[#This Row],[Order Date]], "mmmm")</f>
        <v>May</v>
      </c>
      <c r="E135" s="16">
        <f>Table1[[#This Row],[Order Quantity]]*Table1[[#This Row],[Unit Price]]</f>
        <v>452.93999999999994</v>
      </c>
      <c r="F135">
        <v>3</v>
      </c>
      <c r="G135" s="16">
        <v>150.97999999999999</v>
      </c>
      <c r="H135" t="s">
        <v>25</v>
      </c>
      <c r="I135" t="s">
        <v>30</v>
      </c>
      <c r="J135" t="s">
        <v>13</v>
      </c>
      <c r="K135" t="s">
        <v>17</v>
      </c>
    </row>
    <row r="136" spans="1:11" x14ac:dyDescent="0.45">
      <c r="A136">
        <v>166</v>
      </c>
      <c r="B136" s="15">
        <v>44815</v>
      </c>
      <c r="C136" t="str">
        <f>TEXT(Table1[[#This Row],[Order Date]], "yyyy")</f>
        <v>2022</v>
      </c>
      <c r="D136" t="str">
        <f>TEXT(Table1[[#This Row],[Order Date]], "mmmm")</f>
        <v>September</v>
      </c>
      <c r="E136" s="16">
        <f>Table1[[#This Row],[Order Quantity]]*Table1[[#This Row],[Unit Price]]</f>
        <v>659.9</v>
      </c>
      <c r="F136">
        <v>10</v>
      </c>
      <c r="G136" s="16">
        <v>65.989999999999995</v>
      </c>
      <c r="H136" t="s">
        <v>25</v>
      </c>
      <c r="I136" t="s">
        <v>34</v>
      </c>
      <c r="J136" t="s">
        <v>23</v>
      </c>
      <c r="K136" t="s">
        <v>17</v>
      </c>
    </row>
    <row r="137" spans="1:11" x14ac:dyDescent="0.45">
      <c r="A137">
        <v>416</v>
      </c>
      <c r="B137" s="15">
        <v>44465</v>
      </c>
      <c r="C137" t="str">
        <f>TEXT(Table1[[#This Row],[Order Date]], "yyyy")</f>
        <v>2021</v>
      </c>
      <c r="D137" t="str">
        <f>TEXT(Table1[[#This Row],[Order Date]], "mmmm")</f>
        <v>September</v>
      </c>
      <c r="E137" s="16">
        <f>Table1[[#This Row],[Order Quantity]]*Table1[[#This Row],[Unit Price]]</f>
        <v>1319.8</v>
      </c>
      <c r="F137">
        <v>20</v>
      </c>
      <c r="G137" s="16">
        <v>65.989999999999995</v>
      </c>
      <c r="H137" t="s">
        <v>25</v>
      </c>
      <c r="I137" t="s">
        <v>62</v>
      </c>
      <c r="J137" t="s">
        <v>23</v>
      </c>
      <c r="K137" t="s">
        <v>17</v>
      </c>
    </row>
    <row r="138" spans="1:11" x14ac:dyDescent="0.45">
      <c r="A138">
        <v>450</v>
      </c>
      <c r="B138" s="15">
        <v>44624</v>
      </c>
      <c r="C138" t="str">
        <f>TEXT(Table1[[#This Row],[Order Date]], "yyyy")</f>
        <v>2022</v>
      </c>
      <c r="D138" t="str">
        <f>TEXT(Table1[[#This Row],[Order Date]], "mmmm")</f>
        <v>March</v>
      </c>
      <c r="E138" s="16">
        <f>Table1[[#This Row],[Order Quantity]]*Table1[[#This Row],[Unit Price]]</f>
        <v>1002.8199999999999</v>
      </c>
      <c r="F138">
        <v>29</v>
      </c>
      <c r="G138" s="16">
        <v>34.58</v>
      </c>
      <c r="H138" t="s">
        <v>25</v>
      </c>
      <c r="I138" t="s">
        <v>66</v>
      </c>
      <c r="J138" t="s">
        <v>23</v>
      </c>
      <c r="K138" t="s">
        <v>11</v>
      </c>
    </row>
    <row r="139" spans="1:11" x14ac:dyDescent="0.45">
      <c r="A139">
        <v>512</v>
      </c>
      <c r="B139" s="15">
        <v>44700</v>
      </c>
      <c r="C139" t="str">
        <f>TEXT(Table1[[#This Row],[Order Date]], "yyyy")</f>
        <v>2022</v>
      </c>
      <c r="D139" t="str">
        <f>TEXT(Table1[[#This Row],[Order Date]], "mmmm")</f>
        <v>May</v>
      </c>
      <c r="E139" s="16">
        <f>Table1[[#This Row],[Order Quantity]]*Table1[[#This Row],[Unit Price]]</f>
        <v>740.16</v>
      </c>
      <c r="F139">
        <v>48</v>
      </c>
      <c r="G139" s="16">
        <v>15.42</v>
      </c>
      <c r="H139" t="s">
        <v>25</v>
      </c>
      <c r="I139" t="s">
        <v>71</v>
      </c>
      <c r="J139" t="s">
        <v>20</v>
      </c>
      <c r="K139" t="s">
        <v>11</v>
      </c>
    </row>
    <row r="140" spans="1:11" x14ac:dyDescent="0.45">
      <c r="A140">
        <v>549</v>
      </c>
      <c r="B140" s="15">
        <v>45119</v>
      </c>
      <c r="C140" t="str">
        <f>TEXT(Table1[[#This Row],[Order Date]], "yyyy")</f>
        <v>2023</v>
      </c>
      <c r="D140" t="str">
        <f>TEXT(Table1[[#This Row],[Order Date]], "mmmm")</f>
        <v>July</v>
      </c>
      <c r="E140" s="16">
        <f>Table1[[#This Row],[Order Quantity]]*Table1[[#This Row],[Unit Price]]</f>
        <v>1168.1999999999998</v>
      </c>
      <c r="F140">
        <v>30</v>
      </c>
      <c r="G140" s="16">
        <v>38.94</v>
      </c>
      <c r="H140" t="s">
        <v>25</v>
      </c>
      <c r="I140" t="s">
        <v>75</v>
      </c>
      <c r="J140" t="s">
        <v>23</v>
      </c>
      <c r="K140" t="s">
        <v>11</v>
      </c>
    </row>
    <row r="141" spans="1:11" x14ac:dyDescent="0.45">
      <c r="A141">
        <v>610</v>
      </c>
      <c r="B141" s="15">
        <v>44774</v>
      </c>
      <c r="C141" t="str">
        <f>TEXT(Table1[[#This Row],[Order Date]], "yyyy")</f>
        <v>2022</v>
      </c>
      <c r="D141" t="str">
        <f>TEXT(Table1[[#This Row],[Order Date]], "mmmm")</f>
        <v>August</v>
      </c>
      <c r="E141" s="16">
        <f>Table1[[#This Row],[Order Quantity]]*Table1[[#This Row],[Unit Price]]</f>
        <v>253.83999999999997</v>
      </c>
      <c r="F141">
        <v>38</v>
      </c>
      <c r="G141" s="16">
        <v>6.68</v>
      </c>
      <c r="H141" t="s">
        <v>25</v>
      </c>
      <c r="I141" t="s">
        <v>76</v>
      </c>
      <c r="J141" t="s">
        <v>20</v>
      </c>
      <c r="K141" t="s">
        <v>11</v>
      </c>
    </row>
    <row r="142" spans="1:11" x14ac:dyDescent="0.45">
      <c r="A142">
        <v>643</v>
      </c>
      <c r="B142" s="15">
        <v>44644</v>
      </c>
      <c r="C142" t="str">
        <f>TEXT(Table1[[#This Row],[Order Date]], "yyyy")</f>
        <v>2022</v>
      </c>
      <c r="D142" t="str">
        <f>TEXT(Table1[[#This Row],[Order Date]], "mmmm")</f>
        <v>March</v>
      </c>
      <c r="E142" s="16">
        <f>Table1[[#This Row],[Order Quantity]]*Table1[[#This Row],[Unit Price]]</f>
        <v>2900.9399999999996</v>
      </c>
      <c r="F142">
        <v>21</v>
      </c>
      <c r="G142" s="16">
        <v>138.13999999999999</v>
      </c>
      <c r="H142" t="s">
        <v>25</v>
      </c>
      <c r="I142" t="s">
        <v>81</v>
      </c>
      <c r="J142" t="s">
        <v>13</v>
      </c>
      <c r="K142" t="s">
        <v>11</v>
      </c>
    </row>
    <row r="143" spans="1:11" x14ac:dyDescent="0.45">
      <c r="A143">
        <v>928</v>
      </c>
      <c r="B143" s="15">
        <v>44621</v>
      </c>
      <c r="C143" t="str">
        <f>TEXT(Table1[[#This Row],[Order Date]], "yyyy")</f>
        <v>2022</v>
      </c>
      <c r="D143" t="str">
        <f>TEXT(Table1[[#This Row],[Order Date]], "mmmm")</f>
        <v>March</v>
      </c>
      <c r="E143" s="16">
        <f>Table1[[#This Row],[Order Quantity]]*Table1[[#This Row],[Unit Price]]</f>
        <v>1259.58</v>
      </c>
      <c r="F143">
        <v>21</v>
      </c>
      <c r="G143" s="16">
        <v>59.98</v>
      </c>
      <c r="H143" t="s">
        <v>25</v>
      </c>
      <c r="I143" t="s">
        <v>110</v>
      </c>
      <c r="J143" t="s">
        <v>23</v>
      </c>
      <c r="K143" t="s">
        <v>11</v>
      </c>
    </row>
    <row r="144" spans="1:11" x14ac:dyDescent="0.45">
      <c r="A144">
        <v>928</v>
      </c>
      <c r="B144" s="15">
        <v>44621</v>
      </c>
      <c r="C144" t="str">
        <f>TEXT(Table1[[#This Row],[Order Date]], "yyyy")</f>
        <v>2022</v>
      </c>
      <c r="D144" t="str">
        <f>TEXT(Table1[[#This Row],[Order Date]], "mmmm")</f>
        <v>March</v>
      </c>
      <c r="E144" s="16">
        <f>Table1[[#This Row],[Order Quantity]]*Table1[[#This Row],[Unit Price]]</f>
        <v>379.08</v>
      </c>
      <c r="F144">
        <v>26</v>
      </c>
      <c r="G144" s="16">
        <v>14.58</v>
      </c>
      <c r="H144" t="s">
        <v>25</v>
      </c>
      <c r="I144" t="s">
        <v>110</v>
      </c>
      <c r="J144" t="s">
        <v>23</v>
      </c>
      <c r="K144" t="s">
        <v>15</v>
      </c>
    </row>
    <row r="145" spans="1:11" x14ac:dyDescent="0.45">
      <c r="A145">
        <v>930</v>
      </c>
      <c r="B145" s="15">
        <v>44181</v>
      </c>
      <c r="C145" t="str">
        <f>TEXT(Table1[[#This Row],[Order Date]], "yyyy")</f>
        <v>2020</v>
      </c>
      <c r="D145" t="str">
        <f>TEXT(Table1[[#This Row],[Order Date]], "mmmm")</f>
        <v>December</v>
      </c>
      <c r="E145" s="16">
        <f>Table1[[#This Row],[Order Quantity]]*Table1[[#This Row],[Unit Price]]</f>
        <v>909.04</v>
      </c>
      <c r="F145">
        <v>22</v>
      </c>
      <c r="G145" s="16">
        <v>41.32</v>
      </c>
      <c r="H145" t="s">
        <v>25</v>
      </c>
      <c r="I145" t="s">
        <v>112</v>
      </c>
      <c r="J145" t="s">
        <v>10</v>
      </c>
      <c r="K145" t="s">
        <v>15</v>
      </c>
    </row>
    <row r="146" spans="1:11" x14ac:dyDescent="0.45">
      <c r="A146">
        <v>1154</v>
      </c>
      <c r="B146" s="15">
        <v>44971</v>
      </c>
      <c r="C146" t="str">
        <f>TEXT(Table1[[#This Row],[Order Date]], "yyyy")</f>
        <v>2023</v>
      </c>
      <c r="D146" t="str">
        <f>TEXT(Table1[[#This Row],[Order Date]], "mmmm")</f>
        <v>February</v>
      </c>
      <c r="E146" s="16">
        <f>Table1[[#This Row],[Order Quantity]]*Table1[[#This Row],[Unit Price]]</f>
        <v>496.78999999999996</v>
      </c>
      <c r="F146">
        <v>7</v>
      </c>
      <c r="G146" s="16">
        <v>70.97</v>
      </c>
      <c r="H146" t="s">
        <v>25</v>
      </c>
      <c r="I146" t="s">
        <v>129</v>
      </c>
      <c r="J146" t="s">
        <v>20</v>
      </c>
      <c r="K146" t="s">
        <v>11</v>
      </c>
    </row>
    <row r="147" spans="1:11" x14ac:dyDescent="0.45">
      <c r="A147">
        <v>1412</v>
      </c>
      <c r="B147" s="15">
        <v>44267</v>
      </c>
      <c r="C147" t="str">
        <f>TEXT(Table1[[#This Row],[Order Date]], "yyyy")</f>
        <v>2021</v>
      </c>
      <c r="D147" t="str">
        <f>TEXT(Table1[[#This Row],[Order Date]], "mmmm")</f>
        <v>March</v>
      </c>
      <c r="E147" s="16">
        <f>Table1[[#This Row],[Order Quantity]]*Table1[[#This Row],[Unit Price]]</f>
        <v>47.97</v>
      </c>
      <c r="F147">
        <v>13</v>
      </c>
      <c r="G147" s="16">
        <v>3.69</v>
      </c>
      <c r="H147" t="s">
        <v>25</v>
      </c>
      <c r="I147" t="s">
        <v>73</v>
      </c>
      <c r="J147" t="s">
        <v>23</v>
      </c>
      <c r="K147" t="s">
        <v>11</v>
      </c>
    </row>
    <row r="148" spans="1:11" x14ac:dyDescent="0.45">
      <c r="A148">
        <v>1444</v>
      </c>
      <c r="B148" s="15">
        <v>44170</v>
      </c>
      <c r="C148" t="str">
        <f>TEXT(Table1[[#This Row],[Order Date]], "yyyy")</f>
        <v>2020</v>
      </c>
      <c r="D148" t="str">
        <f>TEXT(Table1[[#This Row],[Order Date]], "mmmm")</f>
        <v>December</v>
      </c>
      <c r="E148" s="16">
        <f>Table1[[#This Row],[Order Quantity]]*Table1[[#This Row],[Unit Price]]</f>
        <v>22399.68</v>
      </c>
      <c r="F148">
        <v>32</v>
      </c>
      <c r="G148" s="16">
        <v>699.99</v>
      </c>
      <c r="H148" t="s">
        <v>25</v>
      </c>
      <c r="I148" t="s">
        <v>153</v>
      </c>
      <c r="J148" t="s">
        <v>20</v>
      </c>
      <c r="K148" t="s">
        <v>17</v>
      </c>
    </row>
    <row r="149" spans="1:11" x14ac:dyDescent="0.45">
      <c r="A149">
        <v>1637</v>
      </c>
      <c r="B149" s="15">
        <v>44599</v>
      </c>
      <c r="C149" t="str">
        <f>TEXT(Table1[[#This Row],[Order Date]], "yyyy")</f>
        <v>2022</v>
      </c>
      <c r="D149" t="str">
        <f>TEXT(Table1[[#This Row],[Order Date]], "mmmm")</f>
        <v>February</v>
      </c>
      <c r="E149" s="16">
        <f>Table1[[#This Row],[Order Quantity]]*Table1[[#This Row],[Unit Price]]</f>
        <v>1277.28</v>
      </c>
      <c r="F149">
        <v>36</v>
      </c>
      <c r="G149" s="16">
        <v>35.479999999999997</v>
      </c>
      <c r="H149" t="s">
        <v>25</v>
      </c>
      <c r="I149" t="s">
        <v>167</v>
      </c>
      <c r="J149" t="s">
        <v>13</v>
      </c>
      <c r="K149" t="s">
        <v>11</v>
      </c>
    </row>
    <row r="150" spans="1:11" x14ac:dyDescent="0.45">
      <c r="A150">
        <v>1666</v>
      </c>
      <c r="B150" s="15">
        <v>44851</v>
      </c>
      <c r="C150" t="str">
        <f>TEXT(Table1[[#This Row],[Order Date]], "yyyy")</f>
        <v>2022</v>
      </c>
      <c r="D150" t="str">
        <f>TEXT(Table1[[#This Row],[Order Date]], "mmmm")</f>
        <v>October</v>
      </c>
      <c r="E150" s="16">
        <f>Table1[[#This Row],[Order Quantity]]*Table1[[#This Row],[Unit Price]]</f>
        <v>6003.6200000000008</v>
      </c>
      <c r="F150">
        <v>19</v>
      </c>
      <c r="G150" s="16">
        <v>315.98</v>
      </c>
      <c r="H150" t="s">
        <v>25</v>
      </c>
      <c r="I150" t="s">
        <v>170</v>
      </c>
      <c r="J150" t="s">
        <v>13</v>
      </c>
      <c r="K150" t="s">
        <v>11</v>
      </c>
    </row>
    <row r="151" spans="1:11" x14ac:dyDescent="0.45">
      <c r="A151">
        <v>1762</v>
      </c>
      <c r="B151" s="15">
        <v>44062</v>
      </c>
      <c r="C151" t="str">
        <f>TEXT(Table1[[#This Row],[Order Date]], "yyyy")</f>
        <v>2020</v>
      </c>
      <c r="D151" t="str">
        <f>TEXT(Table1[[#This Row],[Order Date]], "mmmm")</f>
        <v>August</v>
      </c>
      <c r="E151" s="16">
        <f>Table1[[#This Row],[Order Quantity]]*Table1[[#This Row],[Unit Price]]</f>
        <v>1547.5700000000002</v>
      </c>
      <c r="F151">
        <v>43</v>
      </c>
      <c r="G151" s="16">
        <v>35.99</v>
      </c>
      <c r="H151" t="s">
        <v>25</v>
      </c>
      <c r="I151" t="s">
        <v>174</v>
      </c>
      <c r="J151" t="s">
        <v>20</v>
      </c>
      <c r="K151" t="s">
        <v>17</v>
      </c>
    </row>
    <row r="152" spans="1:11" x14ac:dyDescent="0.45">
      <c r="A152">
        <v>2048</v>
      </c>
      <c r="B152" s="15">
        <v>44514</v>
      </c>
      <c r="C152" t="str">
        <f>TEXT(Table1[[#This Row],[Order Date]], "yyyy")</f>
        <v>2021</v>
      </c>
      <c r="D152" t="str">
        <f>TEXT(Table1[[#This Row],[Order Date]], "mmmm")</f>
        <v>November</v>
      </c>
      <c r="E152" s="16">
        <f>Table1[[#This Row],[Order Quantity]]*Table1[[#This Row],[Unit Price]]</f>
        <v>548.73</v>
      </c>
      <c r="F152">
        <v>9</v>
      </c>
      <c r="G152" s="16">
        <v>60.97</v>
      </c>
      <c r="H152" t="s">
        <v>25</v>
      </c>
      <c r="I152" t="s">
        <v>177</v>
      </c>
      <c r="J152" t="s">
        <v>13</v>
      </c>
      <c r="K152" t="s">
        <v>11</v>
      </c>
    </row>
    <row r="153" spans="1:11" x14ac:dyDescent="0.45">
      <c r="A153">
        <v>2086</v>
      </c>
      <c r="B153" s="15">
        <v>44122</v>
      </c>
      <c r="C153" t="str">
        <f>TEXT(Table1[[#This Row],[Order Date]], "yyyy")</f>
        <v>2020</v>
      </c>
      <c r="D153" t="str">
        <f>TEXT(Table1[[#This Row],[Order Date]], "mmmm")</f>
        <v>October</v>
      </c>
      <c r="E153" s="16">
        <f>Table1[[#This Row],[Order Quantity]]*Table1[[#This Row],[Unit Price]]</f>
        <v>1343.52</v>
      </c>
      <c r="F153">
        <v>24</v>
      </c>
      <c r="G153" s="16">
        <v>55.98</v>
      </c>
      <c r="H153" t="s">
        <v>25</v>
      </c>
      <c r="I153" t="s">
        <v>189</v>
      </c>
      <c r="J153" t="s">
        <v>13</v>
      </c>
      <c r="K153" t="s">
        <v>11</v>
      </c>
    </row>
    <row r="154" spans="1:11" x14ac:dyDescent="0.45">
      <c r="A154">
        <v>2147</v>
      </c>
      <c r="B154" s="15">
        <v>45174</v>
      </c>
      <c r="C154" t="str">
        <f>TEXT(Table1[[#This Row],[Order Date]], "yyyy")</f>
        <v>2023</v>
      </c>
      <c r="D154" t="str">
        <f>TEXT(Table1[[#This Row],[Order Date]], "mmmm")</f>
        <v>September</v>
      </c>
      <c r="E154" s="16">
        <f>Table1[[#This Row],[Order Quantity]]*Table1[[#This Row],[Unit Price]]</f>
        <v>614.69999999999993</v>
      </c>
      <c r="F154">
        <v>15</v>
      </c>
      <c r="G154" s="16">
        <v>40.98</v>
      </c>
      <c r="H154" t="s">
        <v>25</v>
      </c>
      <c r="I154" t="s">
        <v>122</v>
      </c>
      <c r="J154" t="s">
        <v>20</v>
      </c>
      <c r="K154" t="s">
        <v>11</v>
      </c>
    </row>
    <row r="155" spans="1:11" x14ac:dyDescent="0.45">
      <c r="A155">
        <v>2181</v>
      </c>
      <c r="B155" s="15">
        <v>44816</v>
      </c>
      <c r="C155" t="str">
        <f>TEXT(Table1[[#This Row],[Order Date]], "yyyy")</f>
        <v>2022</v>
      </c>
      <c r="D155" t="str">
        <f>TEXT(Table1[[#This Row],[Order Date]], "mmmm")</f>
        <v>September</v>
      </c>
      <c r="E155" s="16">
        <f>Table1[[#This Row],[Order Quantity]]*Table1[[#This Row],[Unit Price]]</f>
        <v>10.47</v>
      </c>
      <c r="F155">
        <v>3</v>
      </c>
      <c r="G155" s="16">
        <v>3.49</v>
      </c>
      <c r="H155" t="s">
        <v>25</v>
      </c>
      <c r="I155" t="s">
        <v>119</v>
      </c>
      <c r="J155" t="s">
        <v>20</v>
      </c>
      <c r="K155" t="s">
        <v>11</v>
      </c>
    </row>
    <row r="156" spans="1:11" x14ac:dyDescent="0.45">
      <c r="A156">
        <v>2244</v>
      </c>
      <c r="B156" s="15">
        <v>44204</v>
      </c>
      <c r="C156" t="str">
        <f>TEXT(Table1[[#This Row],[Order Date]], "yyyy")</f>
        <v>2021</v>
      </c>
      <c r="D156" t="str">
        <f>TEXT(Table1[[#This Row],[Order Date]], "mmmm")</f>
        <v>January</v>
      </c>
      <c r="E156" s="16">
        <f>Table1[[#This Row],[Order Quantity]]*Table1[[#This Row],[Unit Price]]</f>
        <v>72.2</v>
      </c>
      <c r="F156">
        <v>19</v>
      </c>
      <c r="G156" s="16">
        <v>3.8</v>
      </c>
      <c r="H156" t="s">
        <v>25</v>
      </c>
      <c r="I156" t="s">
        <v>208</v>
      </c>
      <c r="J156" t="s">
        <v>23</v>
      </c>
      <c r="K156" t="s">
        <v>11</v>
      </c>
    </row>
    <row r="157" spans="1:11" x14ac:dyDescent="0.45">
      <c r="A157">
        <v>2374</v>
      </c>
      <c r="B157" s="15">
        <v>44497</v>
      </c>
      <c r="C157" t="str">
        <f>TEXT(Table1[[#This Row],[Order Date]], "yyyy")</f>
        <v>2021</v>
      </c>
      <c r="D157" t="str">
        <f>TEXT(Table1[[#This Row],[Order Date]], "mmmm")</f>
        <v>October</v>
      </c>
      <c r="E157" s="16">
        <f>Table1[[#This Row],[Order Quantity]]*Table1[[#This Row],[Unit Price]]</f>
        <v>59.64</v>
      </c>
      <c r="F157">
        <v>21</v>
      </c>
      <c r="G157" s="16">
        <v>2.84</v>
      </c>
      <c r="H157" t="s">
        <v>25</v>
      </c>
      <c r="I157" t="s">
        <v>221</v>
      </c>
      <c r="J157" t="s">
        <v>23</v>
      </c>
      <c r="K157" t="s">
        <v>11</v>
      </c>
    </row>
    <row r="158" spans="1:11" x14ac:dyDescent="0.45">
      <c r="A158">
        <v>2436</v>
      </c>
      <c r="B158" s="15">
        <v>44814</v>
      </c>
      <c r="C158" t="str">
        <f>TEXT(Table1[[#This Row],[Order Date]], "yyyy")</f>
        <v>2022</v>
      </c>
      <c r="D158" t="str">
        <f>TEXT(Table1[[#This Row],[Order Date]], "mmmm")</f>
        <v>September</v>
      </c>
      <c r="E158" s="16">
        <f>Table1[[#This Row],[Order Quantity]]*Table1[[#This Row],[Unit Price]]</f>
        <v>319.76</v>
      </c>
      <c r="F158">
        <v>14</v>
      </c>
      <c r="G158" s="16">
        <v>22.84</v>
      </c>
      <c r="H158" t="s">
        <v>25</v>
      </c>
      <c r="I158" t="s">
        <v>222</v>
      </c>
      <c r="J158" t="s">
        <v>13</v>
      </c>
      <c r="K158" t="s">
        <v>11</v>
      </c>
    </row>
    <row r="159" spans="1:11" x14ac:dyDescent="0.45">
      <c r="A159">
        <v>2562</v>
      </c>
      <c r="B159" s="15">
        <v>45138</v>
      </c>
      <c r="C159" t="str">
        <f>TEXT(Table1[[#This Row],[Order Date]], "yyyy")</f>
        <v>2023</v>
      </c>
      <c r="D159" t="str">
        <f>TEXT(Table1[[#This Row],[Order Date]], "mmmm")</f>
        <v>July</v>
      </c>
      <c r="E159" s="16">
        <f>Table1[[#This Row],[Order Quantity]]*Table1[[#This Row],[Unit Price]]</f>
        <v>831.46999999999991</v>
      </c>
      <c r="F159">
        <v>17</v>
      </c>
      <c r="G159" s="16">
        <v>48.91</v>
      </c>
      <c r="H159" t="s">
        <v>25</v>
      </c>
      <c r="I159" t="s">
        <v>229</v>
      </c>
      <c r="J159" t="s">
        <v>23</v>
      </c>
      <c r="K159" t="s">
        <v>11</v>
      </c>
    </row>
    <row r="160" spans="1:11" x14ac:dyDescent="0.45">
      <c r="A160">
        <v>2593</v>
      </c>
      <c r="B160" s="15">
        <v>44442</v>
      </c>
      <c r="C160" t="str">
        <f>TEXT(Table1[[#This Row],[Order Date]], "yyyy")</f>
        <v>2021</v>
      </c>
      <c r="D160" t="str">
        <f>TEXT(Table1[[#This Row],[Order Date]], "mmmm")</f>
        <v>September</v>
      </c>
      <c r="E160" s="16">
        <f>Table1[[#This Row],[Order Quantity]]*Table1[[#This Row],[Unit Price]]</f>
        <v>2104.9</v>
      </c>
      <c r="F160">
        <v>5</v>
      </c>
      <c r="G160" s="16">
        <v>420.98</v>
      </c>
      <c r="H160" t="s">
        <v>25</v>
      </c>
      <c r="I160" t="s">
        <v>231</v>
      </c>
      <c r="J160" t="s">
        <v>13</v>
      </c>
      <c r="K160" t="s">
        <v>11</v>
      </c>
    </row>
    <row r="161" spans="1:11" x14ac:dyDescent="0.45">
      <c r="A161">
        <v>2595</v>
      </c>
      <c r="B161" s="15">
        <v>44908</v>
      </c>
      <c r="C161" t="str">
        <f>TEXT(Table1[[#This Row],[Order Date]], "yyyy")</f>
        <v>2022</v>
      </c>
      <c r="D161" t="str">
        <f>TEXT(Table1[[#This Row],[Order Date]], "mmmm")</f>
        <v>December</v>
      </c>
      <c r="E161" s="16">
        <f>Table1[[#This Row],[Order Quantity]]*Table1[[#This Row],[Unit Price]]</f>
        <v>187.92000000000002</v>
      </c>
      <c r="F161">
        <v>29</v>
      </c>
      <c r="G161" s="16">
        <v>6.48</v>
      </c>
      <c r="H161" t="s">
        <v>25</v>
      </c>
      <c r="I161" t="s">
        <v>232</v>
      </c>
      <c r="J161" t="s">
        <v>13</v>
      </c>
      <c r="K161" t="s">
        <v>11</v>
      </c>
    </row>
    <row r="162" spans="1:11" x14ac:dyDescent="0.45">
      <c r="A162">
        <v>2658</v>
      </c>
      <c r="B162" s="15">
        <v>44826</v>
      </c>
      <c r="C162" t="str">
        <f>TEXT(Table1[[#This Row],[Order Date]], "yyyy")</f>
        <v>2022</v>
      </c>
      <c r="D162" t="str">
        <f>TEXT(Table1[[#This Row],[Order Date]], "mmmm")</f>
        <v>September</v>
      </c>
      <c r="E162" s="16">
        <f>Table1[[#This Row],[Order Quantity]]*Table1[[#This Row],[Unit Price]]</f>
        <v>493.44</v>
      </c>
      <c r="F162">
        <v>32</v>
      </c>
      <c r="G162" s="16">
        <v>15.42</v>
      </c>
      <c r="H162" t="s">
        <v>25</v>
      </c>
      <c r="I162" t="s">
        <v>239</v>
      </c>
      <c r="J162" t="s">
        <v>10</v>
      </c>
      <c r="K162" t="s">
        <v>11</v>
      </c>
    </row>
    <row r="163" spans="1:11" x14ac:dyDescent="0.45">
      <c r="A163">
        <v>2720</v>
      </c>
      <c r="B163" s="15">
        <v>44354</v>
      </c>
      <c r="C163" t="str">
        <f>TEXT(Table1[[#This Row],[Order Date]], "yyyy")</f>
        <v>2021</v>
      </c>
      <c r="D163" t="str">
        <f>TEXT(Table1[[#This Row],[Order Date]], "mmmm")</f>
        <v>June</v>
      </c>
      <c r="E163" s="16">
        <f>Table1[[#This Row],[Order Quantity]]*Table1[[#This Row],[Unit Price]]</f>
        <v>2375.64</v>
      </c>
      <c r="F163">
        <v>36</v>
      </c>
      <c r="G163" s="16">
        <v>65.989999999999995</v>
      </c>
      <c r="H163" t="s">
        <v>25</v>
      </c>
      <c r="I163" t="s">
        <v>240</v>
      </c>
      <c r="J163" t="s">
        <v>10</v>
      </c>
      <c r="K163" t="s">
        <v>17</v>
      </c>
    </row>
    <row r="164" spans="1:11" x14ac:dyDescent="0.45">
      <c r="A164">
        <v>2725</v>
      </c>
      <c r="B164" s="15">
        <v>43971</v>
      </c>
      <c r="C164" t="str">
        <f>TEXT(Table1[[#This Row],[Order Date]], "yyyy")</f>
        <v>2020</v>
      </c>
      <c r="D164" t="str">
        <f>TEXT(Table1[[#This Row],[Order Date]], "mmmm")</f>
        <v>May</v>
      </c>
      <c r="E164" s="16">
        <f>Table1[[#This Row],[Order Quantity]]*Table1[[#This Row],[Unit Price]]</f>
        <v>2573.6099999999997</v>
      </c>
      <c r="F164">
        <v>39</v>
      </c>
      <c r="G164" s="16">
        <v>65.989999999999995</v>
      </c>
      <c r="H164" t="s">
        <v>25</v>
      </c>
      <c r="I164" t="s">
        <v>164</v>
      </c>
      <c r="J164" t="s">
        <v>10</v>
      </c>
      <c r="K164" t="s">
        <v>17</v>
      </c>
    </row>
    <row r="165" spans="1:11" x14ac:dyDescent="0.45">
      <c r="A165">
        <v>2754</v>
      </c>
      <c r="B165" s="15">
        <v>43923</v>
      </c>
      <c r="C165" t="str">
        <f>TEXT(Table1[[#This Row],[Order Date]], "yyyy")</f>
        <v>2020</v>
      </c>
      <c r="D165" t="str">
        <f>TEXT(Table1[[#This Row],[Order Date]], "mmmm")</f>
        <v>April</v>
      </c>
      <c r="E165" s="16">
        <f>Table1[[#This Row],[Order Quantity]]*Table1[[#This Row],[Unit Price]]</f>
        <v>526.9</v>
      </c>
      <c r="F165">
        <v>11</v>
      </c>
      <c r="G165" s="16">
        <v>47.9</v>
      </c>
      <c r="H165" t="s">
        <v>25</v>
      </c>
      <c r="I165" t="s">
        <v>242</v>
      </c>
      <c r="J165" t="s">
        <v>20</v>
      </c>
      <c r="K165" t="s">
        <v>11</v>
      </c>
    </row>
    <row r="166" spans="1:11" x14ac:dyDescent="0.45">
      <c r="A166">
        <v>2757</v>
      </c>
      <c r="B166" s="15">
        <v>44761</v>
      </c>
      <c r="C166" t="str">
        <f>TEXT(Table1[[#This Row],[Order Date]], "yyyy")</f>
        <v>2022</v>
      </c>
      <c r="D166" t="str">
        <f>TEXT(Table1[[#This Row],[Order Date]], "mmmm")</f>
        <v>July</v>
      </c>
      <c r="E166" s="16">
        <f>Table1[[#This Row],[Order Quantity]]*Table1[[#This Row],[Unit Price]]</f>
        <v>545.16</v>
      </c>
      <c r="F166">
        <v>42</v>
      </c>
      <c r="G166" s="16">
        <v>12.98</v>
      </c>
      <c r="H166" t="s">
        <v>25</v>
      </c>
      <c r="I166" t="s">
        <v>246</v>
      </c>
      <c r="J166" t="s">
        <v>13</v>
      </c>
      <c r="K166" t="s">
        <v>11</v>
      </c>
    </row>
    <row r="167" spans="1:11" x14ac:dyDescent="0.45">
      <c r="A167">
        <v>2790</v>
      </c>
      <c r="B167" s="15">
        <v>44061</v>
      </c>
      <c r="C167" t="str">
        <f>TEXT(Table1[[#This Row],[Order Date]], "yyyy")</f>
        <v>2020</v>
      </c>
      <c r="D167" t="str">
        <f>TEXT(Table1[[#This Row],[Order Date]], "mmmm")</f>
        <v>August</v>
      </c>
      <c r="E167" s="16">
        <f>Table1[[#This Row],[Order Quantity]]*Table1[[#This Row],[Unit Price]]</f>
        <v>330.15000000000003</v>
      </c>
      <c r="F167">
        <v>15</v>
      </c>
      <c r="G167" s="16">
        <v>22.01</v>
      </c>
      <c r="H167" t="s">
        <v>25</v>
      </c>
      <c r="I167" t="s">
        <v>213</v>
      </c>
      <c r="J167" t="s">
        <v>20</v>
      </c>
      <c r="K167" t="s">
        <v>11</v>
      </c>
    </row>
    <row r="168" spans="1:11" x14ac:dyDescent="0.45">
      <c r="A168">
        <v>2848</v>
      </c>
      <c r="B168" s="15">
        <v>44994</v>
      </c>
      <c r="C168" t="str">
        <f>TEXT(Table1[[#This Row],[Order Date]], "yyyy")</f>
        <v>2023</v>
      </c>
      <c r="D168" t="str">
        <f>TEXT(Table1[[#This Row],[Order Date]], "mmmm")</f>
        <v>March</v>
      </c>
      <c r="E168" s="16">
        <f>Table1[[#This Row],[Order Quantity]]*Table1[[#This Row],[Unit Price]]</f>
        <v>1515.8500000000001</v>
      </c>
      <c r="F168">
        <v>35</v>
      </c>
      <c r="G168" s="16">
        <v>43.31</v>
      </c>
      <c r="H168" t="s">
        <v>25</v>
      </c>
      <c r="I168" t="s">
        <v>139</v>
      </c>
      <c r="J168" t="s">
        <v>20</v>
      </c>
      <c r="K168" t="s">
        <v>15</v>
      </c>
    </row>
    <row r="169" spans="1:11" x14ac:dyDescent="0.45">
      <c r="A169">
        <v>2853</v>
      </c>
      <c r="B169" s="15">
        <v>43955</v>
      </c>
      <c r="C169" t="str">
        <f>TEXT(Table1[[#This Row],[Order Date]], "yyyy")</f>
        <v>2020</v>
      </c>
      <c r="D169" t="str">
        <f>TEXT(Table1[[#This Row],[Order Date]], "mmmm")</f>
        <v>May</v>
      </c>
      <c r="E169" s="16">
        <f>Table1[[#This Row],[Order Quantity]]*Table1[[#This Row],[Unit Price]]</f>
        <v>4461.75</v>
      </c>
      <c r="F169">
        <v>25</v>
      </c>
      <c r="G169" s="16">
        <v>178.47</v>
      </c>
      <c r="H169" t="s">
        <v>25</v>
      </c>
      <c r="I169" t="s">
        <v>251</v>
      </c>
      <c r="J169" t="s">
        <v>23</v>
      </c>
      <c r="K169" t="s">
        <v>11</v>
      </c>
    </row>
    <row r="170" spans="1:11" x14ac:dyDescent="0.45">
      <c r="A170">
        <v>2912</v>
      </c>
      <c r="B170" s="15">
        <v>44996</v>
      </c>
      <c r="C170" t="str">
        <f>TEXT(Table1[[#This Row],[Order Date]], "yyyy")</f>
        <v>2023</v>
      </c>
      <c r="D170" t="str">
        <f>TEXT(Table1[[#This Row],[Order Date]], "mmmm")</f>
        <v>March</v>
      </c>
      <c r="E170" s="16">
        <f>Table1[[#This Row],[Order Quantity]]*Table1[[#This Row],[Unit Price]]</f>
        <v>503.82</v>
      </c>
      <c r="F170">
        <v>9</v>
      </c>
      <c r="G170" s="16">
        <v>55.98</v>
      </c>
      <c r="H170" t="s">
        <v>25</v>
      </c>
      <c r="I170" t="s">
        <v>21</v>
      </c>
      <c r="J170" t="s">
        <v>13</v>
      </c>
      <c r="K170" t="s">
        <v>11</v>
      </c>
    </row>
    <row r="171" spans="1:11" x14ac:dyDescent="0.45">
      <c r="A171">
        <v>3040</v>
      </c>
      <c r="B171" s="15">
        <v>44297</v>
      </c>
      <c r="C171" t="str">
        <f>TEXT(Table1[[#This Row],[Order Date]], "yyyy")</f>
        <v>2021</v>
      </c>
      <c r="D171" t="str">
        <f>TEXT(Table1[[#This Row],[Order Date]], "mmmm")</f>
        <v>April</v>
      </c>
      <c r="E171" s="16">
        <f>Table1[[#This Row],[Order Quantity]]*Table1[[#This Row],[Unit Price]]</f>
        <v>84.240000000000009</v>
      </c>
      <c r="F171">
        <v>13</v>
      </c>
      <c r="G171" s="16">
        <v>6.48</v>
      </c>
      <c r="H171" t="s">
        <v>25</v>
      </c>
      <c r="I171" t="s">
        <v>259</v>
      </c>
      <c r="J171" t="s">
        <v>23</v>
      </c>
      <c r="K171" t="s">
        <v>11</v>
      </c>
    </row>
    <row r="172" spans="1:11" x14ac:dyDescent="0.45">
      <c r="A172">
        <v>3073</v>
      </c>
      <c r="B172" s="15">
        <v>43837</v>
      </c>
      <c r="C172" t="str">
        <f>TEXT(Table1[[#This Row],[Order Date]], "yyyy")</f>
        <v>2020</v>
      </c>
      <c r="D172" t="str">
        <f>TEXT(Table1[[#This Row],[Order Date]], "mmmm")</f>
        <v>January</v>
      </c>
      <c r="E172" s="16">
        <f>Table1[[#This Row],[Order Quantity]]*Table1[[#This Row],[Unit Price]]</f>
        <v>2099.9700000000003</v>
      </c>
      <c r="F172">
        <v>3</v>
      </c>
      <c r="G172" s="16">
        <v>699.99</v>
      </c>
      <c r="H172" t="s">
        <v>25</v>
      </c>
      <c r="I172" t="s">
        <v>261</v>
      </c>
      <c r="J172" t="s">
        <v>20</v>
      </c>
      <c r="K172" t="s">
        <v>17</v>
      </c>
    </row>
    <row r="173" spans="1:11" x14ac:dyDescent="0.45">
      <c r="A173">
        <v>3104</v>
      </c>
      <c r="B173" s="15">
        <v>44454</v>
      </c>
      <c r="C173" t="str">
        <f>TEXT(Table1[[#This Row],[Order Date]], "yyyy")</f>
        <v>2021</v>
      </c>
      <c r="D173" t="str">
        <f>TEXT(Table1[[#This Row],[Order Date]], "mmmm")</f>
        <v>September</v>
      </c>
      <c r="E173" s="16">
        <f>Table1[[#This Row],[Order Quantity]]*Table1[[#This Row],[Unit Price]]</f>
        <v>382.56</v>
      </c>
      <c r="F173">
        <v>24</v>
      </c>
      <c r="G173" s="16">
        <v>15.94</v>
      </c>
      <c r="H173" t="s">
        <v>25</v>
      </c>
      <c r="I173" t="s">
        <v>262</v>
      </c>
      <c r="J173" t="s">
        <v>23</v>
      </c>
      <c r="K173" t="s">
        <v>11</v>
      </c>
    </row>
    <row r="174" spans="1:11" x14ac:dyDescent="0.45">
      <c r="A174">
        <v>3138</v>
      </c>
      <c r="B174" s="15">
        <v>43869</v>
      </c>
      <c r="C174" t="str">
        <f>TEXT(Table1[[#This Row],[Order Date]], "yyyy")</f>
        <v>2020</v>
      </c>
      <c r="D174" t="str">
        <f>TEXT(Table1[[#This Row],[Order Date]], "mmmm")</f>
        <v>February</v>
      </c>
      <c r="E174" s="16">
        <f>Table1[[#This Row],[Order Quantity]]*Table1[[#This Row],[Unit Price]]</f>
        <v>719.96</v>
      </c>
      <c r="F174">
        <v>4</v>
      </c>
      <c r="G174" s="16">
        <v>179.99</v>
      </c>
      <c r="H174" t="s">
        <v>25</v>
      </c>
      <c r="I174" t="s">
        <v>265</v>
      </c>
      <c r="J174" t="s">
        <v>23</v>
      </c>
      <c r="K174" t="s">
        <v>17</v>
      </c>
    </row>
    <row r="175" spans="1:11" x14ac:dyDescent="0.45">
      <c r="A175">
        <v>3205</v>
      </c>
      <c r="B175" s="15">
        <v>45026</v>
      </c>
      <c r="C175" t="str">
        <f>TEXT(Table1[[#This Row],[Order Date]], "yyyy")</f>
        <v>2023</v>
      </c>
      <c r="D175" t="str">
        <f>TEXT(Table1[[#This Row],[Order Date]], "mmmm")</f>
        <v>April</v>
      </c>
      <c r="E175" s="16">
        <f>Table1[[#This Row],[Order Quantity]]*Table1[[#This Row],[Unit Price]]</f>
        <v>2997.54</v>
      </c>
      <c r="F175">
        <v>42</v>
      </c>
      <c r="G175" s="16">
        <v>71.37</v>
      </c>
      <c r="H175" t="s">
        <v>25</v>
      </c>
      <c r="I175" t="s">
        <v>271</v>
      </c>
      <c r="J175" t="s">
        <v>23</v>
      </c>
      <c r="K175" t="s">
        <v>15</v>
      </c>
    </row>
    <row r="176" spans="1:11" x14ac:dyDescent="0.45">
      <c r="A176">
        <v>3235</v>
      </c>
      <c r="B176" s="15">
        <v>44879</v>
      </c>
      <c r="C176" t="str">
        <f>TEXT(Table1[[#This Row],[Order Date]], "yyyy")</f>
        <v>2022</v>
      </c>
      <c r="D176" t="str">
        <f>TEXT(Table1[[#This Row],[Order Date]], "mmmm")</f>
        <v>November</v>
      </c>
      <c r="E176" s="16">
        <f>Table1[[#This Row],[Order Quantity]]*Table1[[#This Row],[Unit Price]]</f>
        <v>146.01</v>
      </c>
      <c r="F176">
        <v>31</v>
      </c>
      <c r="G176" s="16">
        <v>4.71</v>
      </c>
      <c r="H176" t="s">
        <v>25</v>
      </c>
      <c r="I176" t="s">
        <v>273</v>
      </c>
      <c r="J176" t="s">
        <v>13</v>
      </c>
      <c r="K176" t="s">
        <v>11</v>
      </c>
    </row>
    <row r="177" spans="1:11" x14ac:dyDescent="0.45">
      <c r="A177">
        <v>3271</v>
      </c>
      <c r="B177" s="15">
        <v>44926</v>
      </c>
      <c r="C177" t="str">
        <f>TEXT(Table1[[#This Row],[Order Date]], "yyyy")</f>
        <v>2022</v>
      </c>
      <c r="D177" t="str">
        <f>TEXT(Table1[[#This Row],[Order Date]], "mmmm")</f>
        <v>December</v>
      </c>
      <c r="E177" s="16">
        <f>Table1[[#This Row],[Order Quantity]]*Table1[[#This Row],[Unit Price]]</f>
        <v>150.12</v>
      </c>
      <c r="F177">
        <v>18</v>
      </c>
      <c r="G177" s="16">
        <v>8.34</v>
      </c>
      <c r="H177" t="s">
        <v>25</v>
      </c>
      <c r="I177" t="s">
        <v>176</v>
      </c>
      <c r="J177" t="s">
        <v>20</v>
      </c>
      <c r="K177" t="s">
        <v>11</v>
      </c>
    </row>
    <row r="178" spans="1:11" x14ac:dyDescent="0.45">
      <c r="A178">
        <v>3393</v>
      </c>
      <c r="B178" s="15">
        <v>44745</v>
      </c>
      <c r="C178" t="str">
        <f>TEXT(Table1[[#This Row],[Order Date]], "yyyy")</f>
        <v>2022</v>
      </c>
      <c r="D178" t="str">
        <f>TEXT(Table1[[#This Row],[Order Date]], "mmmm")</f>
        <v>July</v>
      </c>
      <c r="E178" s="16">
        <f>Table1[[#This Row],[Order Quantity]]*Table1[[#This Row],[Unit Price]]</f>
        <v>111.86</v>
      </c>
      <c r="F178">
        <v>7</v>
      </c>
      <c r="G178" s="16">
        <v>15.98</v>
      </c>
      <c r="H178" t="s">
        <v>25</v>
      </c>
      <c r="I178" t="s">
        <v>283</v>
      </c>
      <c r="J178" t="s">
        <v>23</v>
      </c>
      <c r="K178" t="s">
        <v>17</v>
      </c>
    </row>
    <row r="179" spans="1:11" x14ac:dyDescent="0.45">
      <c r="A179">
        <v>3395</v>
      </c>
      <c r="B179" s="15">
        <v>44133</v>
      </c>
      <c r="C179" t="str">
        <f>TEXT(Table1[[#This Row],[Order Date]], "yyyy")</f>
        <v>2020</v>
      </c>
      <c r="D179" t="str">
        <f>TEXT(Table1[[#This Row],[Order Date]], "mmmm")</f>
        <v>October</v>
      </c>
      <c r="E179" s="16">
        <f>Table1[[#This Row],[Order Quantity]]*Table1[[#This Row],[Unit Price]]</f>
        <v>166.78</v>
      </c>
      <c r="F179">
        <v>31</v>
      </c>
      <c r="G179" s="16">
        <v>5.38</v>
      </c>
      <c r="H179" t="s">
        <v>25</v>
      </c>
      <c r="I179" t="s">
        <v>284</v>
      </c>
      <c r="J179" t="s">
        <v>23</v>
      </c>
      <c r="K179" t="s">
        <v>11</v>
      </c>
    </row>
    <row r="180" spans="1:11" x14ac:dyDescent="0.45">
      <c r="A180">
        <v>3459</v>
      </c>
      <c r="B180" s="15">
        <v>44039</v>
      </c>
      <c r="C180" t="str">
        <f>TEXT(Table1[[#This Row],[Order Date]], "yyyy")</f>
        <v>2020</v>
      </c>
      <c r="D180" t="str">
        <f>TEXT(Table1[[#This Row],[Order Date]], "mmmm")</f>
        <v>July</v>
      </c>
      <c r="E180" s="16">
        <f>Table1[[#This Row],[Order Quantity]]*Table1[[#This Row],[Unit Price]]</f>
        <v>2663.7599999999998</v>
      </c>
      <c r="F180">
        <v>24</v>
      </c>
      <c r="G180" s="16">
        <v>110.99</v>
      </c>
      <c r="H180" t="s">
        <v>25</v>
      </c>
      <c r="I180" t="s">
        <v>288</v>
      </c>
      <c r="J180" t="s">
        <v>20</v>
      </c>
      <c r="K180" t="s">
        <v>17</v>
      </c>
    </row>
    <row r="181" spans="1:11" x14ac:dyDescent="0.45">
      <c r="A181">
        <v>3559</v>
      </c>
      <c r="B181" s="15">
        <v>45222</v>
      </c>
      <c r="C181" t="str">
        <f>TEXT(Table1[[#This Row],[Order Date]], "yyyy")</f>
        <v>2023</v>
      </c>
      <c r="D181" t="str">
        <f>TEXT(Table1[[#This Row],[Order Date]], "mmmm")</f>
        <v>October</v>
      </c>
      <c r="E181" s="16">
        <f>Table1[[#This Row],[Order Quantity]]*Table1[[#This Row],[Unit Price]]</f>
        <v>129.54</v>
      </c>
      <c r="F181">
        <v>34</v>
      </c>
      <c r="G181" s="16">
        <v>3.81</v>
      </c>
      <c r="H181" t="s">
        <v>25</v>
      </c>
      <c r="I181" t="s">
        <v>299</v>
      </c>
      <c r="J181" t="s">
        <v>13</v>
      </c>
      <c r="K181" t="s">
        <v>11</v>
      </c>
    </row>
    <row r="182" spans="1:11" x14ac:dyDescent="0.45">
      <c r="A182">
        <v>3650</v>
      </c>
      <c r="B182" s="15">
        <v>45073</v>
      </c>
      <c r="C182" t="str">
        <f>TEXT(Table1[[#This Row],[Order Date]], "yyyy")</f>
        <v>2023</v>
      </c>
      <c r="D182" t="str">
        <f>TEXT(Table1[[#This Row],[Order Date]], "mmmm")</f>
        <v>May</v>
      </c>
      <c r="E182" s="16">
        <f>Table1[[#This Row],[Order Quantity]]*Table1[[#This Row],[Unit Price]]</f>
        <v>128.88</v>
      </c>
      <c r="F182">
        <v>36</v>
      </c>
      <c r="G182" s="16">
        <v>3.58</v>
      </c>
      <c r="H182" t="s">
        <v>25</v>
      </c>
      <c r="I182" t="s">
        <v>305</v>
      </c>
      <c r="J182" t="s">
        <v>20</v>
      </c>
      <c r="K182" t="s">
        <v>11</v>
      </c>
    </row>
    <row r="183" spans="1:11" x14ac:dyDescent="0.45">
      <c r="A183">
        <v>3680</v>
      </c>
      <c r="B183" s="15">
        <v>45269</v>
      </c>
      <c r="C183" t="str">
        <f>TEXT(Table1[[#This Row],[Order Date]], "yyyy")</f>
        <v>2023</v>
      </c>
      <c r="D183" t="str">
        <f>TEXT(Table1[[#This Row],[Order Date]], "mmmm")</f>
        <v>December</v>
      </c>
      <c r="E183" s="16">
        <f>Table1[[#This Row],[Order Quantity]]*Table1[[#This Row],[Unit Price]]</f>
        <v>91.199999999999989</v>
      </c>
      <c r="F183">
        <v>24</v>
      </c>
      <c r="G183" s="16">
        <v>3.8</v>
      </c>
      <c r="H183" t="s">
        <v>25</v>
      </c>
      <c r="I183" t="s">
        <v>307</v>
      </c>
      <c r="J183" t="s">
        <v>13</v>
      </c>
      <c r="K183" t="s">
        <v>11</v>
      </c>
    </row>
    <row r="184" spans="1:11" x14ac:dyDescent="0.45">
      <c r="A184">
        <v>3745</v>
      </c>
      <c r="B184" s="15">
        <v>44467</v>
      </c>
      <c r="C184" t="str">
        <f>TEXT(Table1[[#This Row],[Order Date]], "yyyy")</f>
        <v>2021</v>
      </c>
      <c r="D184" t="str">
        <f>TEXT(Table1[[#This Row],[Order Date]], "mmmm")</f>
        <v>September</v>
      </c>
      <c r="E184" s="16">
        <f>Table1[[#This Row],[Order Quantity]]*Table1[[#This Row],[Unit Price]]</f>
        <v>1108.8399999999999</v>
      </c>
      <c r="F184">
        <v>38</v>
      </c>
      <c r="G184" s="16">
        <v>29.18</v>
      </c>
      <c r="H184" t="s">
        <v>25</v>
      </c>
      <c r="I184" t="s">
        <v>309</v>
      </c>
      <c r="J184" t="s">
        <v>20</v>
      </c>
      <c r="K184" t="s">
        <v>15</v>
      </c>
    </row>
    <row r="185" spans="1:11" x14ac:dyDescent="0.45">
      <c r="A185">
        <v>3777</v>
      </c>
      <c r="B185" s="15">
        <v>43928</v>
      </c>
      <c r="C185" t="str">
        <f>TEXT(Table1[[#This Row],[Order Date]], "yyyy")</f>
        <v>2020</v>
      </c>
      <c r="D185" t="str">
        <f>TEXT(Table1[[#This Row],[Order Date]], "mmmm")</f>
        <v>April</v>
      </c>
      <c r="E185" s="16">
        <f>Table1[[#This Row],[Order Quantity]]*Table1[[#This Row],[Unit Price]]</f>
        <v>247.38000000000002</v>
      </c>
      <c r="F185">
        <v>14</v>
      </c>
      <c r="G185" s="16">
        <v>17.670000000000002</v>
      </c>
      <c r="H185" t="s">
        <v>25</v>
      </c>
      <c r="I185" t="s">
        <v>233</v>
      </c>
      <c r="J185" t="s">
        <v>10</v>
      </c>
      <c r="K185" t="s">
        <v>15</v>
      </c>
    </row>
    <row r="186" spans="1:11" x14ac:dyDescent="0.45">
      <c r="A186">
        <v>3810</v>
      </c>
      <c r="B186" s="15">
        <v>45185</v>
      </c>
      <c r="C186" t="str">
        <f>TEXT(Table1[[#This Row],[Order Date]], "yyyy")</f>
        <v>2023</v>
      </c>
      <c r="D186" t="str">
        <f>TEXT(Table1[[#This Row],[Order Date]], "mmmm")</f>
        <v>September</v>
      </c>
      <c r="E186" s="16">
        <f>Table1[[#This Row],[Order Quantity]]*Table1[[#This Row],[Unit Price]]</f>
        <v>65.25</v>
      </c>
      <c r="F186">
        <v>25</v>
      </c>
      <c r="G186" s="16">
        <v>2.61</v>
      </c>
      <c r="H186" t="s">
        <v>25</v>
      </c>
      <c r="I186" t="s">
        <v>138</v>
      </c>
      <c r="J186" t="s">
        <v>13</v>
      </c>
      <c r="K186" t="s">
        <v>11</v>
      </c>
    </row>
    <row r="187" spans="1:11" x14ac:dyDescent="0.45">
      <c r="A187">
        <v>3814</v>
      </c>
      <c r="B187" s="15">
        <v>44613</v>
      </c>
      <c r="C187" t="str">
        <f>TEXT(Table1[[#This Row],[Order Date]], "yyyy")</f>
        <v>2022</v>
      </c>
      <c r="D187" t="str">
        <f>TEXT(Table1[[#This Row],[Order Date]], "mmmm")</f>
        <v>February</v>
      </c>
      <c r="E187" s="16">
        <f>Table1[[#This Row],[Order Quantity]]*Table1[[#This Row],[Unit Price]]</f>
        <v>1216.04</v>
      </c>
      <c r="F187">
        <v>43</v>
      </c>
      <c r="G187" s="16">
        <v>28.28</v>
      </c>
      <c r="H187" t="s">
        <v>25</v>
      </c>
      <c r="I187" t="s">
        <v>313</v>
      </c>
      <c r="J187" t="s">
        <v>23</v>
      </c>
      <c r="K187" t="s">
        <v>11</v>
      </c>
    </row>
    <row r="188" spans="1:11" x14ac:dyDescent="0.45">
      <c r="A188">
        <v>3841</v>
      </c>
      <c r="B188" s="15">
        <v>44108</v>
      </c>
      <c r="C188" t="str">
        <f>TEXT(Table1[[#This Row],[Order Date]], "yyyy")</f>
        <v>2020</v>
      </c>
      <c r="D188" t="str">
        <f>TEXT(Table1[[#This Row],[Order Date]], "mmmm")</f>
        <v>October</v>
      </c>
      <c r="E188" s="16">
        <f>Table1[[#This Row],[Order Quantity]]*Table1[[#This Row],[Unit Price]]</f>
        <v>8857.57</v>
      </c>
      <c r="F188">
        <v>43</v>
      </c>
      <c r="G188" s="16">
        <v>205.99</v>
      </c>
      <c r="H188" t="s">
        <v>25</v>
      </c>
      <c r="I188" t="s">
        <v>314</v>
      </c>
      <c r="J188" t="s">
        <v>10</v>
      </c>
      <c r="K188" t="s">
        <v>17</v>
      </c>
    </row>
    <row r="189" spans="1:11" x14ac:dyDescent="0.45">
      <c r="A189">
        <v>3877</v>
      </c>
      <c r="B189" s="15">
        <v>44336</v>
      </c>
      <c r="C189" t="str">
        <f>TEXT(Table1[[#This Row],[Order Date]], "yyyy")</f>
        <v>2021</v>
      </c>
      <c r="D189" t="str">
        <f>TEXT(Table1[[#This Row],[Order Date]], "mmmm")</f>
        <v>May</v>
      </c>
      <c r="E189" s="16">
        <f>Table1[[#This Row],[Order Quantity]]*Table1[[#This Row],[Unit Price]]</f>
        <v>672.56</v>
      </c>
      <c r="F189">
        <v>14</v>
      </c>
      <c r="G189" s="16">
        <v>48.04</v>
      </c>
      <c r="H189" t="s">
        <v>25</v>
      </c>
      <c r="I189" t="s">
        <v>193</v>
      </c>
      <c r="J189" t="s">
        <v>13</v>
      </c>
      <c r="K189" t="s">
        <v>11</v>
      </c>
    </row>
    <row r="190" spans="1:11" x14ac:dyDescent="0.45">
      <c r="A190">
        <v>3907</v>
      </c>
      <c r="B190" s="15">
        <v>45156</v>
      </c>
      <c r="C190" t="str">
        <f>TEXT(Table1[[#This Row],[Order Date]], "yyyy")</f>
        <v>2023</v>
      </c>
      <c r="D190" t="str">
        <f>TEXT(Table1[[#This Row],[Order Date]], "mmmm")</f>
        <v>August</v>
      </c>
      <c r="E190" s="16">
        <f>Table1[[#This Row],[Order Quantity]]*Table1[[#This Row],[Unit Price]]</f>
        <v>1079.6399999999999</v>
      </c>
      <c r="F190">
        <v>36</v>
      </c>
      <c r="G190" s="16">
        <v>29.99</v>
      </c>
      <c r="H190" t="s">
        <v>25</v>
      </c>
      <c r="I190" t="s">
        <v>240</v>
      </c>
      <c r="J190" t="s">
        <v>10</v>
      </c>
      <c r="K190" t="s">
        <v>17</v>
      </c>
    </row>
    <row r="191" spans="1:11" x14ac:dyDescent="0.45">
      <c r="A191">
        <v>4069</v>
      </c>
      <c r="B191" s="15">
        <v>45058</v>
      </c>
      <c r="C191" t="str">
        <f>TEXT(Table1[[#This Row],[Order Date]], "yyyy")</f>
        <v>2023</v>
      </c>
      <c r="D191" t="str">
        <f>TEXT(Table1[[#This Row],[Order Date]], "mmmm")</f>
        <v>May</v>
      </c>
      <c r="E191" s="16">
        <f>Table1[[#This Row],[Order Quantity]]*Table1[[#This Row],[Unit Price]]</f>
        <v>130.66</v>
      </c>
      <c r="F191">
        <v>47</v>
      </c>
      <c r="G191" s="16">
        <v>2.78</v>
      </c>
      <c r="H191" t="s">
        <v>25</v>
      </c>
      <c r="I191" t="s">
        <v>125</v>
      </c>
      <c r="J191" t="s">
        <v>23</v>
      </c>
      <c r="K191" t="s">
        <v>11</v>
      </c>
    </row>
    <row r="192" spans="1:11" x14ac:dyDescent="0.45">
      <c r="A192">
        <v>4070</v>
      </c>
      <c r="B192" s="15">
        <v>44723</v>
      </c>
      <c r="C192" t="str">
        <f>TEXT(Table1[[#This Row],[Order Date]], "yyyy")</f>
        <v>2022</v>
      </c>
      <c r="D192" t="str">
        <f>TEXT(Table1[[#This Row],[Order Date]], "mmmm")</f>
        <v>June</v>
      </c>
      <c r="E192" s="16">
        <f>Table1[[#This Row],[Order Quantity]]*Table1[[#This Row],[Unit Price]]</f>
        <v>626.56000000000006</v>
      </c>
      <c r="F192">
        <v>22</v>
      </c>
      <c r="G192" s="16">
        <v>28.48</v>
      </c>
      <c r="H192" t="s">
        <v>25</v>
      </c>
      <c r="I192" t="s">
        <v>76</v>
      </c>
      <c r="J192" t="s">
        <v>20</v>
      </c>
      <c r="K192" t="s">
        <v>17</v>
      </c>
    </row>
    <row r="193" spans="1:11" x14ac:dyDescent="0.45">
      <c r="A193">
        <v>4199</v>
      </c>
      <c r="B193" s="15">
        <v>44969</v>
      </c>
      <c r="C193" t="str">
        <f>TEXT(Table1[[#This Row],[Order Date]], "yyyy")</f>
        <v>2023</v>
      </c>
      <c r="D193" t="str">
        <f>TEXT(Table1[[#This Row],[Order Date]], "mmmm")</f>
        <v>February</v>
      </c>
      <c r="E193" s="16">
        <f>Table1[[#This Row],[Order Quantity]]*Table1[[#This Row],[Unit Price]]</f>
        <v>610.6</v>
      </c>
      <c r="F193">
        <v>43</v>
      </c>
      <c r="G193" s="16">
        <v>14.2</v>
      </c>
      <c r="H193" t="s">
        <v>25</v>
      </c>
      <c r="I193" t="s">
        <v>328</v>
      </c>
      <c r="J193" t="s">
        <v>13</v>
      </c>
      <c r="K193" t="s">
        <v>15</v>
      </c>
    </row>
    <row r="194" spans="1:11" x14ac:dyDescent="0.45">
      <c r="A194">
        <v>4230</v>
      </c>
      <c r="B194" s="15">
        <v>44988</v>
      </c>
      <c r="C194" t="str">
        <f>TEXT(Table1[[#This Row],[Order Date]], "yyyy")</f>
        <v>2023</v>
      </c>
      <c r="D194" t="str">
        <f>TEXT(Table1[[#This Row],[Order Date]], "mmmm")</f>
        <v>March</v>
      </c>
      <c r="E194" s="16">
        <f>Table1[[#This Row],[Order Quantity]]*Table1[[#This Row],[Unit Price]]</f>
        <v>3035.54</v>
      </c>
      <c r="F194">
        <v>46</v>
      </c>
      <c r="G194" s="16">
        <v>65.989999999999995</v>
      </c>
      <c r="H194" t="s">
        <v>25</v>
      </c>
      <c r="I194" t="s">
        <v>329</v>
      </c>
      <c r="J194" t="s">
        <v>13</v>
      </c>
      <c r="K194" t="s">
        <v>17</v>
      </c>
    </row>
    <row r="195" spans="1:11" x14ac:dyDescent="0.45">
      <c r="A195">
        <v>4321</v>
      </c>
      <c r="B195" s="15">
        <v>44029</v>
      </c>
      <c r="C195" t="str">
        <f>TEXT(Table1[[#This Row],[Order Date]], "yyyy")</f>
        <v>2020</v>
      </c>
      <c r="D195" t="str">
        <f>TEXT(Table1[[#This Row],[Order Date]], "mmmm")</f>
        <v>July</v>
      </c>
      <c r="E195" s="16">
        <f>Table1[[#This Row],[Order Quantity]]*Table1[[#This Row],[Unit Price]]</f>
        <v>1434.91</v>
      </c>
      <c r="F195">
        <v>47</v>
      </c>
      <c r="G195" s="16">
        <v>30.53</v>
      </c>
      <c r="H195" t="s">
        <v>25</v>
      </c>
      <c r="I195" t="s">
        <v>29</v>
      </c>
      <c r="J195" t="s">
        <v>13</v>
      </c>
      <c r="K195" t="s">
        <v>11</v>
      </c>
    </row>
    <row r="196" spans="1:11" x14ac:dyDescent="0.45">
      <c r="A196">
        <v>4389</v>
      </c>
      <c r="B196" s="15">
        <v>43955</v>
      </c>
      <c r="C196" t="str">
        <f>TEXT(Table1[[#This Row],[Order Date]], "yyyy")</f>
        <v>2020</v>
      </c>
      <c r="D196" t="str">
        <f>TEXT(Table1[[#This Row],[Order Date]], "mmmm")</f>
        <v>May</v>
      </c>
      <c r="E196" s="16">
        <f>Table1[[#This Row],[Order Quantity]]*Table1[[#This Row],[Unit Price]]</f>
        <v>2771.58</v>
      </c>
      <c r="F196">
        <v>42</v>
      </c>
      <c r="G196" s="16">
        <v>65.989999999999995</v>
      </c>
      <c r="H196" t="s">
        <v>25</v>
      </c>
      <c r="I196" t="s">
        <v>333</v>
      </c>
      <c r="J196" t="s">
        <v>13</v>
      </c>
      <c r="K196" t="s">
        <v>17</v>
      </c>
    </row>
    <row r="197" spans="1:11" x14ac:dyDescent="0.45">
      <c r="A197">
        <v>4642</v>
      </c>
      <c r="B197" s="15">
        <v>44618</v>
      </c>
      <c r="C197" t="str">
        <f>TEXT(Table1[[#This Row],[Order Date]], "yyyy")</f>
        <v>2022</v>
      </c>
      <c r="D197" t="str">
        <f>TEXT(Table1[[#This Row],[Order Date]], "mmmm")</f>
        <v>February</v>
      </c>
      <c r="E197" s="16">
        <f>Table1[[#This Row],[Order Quantity]]*Table1[[#This Row],[Unit Price]]</f>
        <v>294.63</v>
      </c>
      <c r="F197">
        <v>21</v>
      </c>
      <c r="G197" s="16">
        <v>14.03</v>
      </c>
      <c r="H197" t="s">
        <v>25</v>
      </c>
      <c r="I197" t="s">
        <v>154</v>
      </c>
      <c r="J197" t="s">
        <v>13</v>
      </c>
      <c r="K197" t="s">
        <v>11</v>
      </c>
    </row>
    <row r="198" spans="1:11" x14ac:dyDescent="0.45">
      <c r="A198">
        <v>4676</v>
      </c>
      <c r="B198" s="15">
        <v>44804</v>
      </c>
      <c r="C198" t="str">
        <f>TEXT(Table1[[#This Row],[Order Date]], "yyyy")</f>
        <v>2022</v>
      </c>
      <c r="D198" t="str">
        <f>TEXT(Table1[[#This Row],[Order Date]], "mmmm")</f>
        <v>August</v>
      </c>
      <c r="E198" s="16">
        <f>Table1[[#This Row],[Order Quantity]]*Table1[[#This Row],[Unit Price]]</f>
        <v>36.839999999999996</v>
      </c>
      <c r="F198">
        <v>3</v>
      </c>
      <c r="G198" s="16">
        <v>12.28</v>
      </c>
      <c r="H198" t="s">
        <v>25</v>
      </c>
      <c r="I198" t="s">
        <v>173</v>
      </c>
      <c r="J198" t="s">
        <v>20</v>
      </c>
      <c r="K198" t="s">
        <v>11</v>
      </c>
    </row>
    <row r="199" spans="1:11" x14ac:dyDescent="0.45">
      <c r="A199">
        <v>4896</v>
      </c>
      <c r="B199" s="15">
        <v>45159</v>
      </c>
      <c r="C199" t="str">
        <f>TEXT(Table1[[#This Row],[Order Date]], "yyyy")</f>
        <v>2023</v>
      </c>
      <c r="D199" t="str">
        <f>TEXT(Table1[[#This Row],[Order Date]], "mmmm")</f>
        <v>August</v>
      </c>
      <c r="E199" s="16">
        <f>Table1[[#This Row],[Order Quantity]]*Table1[[#This Row],[Unit Price]]</f>
        <v>1259.8999999999999</v>
      </c>
      <c r="F199">
        <v>10</v>
      </c>
      <c r="G199" s="16">
        <v>125.99</v>
      </c>
      <c r="H199" t="s">
        <v>25</v>
      </c>
      <c r="I199" t="s">
        <v>350</v>
      </c>
      <c r="J199" t="s">
        <v>10</v>
      </c>
      <c r="K199" t="s">
        <v>17</v>
      </c>
    </row>
    <row r="200" spans="1:11" x14ac:dyDescent="0.45">
      <c r="A200">
        <v>4960</v>
      </c>
      <c r="B200" s="15">
        <v>44617</v>
      </c>
      <c r="C200" t="str">
        <f>TEXT(Table1[[#This Row],[Order Date]], "yyyy")</f>
        <v>2022</v>
      </c>
      <c r="D200" t="str">
        <f>TEXT(Table1[[#This Row],[Order Date]], "mmmm")</f>
        <v>February</v>
      </c>
      <c r="E200" s="16">
        <f>Table1[[#This Row],[Order Quantity]]*Table1[[#This Row],[Unit Price]]</f>
        <v>25.92</v>
      </c>
      <c r="F200">
        <v>4</v>
      </c>
      <c r="G200" s="16">
        <v>6.48</v>
      </c>
      <c r="H200" t="s">
        <v>25</v>
      </c>
      <c r="I200" t="s">
        <v>353</v>
      </c>
      <c r="J200" t="s">
        <v>13</v>
      </c>
      <c r="K200" t="s">
        <v>11</v>
      </c>
    </row>
    <row r="201" spans="1:11" x14ac:dyDescent="0.45">
      <c r="A201">
        <v>5059</v>
      </c>
      <c r="B201" s="15">
        <v>44509</v>
      </c>
      <c r="C201" t="str">
        <f>TEXT(Table1[[#This Row],[Order Date]], "yyyy")</f>
        <v>2021</v>
      </c>
      <c r="D201" t="str">
        <f>TEXT(Table1[[#This Row],[Order Date]], "mmmm")</f>
        <v>November</v>
      </c>
      <c r="E201" s="16">
        <f>Table1[[#This Row],[Order Quantity]]*Table1[[#This Row],[Unit Price]]</f>
        <v>27.200000000000003</v>
      </c>
      <c r="F201">
        <v>5</v>
      </c>
      <c r="G201" s="16">
        <v>5.44</v>
      </c>
      <c r="H201" t="s">
        <v>25</v>
      </c>
      <c r="I201" t="s">
        <v>355</v>
      </c>
      <c r="J201" t="s">
        <v>10</v>
      </c>
      <c r="K201" t="s">
        <v>11</v>
      </c>
    </row>
    <row r="202" spans="1:11" x14ac:dyDescent="0.45">
      <c r="A202">
        <v>5153</v>
      </c>
      <c r="B202" s="15">
        <v>44798</v>
      </c>
      <c r="C202" t="str">
        <f>TEXT(Table1[[#This Row],[Order Date]], "yyyy")</f>
        <v>2022</v>
      </c>
      <c r="D202" t="str">
        <f>TEXT(Table1[[#This Row],[Order Date]], "mmmm")</f>
        <v>August</v>
      </c>
      <c r="E202" s="16">
        <f>Table1[[#This Row],[Order Quantity]]*Table1[[#This Row],[Unit Price]]</f>
        <v>4744.88</v>
      </c>
      <c r="F202">
        <v>37</v>
      </c>
      <c r="G202" s="16">
        <v>128.24</v>
      </c>
      <c r="H202" t="s">
        <v>25</v>
      </c>
      <c r="I202" t="s">
        <v>93</v>
      </c>
      <c r="J202" t="s">
        <v>20</v>
      </c>
      <c r="K202" t="s">
        <v>15</v>
      </c>
    </row>
    <row r="203" spans="1:11" x14ac:dyDescent="0.45">
      <c r="A203">
        <v>5217</v>
      </c>
      <c r="B203" s="15">
        <v>44846</v>
      </c>
      <c r="C203" t="str">
        <f>TEXT(Table1[[#This Row],[Order Date]], "yyyy")</f>
        <v>2022</v>
      </c>
      <c r="D203" t="str">
        <f>TEXT(Table1[[#This Row],[Order Date]], "mmmm")</f>
        <v>October</v>
      </c>
      <c r="E203" s="16">
        <f>Table1[[#This Row],[Order Quantity]]*Table1[[#This Row],[Unit Price]]</f>
        <v>327.84</v>
      </c>
      <c r="F203">
        <v>8</v>
      </c>
      <c r="G203" s="16">
        <v>40.98</v>
      </c>
      <c r="H203" t="s">
        <v>25</v>
      </c>
      <c r="I203" t="s">
        <v>246</v>
      </c>
      <c r="J203" t="s">
        <v>20</v>
      </c>
      <c r="K203" t="s">
        <v>11</v>
      </c>
    </row>
    <row r="204" spans="1:11" x14ac:dyDescent="0.45">
      <c r="A204">
        <v>5251</v>
      </c>
      <c r="B204" s="15">
        <v>44662</v>
      </c>
      <c r="C204" t="str">
        <f>TEXT(Table1[[#This Row],[Order Date]], "yyyy")</f>
        <v>2022</v>
      </c>
      <c r="D204" t="str">
        <f>TEXT(Table1[[#This Row],[Order Date]], "mmmm")</f>
        <v>April</v>
      </c>
      <c r="E204" s="16">
        <f>Table1[[#This Row],[Order Quantity]]*Table1[[#This Row],[Unit Price]]</f>
        <v>4407.62</v>
      </c>
      <c r="F204">
        <v>38</v>
      </c>
      <c r="G204" s="16">
        <v>115.99</v>
      </c>
      <c r="H204" t="s">
        <v>25</v>
      </c>
      <c r="I204" t="s">
        <v>21</v>
      </c>
      <c r="J204" t="s">
        <v>13</v>
      </c>
      <c r="K204" t="s">
        <v>17</v>
      </c>
    </row>
    <row r="205" spans="1:11" x14ac:dyDescent="0.45">
      <c r="A205">
        <v>5317</v>
      </c>
      <c r="B205" s="15">
        <v>44082</v>
      </c>
      <c r="C205" t="str">
        <f>TEXT(Table1[[#This Row],[Order Date]], "yyyy")</f>
        <v>2020</v>
      </c>
      <c r="D205" t="str">
        <f>TEXT(Table1[[#This Row],[Order Date]], "mmmm")</f>
        <v>September</v>
      </c>
      <c r="E205" s="16">
        <f>Table1[[#This Row],[Order Quantity]]*Table1[[#This Row],[Unit Price]]</f>
        <v>202.92</v>
      </c>
      <c r="F205">
        <v>38</v>
      </c>
      <c r="G205" s="16">
        <v>5.34</v>
      </c>
      <c r="H205" t="s">
        <v>25</v>
      </c>
      <c r="I205" t="s">
        <v>240</v>
      </c>
      <c r="J205" t="s">
        <v>10</v>
      </c>
      <c r="K205" t="s">
        <v>11</v>
      </c>
    </row>
    <row r="206" spans="1:11" x14ac:dyDescent="0.45">
      <c r="A206">
        <v>5318</v>
      </c>
      <c r="B206" s="15">
        <v>44289</v>
      </c>
      <c r="C206" t="str">
        <f>TEXT(Table1[[#This Row],[Order Date]], "yyyy")</f>
        <v>2021</v>
      </c>
      <c r="D206" t="str">
        <f>TEXT(Table1[[#This Row],[Order Date]], "mmmm")</f>
        <v>April</v>
      </c>
      <c r="E206" s="16">
        <f>Table1[[#This Row],[Order Quantity]]*Table1[[#This Row],[Unit Price]]</f>
        <v>5828.71</v>
      </c>
      <c r="F206">
        <v>29</v>
      </c>
      <c r="G206" s="16">
        <v>200.99</v>
      </c>
      <c r="H206" t="s">
        <v>25</v>
      </c>
      <c r="I206" t="s">
        <v>66</v>
      </c>
      <c r="J206" t="s">
        <v>23</v>
      </c>
      <c r="K206" t="s">
        <v>17</v>
      </c>
    </row>
    <row r="207" spans="1:11" x14ac:dyDescent="0.45">
      <c r="A207">
        <v>5378</v>
      </c>
      <c r="B207" s="15">
        <v>45223</v>
      </c>
      <c r="C207" t="str">
        <f>TEXT(Table1[[#This Row],[Order Date]], "yyyy")</f>
        <v>2023</v>
      </c>
      <c r="D207" t="str">
        <f>TEXT(Table1[[#This Row],[Order Date]], "mmmm")</f>
        <v>October</v>
      </c>
      <c r="E207" s="16">
        <f>Table1[[#This Row],[Order Quantity]]*Table1[[#This Row],[Unit Price]]</f>
        <v>37.44</v>
      </c>
      <c r="F207">
        <v>6</v>
      </c>
      <c r="G207" s="16">
        <v>6.24</v>
      </c>
      <c r="H207" t="s">
        <v>25</v>
      </c>
      <c r="I207" t="s">
        <v>368</v>
      </c>
      <c r="J207" t="s">
        <v>13</v>
      </c>
      <c r="K207" t="s">
        <v>15</v>
      </c>
    </row>
    <row r="208" spans="1:11" x14ac:dyDescent="0.45">
      <c r="A208">
        <v>5414</v>
      </c>
      <c r="B208" s="15">
        <v>44279</v>
      </c>
      <c r="C208" t="str">
        <f>TEXT(Table1[[#This Row],[Order Date]], "yyyy")</f>
        <v>2021</v>
      </c>
      <c r="D208" t="str">
        <f>TEXT(Table1[[#This Row],[Order Date]], "mmmm")</f>
        <v>March</v>
      </c>
      <c r="E208" s="16">
        <f>Table1[[#This Row],[Order Quantity]]*Table1[[#This Row],[Unit Price]]</f>
        <v>293.72000000000003</v>
      </c>
      <c r="F208">
        <v>14</v>
      </c>
      <c r="G208" s="16">
        <v>20.98</v>
      </c>
      <c r="H208" t="s">
        <v>25</v>
      </c>
      <c r="I208" t="s">
        <v>54</v>
      </c>
      <c r="J208" t="s">
        <v>13</v>
      </c>
      <c r="K208" t="s">
        <v>11</v>
      </c>
    </row>
    <row r="209" spans="1:11" x14ac:dyDescent="0.45">
      <c r="A209">
        <v>5445</v>
      </c>
      <c r="B209" s="15">
        <v>44402</v>
      </c>
      <c r="C209" t="str">
        <f>TEXT(Table1[[#This Row],[Order Date]], "yyyy")</f>
        <v>2021</v>
      </c>
      <c r="D209" t="str">
        <f>TEXT(Table1[[#This Row],[Order Date]], "mmmm")</f>
        <v>July</v>
      </c>
      <c r="E209" s="16">
        <f>Table1[[#This Row],[Order Quantity]]*Table1[[#This Row],[Unit Price]]</f>
        <v>14.76</v>
      </c>
      <c r="F209">
        <v>4</v>
      </c>
      <c r="G209" s="16">
        <v>3.69</v>
      </c>
      <c r="H209" t="s">
        <v>25</v>
      </c>
      <c r="I209" t="s">
        <v>32</v>
      </c>
      <c r="J209" t="s">
        <v>20</v>
      </c>
      <c r="K209" t="s">
        <v>11</v>
      </c>
    </row>
    <row r="210" spans="1:11" x14ac:dyDescent="0.45">
      <c r="A210">
        <v>5504</v>
      </c>
      <c r="B210" s="15">
        <v>44201</v>
      </c>
      <c r="C210" t="str">
        <f>TEXT(Table1[[#This Row],[Order Date]], "yyyy")</f>
        <v>2021</v>
      </c>
      <c r="D210" t="str">
        <f>TEXT(Table1[[#This Row],[Order Date]], "mmmm")</f>
        <v>January</v>
      </c>
      <c r="E210" s="16">
        <f>Table1[[#This Row],[Order Quantity]]*Table1[[#This Row],[Unit Price]]</f>
        <v>34.68</v>
      </c>
      <c r="F210">
        <v>6</v>
      </c>
      <c r="G210" s="16">
        <v>5.78</v>
      </c>
      <c r="H210" t="s">
        <v>25</v>
      </c>
      <c r="I210" t="s">
        <v>373</v>
      </c>
      <c r="J210" t="s">
        <v>10</v>
      </c>
      <c r="K210" t="s">
        <v>11</v>
      </c>
    </row>
    <row r="211" spans="1:11" x14ac:dyDescent="0.45">
      <c r="A211">
        <v>5511</v>
      </c>
      <c r="B211" s="15">
        <v>44163</v>
      </c>
      <c r="C211" t="str">
        <f>TEXT(Table1[[#This Row],[Order Date]], "yyyy")</f>
        <v>2020</v>
      </c>
      <c r="D211" t="str">
        <f>TEXT(Table1[[#This Row],[Order Date]], "mmmm")</f>
        <v>November</v>
      </c>
      <c r="E211" s="16">
        <f>Table1[[#This Row],[Order Quantity]]*Table1[[#This Row],[Unit Price]]</f>
        <v>118.68</v>
      </c>
      <c r="F211">
        <v>46</v>
      </c>
      <c r="G211" s="16">
        <v>2.58</v>
      </c>
      <c r="H211" t="s">
        <v>25</v>
      </c>
      <c r="I211" t="s">
        <v>171</v>
      </c>
      <c r="J211" t="s">
        <v>13</v>
      </c>
      <c r="K211" t="s">
        <v>11</v>
      </c>
    </row>
    <row r="212" spans="1:11" x14ac:dyDescent="0.45">
      <c r="A212">
        <v>5699</v>
      </c>
      <c r="B212" s="15">
        <v>45136</v>
      </c>
      <c r="C212" t="str">
        <f>TEXT(Table1[[#This Row],[Order Date]], "yyyy")</f>
        <v>2023</v>
      </c>
      <c r="D212" t="str">
        <f>TEXT(Table1[[#This Row],[Order Date]], "mmmm")</f>
        <v>July</v>
      </c>
      <c r="E212" s="16">
        <f>Table1[[#This Row],[Order Quantity]]*Table1[[#This Row],[Unit Price]]</f>
        <v>614.18000000000006</v>
      </c>
      <c r="F212">
        <v>41</v>
      </c>
      <c r="G212" s="16">
        <v>14.98</v>
      </c>
      <c r="H212" t="s">
        <v>25</v>
      </c>
      <c r="I212" t="s">
        <v>388</v>
      </c>
      <c r="J212" t="s">
        <v>10</v>
      </c>
      <c r="K212" t="s">
        <v>11</v>
      </c>
    </row>
    <row r="213" spans="1:11" x14ac:dyDescent="0.45">
      <c r="A213">
        <v>5767</v>
      </c>
      <c r="B213" s="15">
        <v>45044</v>
      </c>
      <c r="C213" t="str">
        <f>TEXT(Table1[[#This Row],[Order Date]], "yyyy")</f>
        <v>2023</v>
      </c>
      <c r="D213" t="str">
        <f>TEXT(Table1[[#This Row],[Order Date]], "mmmm")</f>
        <v>April</v>
      </c>
      <c r="E213" s="16">
        <f>Table1[[#This Row],[Order Quantity]]*Table1[[#This Row],[Unit Price]]</f>
        <v>148.68</v>
      </c>
      <c r="F213">
        <v>36</v>
      </c>
      <c r="G213" s="16">
        <v>4.13</v>
      </c>
      <c r="H213" t="s">
        <v>25</v>
      </c>
      <c r="I213" t="s">
        <v>391</v>
      </c>
      <c r="J213" t="s">
        <v>10</v>
      </c>
      <c r="K213" t="s">
        <v>11</v>
      </c>
    </row>
    <row r="214" spans="1:11" x14ac:dyDescent="0.45">
      <c r="A214">
        <v>5890</v>
      </c>
      <c r="B214" s="15">
        <v>45233</v>
      </c>
      <c r="C214" t="str">
        <f>TEXT(Table1[[#This Row],[Order Date]], "yyyy")</f>
        <v>2023</v>
      </c>
      <c r="D214" t="str">
        <f>TEXT(Table1[[#This Row],[Order Date]], "mmmm")</f>
        <v>November</v>
      </c>
      <c r="E214" s="16">
        <f>Table1[[#This Row],[Order Quantity]]*Table1[[#This Row],[Unit Price]]</f>
        <v>881.57999999999993</v>
      </c>
      <c r="F214">
        <v>42</v>
      </c>
      <c r="G214" s="16">
        <v>20.99</v>
      </c>
      <c r="H214" t="s">
        <v>25</v>
      </c>
      <c r="I214" t="s">
        <v>394</v>
      </c>
      <c r="J214" t="s">
        <v>23</v>
      </c>
      <c r="K214" t="s">
        <v>17</v>
      </c>
    </row>
    <row r="215" spans="1:11" x14ac:dyDescent="0.45">
      <c r="A215">
        <v>5921</v>
      </c>
      <c r="B215" s="15">
        <v>43927</v>
      </c>
      <c r="C215" t="str">
        <f>TEXT(Table1[[#This Row],[Order Date]], "yyyy")</f>
        <v>2020</v>
      </c>
      <c r="D215" t="str">
        <f>TEXT(Table1[[#This Row],[Order Date]], "mmmm")</f>
        <v>April</v>
      </c>
      <c r="E215" s="16">
        <f>Table1[[#This Row],[Order Quantity]]*Table1[[#This Row],[Unit Price]]</f>
        <v>362.61</v>
      </c>
      <c r="F215">
        <v>27</v>
      </c>
      <c r="G215" s="16">
        <v>13.43</v>
      </c>
      <c r="H215" t="s">
        <v>25</v>
      </c>
      <c r="I215" t="s">
        <v>397</v>
      </c>
      <c r="J215" t="s">
        <v>13</v>
      </c>
      <c r="K215" t="s">
        <v>11</v>
      </c>
    </row>
    <row r="216" spans="1:11" x14ac:dyDescent="0.45">
      <c r="A216">
        <v>5988</v>
      </c>
      <c r="B216" s="15">
        <v>44521</v>
      </c>
      <c r="C216" t="str">
        <f>TEXT(Table1[[#This Row],[Order Date]], "yyyy")</f>
        <v>2021</v>
      </c>
      <c r="D216" t="str">
        <f>TEXT(Table1[[#This Row],[Order Date]], "mmmm")</f>
        <v>November</v>
      </c>
      <c r="E216" s="16">
        <f>Table1[[#This Row],[Order Quantity]]*Table1[[#This Row],[Unit Price]]</f>
        <v>19999.599999999999</v>
      </c>
      <c r="F216">
        <v>40</v>
      </c>
      <c r="G216" s="16">
        <v>499.99</v>
      </c>
      <c r="H216" t="s">
        <v>25</v>
      </c>
      <c r="I216" t="s">
        <v>50</v>
      </c>
      <c r="J216" t="s">
        <v>20</v>
      </c>
      <c r="K216" t="s">
        <v>17</v>
      </c>
    </row>
    <row r="217" spans="1:11" x14ac:dyDescent="0.45">
      <c r="A217">
        <v>6054</v>
      </c>
      <c r="B217" s="15">
        <v>44812</v>
      </c>
      <c r="C217" t="str">
        <f>TEXT(Table1[[#This Row],[Order Date]], "yyyy")</f>
        <v>2022</v>
      </c>
      <c r="D217" t="str">
        <f>TEXT(Table1[[#This Row],[Order Date]], "mmmm")</f>
        <v>September</v>
      </c>
      <c r="E217" s="16">
        <f>Table1[[#This Row],[Order Quantity]]*Table1[[#This Row],[Unit Price]]</f>
        <v>12.48</v>
      </c>
      <c r="F217">
        <v>6</v>
      </c>
      <c r="G217" s="16">
        <v>2.08</v>
      </c>
      <c r="H217" t="s">
        <v>25</v>
      </c>
      <c r="I217" t="s">
        <v>167</v>
      </c>
      <c r="J217" t="s">
        <v>13</v>
      </c>
      <c r="K217" t="s">
        <v>15</v>
      </c>
    </row>
    <row r="218" spans="1:11" x14ac:dyDescent="0.45">
      <c r="A218">
        <v>6054</v>
      </c>
      <c r="B218" s="15">
        <v>44812</v>
      </c>
      <c r="C218" t="str">
        <f>TEXT(Table1[[#This Row],[Order Date]], "yyyy")</f>
        <v>2022</v>
      </c>
      <c r="D218" t="str">
        <f>TEXT(Table1[[#This Row],[Order Date]], "mmmm")</f>
        <v>September</v>
      </c>
      <c r="E218" s="16">
        <f>Table1[[#This Row],[Order Quantity]]*Table1[[#This Row],[Unit Price]]</f>
        <v>663.06</v>
      </c>
      <c r="F218">
        <v>43</v>
      </c>
      <c r="G218" s="16">
        <v>15.42</v>
      </c>
      <c r="H218" t="s">
        <v>25</v>
      </c>
      <c r="I218" t="s">
        <v>167</v>
      </c>
      <c r="J218" t="s">
        <v>13</v>
      </c>
      <c r="K218" t="s">
        <v>11</v>
      </c>
    </row>
    <row r="219" spans="1:11" x14ac:dyDescent="0.45">
      <c r="A219">
        <v>6148</v>
      </c>
      <c r="B219" s="15">
        <v>44919</v>
      </c>
      <c r="C219" t="str">
        <f>TEXT(Table1[[#This Row],[Order Date]], "yyyy")</f>
        <v>2022</v>
      </c>
      <c r="D219" t="str">
        <f>TEXT(Table1[[#This Row],[Order Date]], "mmmm")</f>
        <v>December</v>
      </c>
      <c r="E219" s="16">
        <f>Table1[[#This Row],[Order Quantity]]*Table1[[#This Row],[Unit Price]]</f>
        <v>365.04</v>
      </c>
      <c r="F219">
        <v>18</v>
      </c>
      <c r="G219" s="16">
        <v>20.28</v>
      </c>
      <c r="H219" t="s">
        <v>25</v>
      </c>
      <c r="I219" t="s">
        <v>409</v>
      </c>
      <c r="J219" t="s">
        <v>10</v>
      </c>
      <c r="K219" t="s">
        <v>15</v>
      </c>
    </row>
    <row r="220" spans="1:11" x14ac:dyDescent="0.45">
      <c r="A220">
        <v>6182</v>
      </c>
      <c r="B220" s="15">
        <v>45128</v>
      </c>
      <c r="C220" t="str">
        <f>TEXT(Table1[[#This Row],[Order Date]], "yyyy")</f>
        <v>2023</v>
      </c>
      <c r="D220" t="str">
        <f>TEXT(Table1[[#This Row],[Order Date]], "mmmm")</f>
        <v>July</v>
      </c>
      <c r="E220" s="16">
        <f>Table1[[#This Row],[Order Quantity]]*Table1[[#This Row],[Unit Price]]</f>
        <v>116.64000000000001</v>
      </c>
      <c r="F220">
        <v>18</v>
      </c>
      <c r="G220" s="16">
        <v>6.48</v>
      </c>
      <c r="H220" t="s">
        <v>25</v>
      </c>
      <c r="I220" t="s">
        <v>211</v>
      </c>
      <c r="J220" t="s">
        <v>13</v>
      </c>
      <c r="K220" t="s">
        <v>11</v>
      </c>
    </row>
    <row r="221" spans="1:11" x14ac:dyDescent="0.45">
      <c r="A221">
        <v>6241</v>
      </c>
      <c r="B221" s="15">
        <v>44194</v>
      </c>
      <c r="C221" t="str">
        <f>TEXT(Table1[[#This Row],[Order Date]], "yyyy")</f>
        <v>2020</v>
      </c>
      <c r="D221" t="str">
        <f>TEXT(Table1[[#This Row],[Order Date]], "mmmm")</f>
        <v>December</v>
      </c>
      <c r="E221" s="16">
        <f>Table1[[#This Row],[Order Quantity]]*Table1[[#This Row],[Unit Price]]</f>
        <v>140.16</v>
      </c>
      <c r="F221">
        <v>24</v>
      </c>
      <c r="G221" s="16">
        <v>5.84</v>
      </c>
      <c r="H221" t="s">
        <v>25</v>
      </c>
      <c r="I221" t="s">
        <v>411</v>
      </c>
      <c r="J221" t="s">
        <v>10</v>
      </c>
      <c r="K221" t="s">
        <v>11</v>
      </c>
    </row>
    <row r="222" spans="1:11" x14ac:dyDescent="0.45">
      <c r="A222">
        <v>6272</v>
      </c>
      <c r="B222" s="15">
        <v>44254</v>
      </c>
      <c r="C222" t="str">
        <f>TEXT(Table1[[#This Row],[Order Date]], "yyyy")</f>
        <v>2021</v>
      </c>
      <c r="D222" t="str">
        <f>TEXT(Table1[[#This Row],[Order Date]], "mmmm")</f>
        <v>February</v>
      </c>
      <c r="E222" s="16">
        <f>Table1[[#This Row],[Order Quantity]]*Table1[[#This Row],[Unit Price]]</f>
        <v>447.92</v>
      </c>
      <c r="F222">
        <v>8</v>
      </c>
      <c r="G222" s="16">
        <v>55.99</v>
      </c>
      <c r="H222" t="s">
        <v>25</v>
      </c>
      <c r="I222" t="s">
        <v>377</v>
      </c>
      <c r="J222" t="s">
        <v>13</v>
      </c>
      <c r="K222" t="s">
        <v>17</v>
      </c>
    </row>
    <row r="223" spans="1:11" x14ac:dyDescent="0.45">
      <c r="A223">
        <v>6274</v>
      </c>
      <c r="B223" s="15">
        <v>44756</v>
      </c>
      <c r="C223" t="str">
        <f>TEXT(Table1[[#This Row],[Order Date]], "yyyy")</f>
        <v>2022</v>
      </c>
      <c r="D223" t="str">
        <f>TEXT(Table1[[#This Row],[Order Date]], "mmmm")</f>
        <v>July</v>
      </c>
      <c r="E223" s="16">
        <f>Table1[[#This Row],[Order Quantity]]*Table1[[#This Row],[Unit Price]]</f>
        <v>38.28</v>
      </c>
      <c r="F223">
        <v>22</v>
      </c>
      <c r="G223" s="16">
        <v>1.74</v>
      </c>
      <c r="H223" t="s">
        <v>25</v>
      </c>
      <c r="I223" t="s">
        <v>102</v>
      </c>
      <c r="J223" t="s">
        <v>20</v>
      </c>
      <c r="K223" t="s">
        <v>15</v>
      </c>
    </row>
    <row r="224" spans="1:11" x14ac:dyDescent="0.45">
      <c r="A224">
        <v>6336</v>
      </c>
      <c r="B224" s="15">
        <v>44801</v>
      </c>
      <c r="C224" t="str">
        <f>TEXT(Table1[[#This Row],[Order Date]], "yyyy")</f>
        <v>2022</v>
      </c>
      <c r="D224" t="str">
        <f>TEXT(Table1[[#This Row],[Order Date]], "mmmm")</f>
        <v>August</v>
      </c>
      <c r="E224" s="16">
        <f>Table1[[#This Row],[Order Quantity]]*Table1[[#This Row],[Unit Price]]</f>
        <v>305.3</v>
      </c>
      <c r="F224">
        <v>43</v>
      </c>
      <c r="G224" s="16">
        <v>7.1</v>
      </c>
      <c r="H224" t="s">
        <v>25</v>
      </c>
      <c r="I224" t="s">
        <v>414</v>
      </c>
      <c r="J224" t="s">
        <v>20</v>
      </c>
      <c r="K224" t="s">
        <v>11</v>
      </c>
    </row>
    <row r="225" spans="1:11" x14ac:dyDescent="0.45">
      <c r="A225">
        <v>6374</v>
      </c>
      <c r="B225" s="15">
        <v>44780</v>
      </c>
      <c r="C225" t="str">
        <f>TEXT(Table1[[#This Row],[Order Date]], "yyyy")</f>
        <v>2022</v>
      </c>
      <c r="D225" t="str">
        <f>TEXT(Table1[[#This Row],[Order Date]], "mmmm")</f>
        <v>August</v>
      </c>
      <c r="E225" s="16">
        <f>Table1[[#This Row],[Order Quantity]]*Table1[[#This Row],[Unit Price]]</f>
        <v>902.18999999999994</v>
      </c>
      <c r="F225">
        <v>29</v>
      </c>
      <c r="G225" s="16">
        <v>31.11</v>
      </c>
      <c r="H225" t="s">
        <v>25</v>
      </c>
      <c r="I225" t="s">
        <v>415</v>
      </c>
      <c r="J225" t="s">
        <v>13</v>
      </c>
      <c r="K225" t="s">
        <v>17</v>
      </c>
    </row>
    <row r="226" spans="1:11" x14ac:dyDescent="0.45">
      <c r="A226">
        <v>6465</v>
      </c>
      <c r="B226" s="15">
        <v>44785</v>
      </c>
      <c r="C226" t="str">
        <f>TEXT(Table1[[#This Row],[Order Date]], "yyyy")</f>
        <v>2022</v>
      </c>
      <c r="D226" t="str">
        <f>TEXT(Table1[[#This Row],[Order Date]], "mmmm")</f>
        <v>August</v>
      </c>
      <c r="E226" s="16">
        <f>Table1[[#This Row],[Order Quantity]]*Table1[[#This Row],[Unit Price]]</f>
        <v>247.68</v>
      </c>
      <c r="F226">
        <v>36</v>
      </c>
      <c r="G226" s="16">
        <v>6.88</v>
      </c>
      <c r="H226" t="s">
        <v>25</v>
      </c>
      <c r="I226" t="s">
        <v>419</v>
      </c>
      <c r="J226" t="s">
        <v>10</v>
      </c>
      <c r="K226" t="s">
        <v>11</v>
      </c>
    </row>
    <row r="227" spans="1:11" x14ac:dyDescent="0.45">
      <c r="A227">
        <v>6498</v>
      </c>
      <c r="B227" s="15">
        <v>43907</v>
      </c>
      <c r="C227" t="str">
        <f>TEXT(Table1[[#This Row],[Order Date]], "yyyy")</f>
        <v>2020</v>
      </c>
      <c r="D227" t="str">
        <f>TEXT(Table1[[#This Row],[Order Date]], "mmmm")</f>
        <v>March</v>
      </c>
      <c r="E227" s="16">
        <f>Table1[[#This Row],[Order Quantity]]*Table1[[#This Row],[Unit Price]]</f>
        <v>308.55999999999995</v>
      </c>
      <c r="F227">
        <v>38</v>
      </c>
      <c r="G227" s="16">
        <v>8.1199999999999992</v>
      </c>
      <c r="H227" t="s">
        <v>25</v>
      </c>
      <c r="I227" t="s">
        <v>420</v>
      </c>
      <c r="J227" t="s">
        <v>20</v>
      </c>
      <c r="K227" t="s">
        <v>17</v>
      </c>
    </row>
    <row r="228" spans="1:11" x14ac:dyDescent="0.45">
      <c r="A228">
        <v>6502</v>
      </c>
      <c r="B228" s="15">
        <v>44793</v>
      </c>
      <c r="C228" t="str">
        <f>TEXT(Table1[[#This Row],[Order Date]], "yyyy")</f>
        <v>2022</v>
      </c>
      <c r="D228" t="str">
        <f>TEXT(Table1[[#This Row],[Order Date]], "mmmm")</f>
        <v>August</v>
      </c>
      <c r="E228" s="16">
        <f>Table1[[#This Row],[Order Quantity]]*Table1[[#This Row],[Unit Price]]</f>
        <v>122.24</v>
      </c>
      <c r="F228">
        <v>16</v>
      </c>
      <c r="G228" s="16">
        <v>7.64</v>
      </c>
      <c r="H228" t="s">
        <v>25</v>
      </c>
      <c r="I228" t="s">
        <v>121</v>
      </c>
      <c r="J228" t="s">
        <v>20</v>
      </c>
      <c r="K228" t="s">
        <v>11</v>
      </c>
    </row>
    <row r="229" spans="1:11" x14ac:dyDescent="0.45">
      <c r="A229">
        <v>6535</v>
      </c>
      <c r="B229" s="15">
        <v>45089</v>
      </c>
      <c r="C229" t="str">
        <f>TEXT(Table1[[#This Row],[Order Date]], "yyyy")</f>
        <v>2023</v>
      </c>
      <c r="D229" t="str">
        <f>TEXT(Table1[[#This Row],[Order Date]], "mmmm")</f>
        <v>June</v>
      </c>
      <c r="E229" s="16">
        <f>Table1[[#This Row],[Order Quantity]]*Table1[[#This Row],[Unit Price]]</f>
        <v>309.64999999999998</v>
      </c>
      <c r="F229">
        <v>11</v>
      </c>
      <c r="G229" s="16">
        <v>28.15</v>
      </c>
      <c r="H229" t="s">
        <v>25</v>
      </c>
      <c r="I229" t="s">
        <v>344</v>
      </c>
      <c r="J229" t="s">
        <v>13</v>
      </c>
      <c r="K229" t="s">
        <v>11</v>
      </c>
    </row>
    <row r="230" spans="1:11" x14ac:dyDescent="0.45">
      <c r="A230">
        <v>6592</v>
      </c>
      <c r="B230" s="15">
        <v>44166</v>
      </c>
      <c r="C230" t="str">
        <f>TEXT(Table1[[#This Row],[Order Date]], "yyyy")</f>
        <v>2020</v>
      </c>
      <c r="D230" t="str">
        <f>TEXT(Table1[[#This Row],[Order Date]], "mmmm")</f>
        <v>December</v>
      </c>
      <c r="E230" s="16">
        <f>Table1[[#This Row],[Order Quantity]]*Table1[[#This Row],[Unit Price]]</f>
        <v>1614.03</v>
      </c>
      <c r="F230">
        <v>33</v>
      </c>
      <c r="G230" s="16">
        <v>48.91</v>
      </c>
      <c r="H230" t="s">
        <v>25</v>
      </c>
      <c r="I230" t="s">
        <v>80</v>
      </c>
      <c r="J230" t="s">
        <v>23</v>
      </c>
      <c r="K230" t="s">
        <v>11</v>
      </c>
    </row>
    <row r="231" spans="1:11" x14ac:dyDescent="0.45">
      <c r="A231">
        <v>6695</v>
      </c>
      <c r="B231" s="15">
        <v>45104</v>
      </c>
      <c r="C231" t="str">
        <f>TEXT(Table1[[#This Row],[Order Date]], "yyyy")</f>
        <v>2023</v>
      </c>
      <c r="D231" t="str">
        <f>TEXT(Table1[[#This Row],[Order Date]], "mmmm")</f>
        <v>June</v>
      </c>
      <c r="E231" s="16">
        <f>Table1[[#This Row],[Order Quantity]]*Table1[[#This Row],[Unit Price]]</f>
        <v>284.69</v>
      </c>
      <c r="F231">
        <v>49</v>
      </c>
      <c r="G231" s="16">
        <v>5.81</v>
      </c>
      <c r="H231" t="s">
        <v>25</v>
      </c>
      <c r="I231" t="s">
        <v>427</v>
      </c>
      <c r="J231" t="s">
        <v>13</v>
      </c>
      <c r="K231" t="s">
        <v>11</v>
      </c>
    </row>
    <row r="232" spans="1:11" x14ac:dyDescent="0.45">
      <c r="A232">
        <v>6788</v>
      </c>
      <c r="B232" s="15">
        <v>44777</v>
      </c>
      <c r="C232" t="str">
        <f>TEXT(Table1[[#This Row],[Order Date]], "yyyy")</f>
        <v>2022</v>
      </c>
      <c r="D232" t="str">
        <f>TEXT(Table1[[#This Row],[Order Date]], "mmmm")</f>
        <v>August</v>
      </c>
      <c r="E232" s="16">
        <f>Table1[[#This Row],[Order Quantity]]*Table1[[#This Row],[Unit Price]]</f>
        <v>120.53999999999999</v>
      </c>
      <c r="F232">
        <v>41</v>
      </c>
      <c r="G232" s="16">
        <v>2.94</v>
      </c>
      <c r="H232" t="s">
        <v>25</v>
      </c>
      <c r="I232" t="s">
        <v>226</v>
      </c>
      <c r="J232" t="s">
        <v>10</v>
      </c>
      <c r="K232" t="s">
        <v>11</v>
      </c>
    </row>
    <row r="233" spans="1:11" x14ac:dyDescent="0.45">
      <c r="A233">
        <v>6791</v>
      </c>
      <c r="B233" s="15">
        <v>44593</v>
      </c>
      <c r="C233" t="str">
        <f>TEXT(Table1[[#This Row],[Order Date]], "yyyy")</f>
        <v>2022</v>
      </c>
      <c r="D233" t="str">
        <f>TEXT(Table1[[#This Row],[Order Date]], "mmmm")</f>
        <v>February</v>
      </c>
      <c r="E233" s="16">
        <f>Table1[[#This Row],[Order Quantity]]*Table1[[#This Row],[Unit Price]]</f>
        <v>727.71999999999991</v>
      </c>
      <c r="F233">
        <v>14</v>
      </c>
      <c r="G233" s="16">
        <v>51.98</v>
      </c>
      <c r="H233" t="s">
        <v>25</v>
      </c>
      <c r="I233" t="s">
        <v>431</v>
      </c>
      <c r="J233" t="s">
        <v>10</v>
      </c>
      <c r="K233" t="s">
        <v>17</v>
      </c>
    </row>
    <row r="234" spans="1:11" x14ac:dyDescent="0.45">
      <c r="A234">
        <v>6854</v>
      </c>
      <c r="B234" s="15">
        <v>43836</v>
      </c>
      <c r="C234" t="str">
        <f>TEXT(Table1[[#This Row],[Order Date]], "yyyy")</f>
        <v>2020</v>
      </c>
      <c r="D234" t="str">
        <f>TEXT(Table1[[#This Row],[Order Date]], "mmmm")</f>
        <v>January</v>
      </c>
      <c r="E234" s="16">
        <f>Table1[[#This Row],[Order Quantity]]*Table1[[#This Row],[Unit Price]]</f>
        <v>7.68</v>
      </c>
      <c r="F234">
        <v>1</v>
      </c>
      <c r="G234" s="16">
        <v>7.68</v>
      </c>
      <c r="H234" t="s">
        <v>25</v>
      </c>
      <c r="I234" t="s">
        <v>434</v>
      </c>
      <c r="J234" t="s">
        <v>23</v>
      </c>
      <c r="K234" t="s">
        <v>11</v>
      </c>
    </row>
    <row r="235" spans="1:11" x14ac:dyDescent="0.45">
      <c r="A235">
        <v>6854</v>
      </c>
      <c r="B235" s="15">
        <v>43836</v>
      </c>
      <c r="C235" t="str">
        <f>TEXT(Table1[[#This Row],[Order Date]], "yyyy")</f>
        <v>2020</v>
      </c>
      <c r="D235" t="str">
        <f>TEXT(Table1[[#This Row],[Order Date]], "mmmm")</f>
        <v>January</v>
      </c>
      <c r="E235" s="16">
        <f>Table1[[#This Row],[Order Quantity]]*Table1[[#This Row],[Unit Price]]</f>
        <v>126.16</v>
      </c>
      <c r="F235">
        <v>19</v>
      </c>
      <c r="G235" s="16">
        <v>6.64</v>
      </c>
      <c r="H235" t="s">
        <v>25</v>
      </c>
      <c r="I235" t="s">
        <v>434</v>
      </c>
      <c r="J235" t="s">
        <v>23</v>
      </c>
      <c r="K235" t="s">
        <v>15</v>
      </c>
    </row>
    <row r="236" spans="1:11" x14ac:dyDescent="0.45">
      <c r="A236">
        <v>6916</v>
      </c>
      <c r="B236" s="15">
        <v>44351</v>
      </c>
      <c r="C236" t="str">
        <f>TEXT(Table1[[#This Row],[Order Date]], "yyyy")</f>
        <v>2021</v>
      </c>
      <c r="D236" t="str">
        <f>TEXT(Table1[[#This Row],[Order Date]], "mmmm")</f>
        <v>June</v>
      </c>
      <c r="E236" s="16">
        <f>Table1[[#This Row],[Order Quantity]]*Table1[[#This Row],[Unit Price]]</f>
        <v>436</v>
      </c>
      <c r="F236">
        <v>40</v>
      </c>
      <c r="G236" s="16">
        <v>10.9</v>
      </c>
      <c r="H236" t="s">
        <v>25</v>
      </c>
      <c r="I236" t="s">
        <v>437</v>
      </c>
      <c r="J236" t="s">
        <v>23</v>
      </c>
      <c r="K236" t="s">
        <v>11</v>
      </c>
    </row>
    <row r="237" spans="1:11" x14ac:dyDescent="0.45">
      <c r="A237">
        <v>6982</v>
      </c>
      <c r="B237" s="15">
        <v>44881</v>
      </c>
      <c r="C237" t="str">
        <f>TEXT(Table1[[#This Row],[Order Date]], "yyyy")</f>
        <v>2022</v>
      </c>
      <c r="D237" t="str">
        <f>TEXT(Table1[[#This Row],[Order Date]], "mmmm")</f>
        <v>November</v>
      </c>
      <c r="E237" s="16">
        <f>Table1[[#This Row],[Order Quantity]]*Table1[[#This Row],[Unit Price]]</f>
        <v>1263.3599999999999</v>
      </c>
      <c r="F237">
        <v>32</v>
      </c>
      <c r="G237" s="16">
        <v>39.479999999999997</v>
      </c>
      <c r="H237" t="s">
        <v>25</v>
      </c>
      <c r="I237" t="s">
        <v>317</v>
      </c>
      <c r="J237" t="s">
        <v>13</v>
      </c>
      <c r="K237" t="s">
        <v>17</v>
      </c>
    </row>
    <row r="238" spans="1:11" x14ac:dyDescent="0.45">
      <c r="A238">
        <v>7015</v>
      </c>
      <c r="B238" s="15">
        <v>44481</v>
      </c>
      <c r="C238" t="str">
        <f>TEXT(Table1[[#This Row],[Order Date]], "yyyy")</f>
        <v>2021</v>
      </c>
      <c r="D238" t="str">
        <f>TEXT(Table1[[#This Row],[Order Date]], "mmmm")</f>
        <v>October</v>
      </c>
      <c r="E238" s="16">
        <f>Table1[[#This Row],[Order Quantity]]*Table1[[#This Row],[Unit Price]]</f>
        <v>8231.58</v>
      </c>
      <c r="F238">
        <v>42</v>
      </c>
      <c r="G238" s="16">
        <v>195.99</v>
      </c>
      <c r="H238" t="s">
        <v>25</v>
      </c>
      <c r="I238" t="s">
        <v>41</v>
      </c>
      <c r="J238" t="s">
        <v>20</v>
      </c>
      <c r="K238" t="s">
        <v>17</v>
      </c>
    </row>
    <row r="239" spans="1:11" x14ac:dyDescent="0.45">
      <c r="A239">
        <v>7078</v>
      </c>
      <c r="B239" s="15">
        <v>44297</v>
      </c>
      <c r="C239" t="str">
        <f>TEXT(Table1[[#This Row],[Order Date]], "yyyy")</f>
        <v>2021</v>
      </c>
      <c r="D239" t="str">
        <f>TEXT(Table1[[#This Row],[Order Date]], "mmmm")</f>
        <v>April</v>
      </c>
      <c r="E239" s="16">
        <f>Table1[[#This Row],[Order Quantity]]*Table1[[#This Row],[Unit Price]]</f>
        <v>36.96</v>
      </c>
      <c r="F239">
        <v>11</v>
      </c>
      <c r="G239" s="16">
        <v>3.36</v>
      </c>
      <c r="H239" t="s">
        <v>25</v>
      </c>
      <c r="I239" t="s">
        <v>57</v>
      </c>
      <c r="J239" t="s">
        <v>13</v>
      </c>
      <c r="K239" t="s">
        <v>11</v>
      </c>
    </row>
    <row r="240" spans="1:11" x14ac:dyDescent="0.45">
      <c r="A240">
        <v>7078</v>
      </c>
      <c r="B240" s="15">
        <v>44297</v>
      </c>
      <c r="C240" t="str">
        <f>TEXT(Table1[[#This Row],[Order Date]], "yyyy")</f>
        <v>2021</v>
      </c>
      <c r="D240" t="str">
        <f>TEXT(Table1[[#This Row],[Order Date]], "mmmm")</f>
        <v>April</v>
      </c>
      <c r="E240" s="16">
        <f>Table1[[#This Row],[Order Quantity]]*Table1[[#This Row],[Unit Price]]</f>
        <v>434.42</v>
      </c>
      <c r="F240">
        <v>29</v>
      </c>
      <c r="G240" s="16">
        <v>14.98</v>
      </c>
      <c r="H240" t="s">
        <v>25</v>
      </c>
      <c r="I240" t="s">
        <v>57</v>
      </c>
      <c r="J240" t="s">
        <v>13</v>
      </c>
      <c r="K240" t="s">
        <v>15</v>
      </c>
    </row>
    <row r="241" spans="1:11" x14ac:dyDescent="0.45">
      <c r="A241">
        <v>3</v>
      </c>
      <c r="B241" s="15">
        <v>44482</v>
      </c>
      <c r="C241" t="str">
        <f>TEXT(Table1[[#This Row],[Order Date]], "yyyy")</f>
        <v>2021</v>
      </c>
      <c r="D241" t="str">
        <f>TEXT(Table1[[#This Row],[Order Date]], "mmmm")</f>
        <v>October</v>
      </c>
      <c r="E241" s="16">
        <f>Table1[[#This Row],[Order Quantity]]*Table1[[#This Row],[Unit Price]]</f>
        <v>233.64</v>
      </c>
      <c r="F241">
        <v>6</v>
      </c>
      <c r="G241" s="16">
        <v>38.94</v>
      </c>
      <c r="H241" t="s">
        <v>8</v>
      </c>
      <c r="I241" t="s">
        <v>9</v>
      </c>
      <c r="J241" t="s">
        <v>10</v>
      </c>
      <c r="K241" t="s">
        <v>11</v>
      </c>
    </row>
    <row r="242" spans="1:11" x14ac:dyDescent="0.45">
      <c r="A242">
        <v>6</v>
      </c>
      <c r="B242" s="15">
        <v>44977</v>
      </c>
      <c r="C242" t="str">
        <f>TEXT(Table1[[#This Row],[Order Date]], "yyyy")</f>
        <v>2023</v>
      </c>
      <c r="D242" t="str">
        <f>TEXT(Table1[[#This Row],[Order Date]], "mmmm")</f>
        <v>February</v>
      </c>
      <c r="E242" s="16">
        <f>Table1[[#This Row],[Order Quantity]]*Table1[[#This Row],[Unit Price]]</f>
        <v>4.16</v>
      </c>
      <c r="F242">
        <v>2</v>
      </c>
      <c r="G242" s="16">
        <v>2.08</v>
      </c>
      <c r="H242" t="s">
        <v>8</v>
      </c>
      <c r="I242" t="s">
        <v>12</v>
      </c>
      <c r="J242" t="s">
        <v>13</v>
      </c>
      <c r="K242" t="s">
        <v>11</v>
      </c>
    </row>
    <row r="243" spans="1:11" x14ac:dyDescent="0.45">
      <c r="A243">
        <v>32</v>
      </c>
      <c r="B243" s="15">
        <v>44757</v>
      </c>
      <c r="C243" t="str">
        <f>TEXT(Table1[[#This Row],[Order Date]], "yyyy")</f>
        <v>2022</v>
      </c>
      <c r="D243" t="str">
        <f>TEXT(Table1[[#This Row],[Order Date]], "mmmm")</f>
        <v>July</v>
      </c>
      <c r="E243" s="16">
        <f>Table1[[#This Row],[Order Quantity]]*Table1[[#This Row],[Unit Price]]</f>
        <v>2795.78</v>
      </c>
      <c r="F243">
        <v>26</v>
      </c>
      <c r="G243" s="16">
        <v>107.53</v>
      </c>
      <c r="H243" t="s">
        <v>8</v>
      </c>
      <c r="I243" t="s">
        <v>14</v>
      </c>
      <c r="J243" t="s">
        <v>13</v>
      </c>
      <c r="K243" t="s">
        <v>15</v>
      </c>
    </row>
    <row r="244" spans="1:11" x14ac:dyDescent="0.45">
      <c r="A244">
        <v>32</v>
      </c>
      <c r="B244" s="15">
        <v>44757</v>
      </c>
      <c r="C244" t="str">
        <f>TEXT(Table1[[#This Row],[Order Date]], "yyyy")</f>
        <v>2022</v>
      </c>
      <c r="D244" t="str">
        <f>TEXT(Table1[[#This Row],[Order Date]], "mmmm")</f>
        <v>July</v>
      </c>
      <c r="E244" s="16">
        <f>Table1[[#This Row],[Order Quantity]]*Table1[[#This Row],[Unit Price]]</f>
        <v>183.77</v>
      </c>
      <c r="F244">
        <v>23</v>
      </c>
      <c r="G244" s="16">
        <v>7.99</v>
      </c>
      <c r="H244" t="s">
        <v>8</v>
      </c>
      <c r="I244" t="s">
        <v>14</v>
      </c>
      <c r="J244" t="s">
        <v>13</v>
      </c>
      <c r="K244" t="s">
        <v>17</v>
      </c>
    </row>
    <row r="245" spans="1:11" x14ac:dyDescent="0.45">
      <c r="A245">
        <v>32</v>
      </c>
      <c r="B245" s="15">
        <v>44757</v>
      </c>
      <c r="C245" t="str">
        <f>TEXT(Table1[[#This Row],[Order Date]], "yyyy")</f>
        <v>2022</v>
      </c>
      <c r="D245" t="str">
        <f>TEXT(Table1[[#This Row],[Order Date]], "mmmm")</f>
        <v>July</v>
      </c>
      <c r="E245" s="16">
        <f>Table1[[#This Row],[Order Quantity]]*Table1[[#This Row],[Unit Price]]</f>
        <v>126.9</v>
      </c>
      <c r="F245">
        <v>15</v>
      </c>
      <c r="G245" s="16">
        <v>8.4600000000000009</v>
      </c>
      <c r="H245" t="s">
        <v>8</v>
      </c>
      <c r="I245" t="s">
        <v>14</v>
      </c>
      <c r="J245" t="s">
        <v>13</v>
      </c>
      <c r="K245" t="s">
        <v>17</v>
      </c>
    </row>
    <row r="246" spans="1:11" x14ac:dyDescent="0.45">
      <c r="A246">
        <v>35</v>
      </c>
      <c r="B246" s="15">
        <v>44856</v>
      </c>
      <c r="C246" t="str">
        <f>TEXT(Table1[[#This Row],[Order Date]], "yyyy")</f>
        <v>2022</v>
      </c>
      <c r="D246" t="str">
        <f>TEXT(Table1[[#This Row],[Order Date]], "mmmm")</f>
        <v>October</v>
      </c>
      <c r="E246" s="16">
        <f>Table1[[#This Row],[Order Quantity]]*Table1[[#This Row],[Unit Price]]</f>
        <v>273.29999999999995</v>
      </c>
      <c r="F246">
        <v>30</v>
      </c>
      <c r="G246" s="16">
        <v>9.11</v>
      </c>
      <c r="H246" t="s">
        <v>8</v>
      </c>
      <c r="I246" t="s">
        <v>18</v>
      </c>
      <c r="J246" t="s">
        <v>13</v>
      </c>
      <c r="K246" t="s">
        <v>11</v>
      </c>
    </row>
    <row r="247" spans="1:11" x14ac:dyDescent="0.45">
      <c r="A247">
        <v>35</v>
      </c>
      <c r="B247" s="15">
        <v>44856</v>
      </c>
      <c r="C247" t="str">
        <f>TEXT(Table1[[#This Row],[Order Date]], "yyyy")</f>
        <v>2022</v>
      </c>
      <c r="D247" t="str">
        <f>TEXT(Table1[[#This Row],[Order Date]], "mmmm")</f>
        <v>October</v>
      </c>
      <c r="E247" s="16">
        <f>Table1[[#This Row],[Order Quantity]]*Table1[[#This Row],[Unit Price]]</f>
        <v>2183.86</v>
      </c>
      <c r="F247">
        <v>14</v>
      </c>
      <c r="G247" s="16">
        <v>155.99</v>
      </c>
      <c r="H247" t="s">
        <v>8</v>
      </c>
      <c r="I247" t="s">
        <v>18</v>
      </c>
      <c r="J247" t="s">
        <v>13</v>
      </c>
      <c r="K247" t="s">
        <v>17</v>
      </c>
    </row>
    <row r="248" spans="1:11" x14ac:dyDescent="0.45">
      <c r="A248">
        <v>36</v>
      </c>
      <c r="B248" s="15">
        <v>44867</v>
      </c>
      <c r="C248" t="str">
        <f>TEXT(Table1[[#This Row],[Order Date]], "yyyy")</f>
        <v>2022</v>
      </c>
      <c r="D248" t="str">
        <f>TEXT(Table1[[#This Row],[Order Date]], "mmmm")</f>
        <v>November</v>
      </c>
      <c r="E248" s="16">
        <f>Table1[[#This Row],[Order Quantity]]*Table1[[#This Row],[Unit Price]]</f>
        <v>3035.54</v>
      </c>
      <c r="F248">
        <v>46</v>
      </c>
      <c r="G248" s="16">
        <v>65.989999999999995</v>
      </c>
      <c r="H248" t="s">
        <v>8</v>
      </c>
      <c r="I248" t="s">
        <v>19</v>
      </c>
      <c r="J248" t="s">
        <v>20</v>
      </c>
      <c r="K248" t="s">
        <v>17</v>
      </c>
    </row>
    <row r="249" spans="1:11" x14ac:dyDescent="0.45">
      <c r="A249">
        <v>65</v>
      </c>
      <c r="B249" s="15">
        <v>44637</v>
      </c>
      <c r="C249" t="str">
        <f>TEXT(Table1[[#This Row],[Order Date]], "yyyy")</f>
        <v>2022</v>
      </c>
      <c r="D249" t="str">
        <f>TEXT(Table1[[#This Row],[Order Date]], "mmmm")</f>
        <v>March</v>
      </c>
      <c r="E249" s="16">
        <f>Table1[[#This Row],[Order Quantity]]*Table1[[#This Row],[Unit Price]]</f>
        <v>3705.28</v>
      </c>
      <c r="F249">
        <v>32</v>
      </c>
      <c r="G249" s="16">
        <v>115.79</v>
      </c>
      <c r="H249" t="s">
        <v>8</v>
      </c>
      <c r="I249" t="s">
        <v>21</v>
      </c>
      <c r="J249" t="s">
        <v>13</v>
      </c>
      <c r="K249" t="s">
        <v>17</v>
      </c>
    </row>
    <row r="250" spans="1:11" x14ac:dyDescent="0.45">
      <c r="A250">
        <v>32</v>
      </c>
      <c r="B250" s="15">
        <v>43661</v>
      </c>
      <c r="C250" t="str">
        <f>TEXT(Table1[[#This Row],[Order Date]], "yyyy")</f>
        <v>2019</v>
      </c>
      <c r="D250" t="str">
        <f>TEXT(Table1[[#This Row],[Order Date]], "mmmm")</f>
        <v>July</v>
      </c>
      <c r="E250" s="16">
        <f>Table1[[#This Row],[Order Quantity]]*Table1[[#This Row],[Unit Price]]</f>
        <v>2795.78</v>
      </c>
      <c r="F250">
        <v>26</v>
      </c>
      <c r="G250" s="16">
        <v>107.53</v>
      </c>
      <c r="H250" t="s">
        <v>8</v>
      </c>
      <c r="I250" t="s">
        <v>14</v>
      </c>
      <c r="J250" t="s">
        <v>13</v>
      </c>
      <c r="K250" t="s">
        <v>15</v>
      </c>
    </row>
    <row r="251" spans="1:11" x14ac:dyDescent="0.45">
      <c r="A251">
        <v>32</v>
      </c>
      <c r="B251" s="15">
        <v>43661</v>
      </c>
      <c r="C251" t="str">
        <f>TEXT(Table1[[#This Row],[Order Date]], "yyyy")</f>
        <v>2019</v>
      </c>
      <c r="D251" t="str">
        <f>TEXT(Table1[[#This Row],[Order Date]], "mmmm")</f>
        <v>July</v>
      </c>
      <c r="E251" s="16">
        <f>Table1[[#This Row],[Order Quantity]]*Table1[[#This Row],[Unit Price]]</f>
        <v>183.77</v>
      </c>
      <c r="F251">
        <v>23</v>
      </c>
      <c r="G251" s="16">
        <v>7.99</v>
      </c>
      <c r="H251" t="s">
        <v>8</v>
      </c>
      <c r="I251" t="s">
        <v>14</v>
      </c>
      <c r="J251" t="s">
        <v>13</v>
      </c>
      <c r="K251" t="s">
        <v>17</v>
      </c>
    </row>
    <row r="252" spans="1:11" x14ac:dyDescent="0.45">
      <c r="A252">
        <v>32</v>
      </c>
      <c r="B252" s="15">
        <v>43661</v>
      </c>
      <c r="C252" t="str">
        <f>TEXT(Table1[[#This Row],[Order Date]], "yyyy")</f>
        <v>2019</v>
      </c>
      <c r="D252" t="str">
        <f>TEXT(Table1[[#This Row],[Order Date]], "mmmm")</f>
        <v>July</v>
      </c>
      <c r="E252" s="16">
        <f>Table1[[#This Row],[Order Quantity]]*Table1[[#This Row],[Unit Price]]</f>
        <v>126.9</v>
      </c>
      <c r="F252">
        <v>15</v>
      </c>
      <c r="G252" s="16">
        <v>8.4600000000000009</v>
      </c>
      <c r="H252" t="s">
        <v>8</v>
      </c>
      <c r="I252" t="s">
        <v>14</v>
      </c>
      <c r="J252" t="s">
        <v>13</v>
      </c>
      <c r="K252" t="s">
        <v>17</v>
      </c>
    </row>
    <row r="253" spans="1:11" x14ac:dyDescent="0.45">
      <c r="A253">
        <v>35</v>
      </c>
      <c r="B253" s="15">
        <v>43760</v>
      </c>
      <c r="C253" t="str">
        <f>TEXT(Table1[[#This Row],[Order Date]], "yyyy")</f>
        <v>2019</v>
      </c>
      <c r="D253" t="str">
        <f>TEXT(Table1[[#This Row],[Order Date]], "mmmm")</f>
        <v>October</v>
      </c>
      <c r="E253" s="16">
        <f>Table1[[#This Row],[Order Quantity]]*Table1[[#This Row],[Unit Price]]</f>
        <v>273.29999999999995</v>
      </c>
      <c r="F253">
        <v>30</v>
      </c>
      <c r="G253" s="16">
        <v>9.11</v>
      </c>
      <c r="H253" t="s">
        <v>8</v>
      </c>
      <c r="I253" t="s">
        <v>18</v>
      </c>
      <c r="J253" t="s">
        <v>13</v>
      </c>
      <c r="K253" t="s">
        <v>11</v>
      </c>
    </row>
    <row r="254" spans="1:11" x14ac:dyDescent="0.45">
      <c r="A254">
        <v>35</v>
      </c>
      <c r="B254" s="15">
        <v>43760</v>
      </c>
      <c r="C254" t="str">
        <f>TEXT(Table1[[#This Row],[Order Date]], "yyyy")</f>
        <v>2019</v>
      </c>
      <c r="D254" t="str">
        <f>TEXT(Table1[[#This Row],[Order Date]], "mmmm")</f>
        <v>October</v>
      </c>
      <c r="E254" s="16">
        <f>Table1[[#This Row],[Order Quantity]]*Table1[[#This Row],[Unit Price]]</f>
        <v>2183.86</v>
      </c>
      <c r="F254">
        <v>14</v>
      </c>
      <c r="G254" s="16">
        <v>155.99</v>
      </c>
      <c r="H254" t="s">
        <v>8</v>
      </c>
      <c r="I254" t="s">
        <v>18</v>
      </c>
      <c r="J254" t="s">
        <v>13</v>
      </c>
      <c r="K254" t="s">
        <v>17</v>
      </c>
    </row>
    <row r="255" spans="1:11" x14ac:dyDescent="0.45">
      <c r="A255">
        <v>36</v>
      </c>
      <c r="B255" s="15">
        <v>43760</v>
      </c>
      <c r="C255" t="str">
        <f>TEXT(Table1[[#This Row],[Order Date]], "yyyy")</f>
        <v>2019</v>
      </c>
      <c r="D255" t="str">
        <f>TEXT(Table1[[#This Row],[Order Date]], "mmmm")</f>
        <v>October</v>
      </c>
      <c r="E255" s="16">
        <f>Table1[[#This Row],[Order Quantity]]*Table1[[#This Row],[Unit Price]]</f>
        <v>3035.54</v>
      </c>
      <c r="F255">
        <v>46</v>
      </c>
      <c r="G255" s="16">
        <v>65.989999999999995</v>
      </c>
      <c r="H255" t="s">
        <v>8</v>
      </c>
      <c r="I255" t="s">
        <v>19</v>
      </c>
      <c r="J255" t="s">
        <v>20</v>
      </c>
      <c r="K255" t="s">
        <v>17</v>
      </c>
    </row>
    <row r="256" spans="1:11" x14ac:dyDescent="0.45">
      <c r="A256">
        <v>65</v>
      </c>
      <c r="B256" s="15">
        <v>43760</v>
      </c>
      <c r="C256" t="str">
        <f>TEXT(Table1[[#This Row],[Order Date]], "yyyy")</f>
        <v>2019</v>
      </c>
      <c r="D256" t="str">
        <f>TEXT(Table1[[#This Row],[Order Date]], "mmmm")</f>
        <v>October</v>
      </c>
      <c r="E256" s="16">
        <f>Table1[[#This Row],[Order Quantity]]*Table1[[#This Row],[Unit Price]]</f>
        <v>3705.28</v>
      </c>
      <c r="F256">
        <v>32</v>
      </c>
      <c r="G256" s="16">
        <v>115.79</v>
      </c>
      <c r="H256" t="s">
        <v>8</v>
      </c>
      <c r="I256" t="s">
        <v>21</v>
      </c>
      <c r="J256" t="s">
        <v>13</v>
      </c>
      <c r="K256" t="s">
        <v>17</v>
      </c>
    </row>
    <row r="257" spans="1:11" x14ac:dyDescent="0.45">
      <c r="A257">
        <v>66</v>
      </c>
      <c r="B257" s="15">
        <v>43849</v>
      </c>
      <c r="C257" t="str">
        <f>TEXT(Table1[[#This Row],[Order Date]], "yyyy")</f>
        <v>2020</v>
      </c>
      <c r="D257" t="str">
        <f>TEXT(Table1[[#This Row],[Order Date]], "mmmm")</f>
        <v>January</v>
      </c>
      <c r="E257" s="16">
        <f>Table1[[#This Row],[Order Quantity]]*Table1[[#This Row],[Unit Price]]</f>
        <v>118.08</v>
      </c>
      <c r="F257">
        <v>41</v>
      </c>
      <c r="G257" s="16">
        <v>2.88</v>
      </c>
      <c r="H257" t="s">
        <v>8</v>
      </c>
      <c r="I257" t="s">
        <v>22</v>
      </c>
      <c r="J257" t="s">
        <v>23</v>
      </c>
      <c r="K257" t="s">
        <v>11</v>
      </c>
    </row>
    <row r="258" spans="1:11" x14ac:dyDescent="0.45">
      <c r="A258">
        <v>69</v>
      </c>
      <c r="B258" s="15">
        <v>43985</v>
      </c>
      <c r="C258" t="str">
        <f>TEXT(Table1[[#This Row],[Order Date]], "yyyy")</f>
        <v>2020</v>
      </c>
      <c r="D258" t="str">
        <f>TEXT(Table1[[#This Row],[Order Date]], "mmmm")</f>
        <v>June</v>
      </c>
      <c r="E258" s="16">
        <f>Table1[[#This Row],[Order Quantity]]*Table1[[#This Row],[Unit Price]]</f>
        <v>1299.06</v>
      </c>
      <c r="F258">
        <v>42</v>
      </c>
      <c r="G258" s="16">
        <v>30.93</v>
      </c>
      <c r="H258" t="s">
        <v>8</v>
      </c>
      <c r="I258" t="s">
        <v>24</v>
      </c>
      <c r="J258" t="s">
        <v>13</v>
      </c>
      <c r="K258" t="s">
        <v>15</v>
      </c>
    </row>
    <row r="259" spans="1:11" x14ac:dyDescent="0.45">
      <c r="A259">
        <v>70</v>
      </c>
      <c r="B259" s="15">
        <v>44547</v>
      </c>
      <c r="C259" t="str">
        <f>TEXT(Table1[[#This Row],[Order Date]], "yyyy")</f>
        <v>2021</v>
      </c>
      <c r="D259" t="str">
        <f>TEXT(Table1[[#This Row],[Order Date]], "mmmm")</f>
        <v>December</v>
      </c>
      <c r="E259" s="16">
        <f>Table1[[#This Row],[Order Quantity]]*Table1[[#This Row],[Unit Price]]</f>
        <v>89.28</v>
      </c>
      <c r="F259">
        <v>48</v>
      </c>
      <c r="G259" s="16">
        <v>1.86</v>
      </c>
      <c r="H259" t="s">
        <v>8</v>
      </c>
      <c r="I259" t="s">
        <v>26</v>
      </c>
      <c r="J259" t="s">
        <v>20</v>
      </c>
      <c r="K259" t="s">
        <v>11</v>
      </c>
    </row>
    <row r="260" spans="1:11" x14ac:dyDescent="0.45">
      <c r="A260">
        <v>70</v>
      </c>
      <c r="B260" s="15">
        <v>44547</v>
      </c>
      <c r="C260" t="str">
        <f>TEXT(Table1[[#This Row],[Order Date]], "yyyy")</f>
        <v>2021</v>
      </c>
      <c r="D260" t="str">
        <f>TEXT(Table1[[#This Row],[Order Date]], "mmmm")</f>
        <v>December</v>
      </c>
      <c r="E260" s="16">
        <f>Table1[[#This Row],[Order Quantity]]*Table1[[#This Row],[Unit Price]]</f>
        <v>9475.5400000000009</v>
      </c>
      <c r="F260">
        <v>46</v>
      </c>
      <c r="G260" s="16">
        <v>205.99</v>
      </c>
      <c r="H260" t="s">
        <v>8</v>
      </c>
      <c r="I260" t="s">
        <v>26</v>
      </c>
      <c r="J260" t="s">
        <v>20</v>
      </c>
      <c r="K260" t="s">
        <v>17</v>
      </c>
    </row>
    <row r="261" spans="1:11" x14ac:dyDescent="0.45">
      <c r="A261">
        <v>96</v>
      </c>
      <c r="B261" s="15">
        <v>43937</v>
      </c>
      <c r="C261" t="str">
        <f>TEXT(Table1[[#This Row],[Order Date]], "yyyy")</f>
        <v>2020</v>
      </c>
      <c r="D261" t="str">
        <f>TEXT(Table1[[#This Row],[Order Date]], "mmmm")</f>
        <v>April</v>
      </c>
      <c r="E261" s="16">
        <f>Table1[[#This Row],[Order Quantity]]*Table1[[#This Row],[Unit Price]]</f>
        <v>4661.63</v>
      </c>
      <c r="F261">
        <v>37</v>
      </c>
      <c r="G261" s="16">
        <v>125.99</v>
      </c>
      <c r="H261" t="s">
        <v>8</v>
      </c>
      <c r="I261" t="s">
        <v>27</v>
      </c>
      <c r="J261" t="s">
        <v>20</v>
      </c>
      <c r="K261" t="s">
        <v>17</v>
      </c>
    </row>
    <row r="262" spans="1:11" x14ac:dyDescent="0.45">
      <c r="A262">
        <v>97</v>
      </c>
      <c r="B262" s="15">
        <v>44224</v>
      </c>
      <c r="C262" t="str">
        <f>TEXT(Table1[[#This Row],[Order Date]], "yyyy")</f>
        <v>2021</v>
      </c>
      <c r="D262" t="str">
        <f>TEXT(Table1[[#This Row],[Order Date]], "mmmm")</f>
        <v>January</v>
      </c>
      <c r="E262" s="16">
        <f>Table1[[#This Row],[Order Quantity]]*Table1[[#This Row],[Unit Price]]</f>
        <v>75.14</v>
      </c>
      <c r="F262">
        <v>26</v>
      </c>
      <c r="G262" s="16">
        <v>2.89</v>
      </c>
      <c r="H262" t="s">
        <v>8</v>
      </c>
      <c r="I262" t="s">
        <v>28</v>
      </c>
      <c r="J262" t="s">
        <v>23</v>
      </c>
      <c r="K262" t="s">
        <v>11</v>
      </c>
    </row>
    <row r="263" spans="1:11" x14ac:dyDescent="0.45">
      <c r="A263">
        <v>129</v>
      </c>
      <c r="B263" s="15">
        <v>45248</v>
      </c>
      <c r="C263" t="str">
        <f>TEXT(Table1[[#This Row],[Order Date]], "yyyy")</f>
        <v>2023</v>
      </c>
      <c r="D263" t="str">
        <f>TEXT(Table1[[#This Row],[Order Date]], "mmmm")</f>
        <v>November</v>
      </c>
      <c r="E263" s="16">
        <f>Table1[[#This Row],[Order Quantity]]*Table1[[#This Row],[Unit Price]]</f>
        <v>25.92</v>
      </c>
      <c r="F263">
        <v>4</v>
      </c>
      <c r="G263" s="16">
        <v>6.48</v>
      </c>
      <c r="H263" t="s">
        <v>8</v>
      </c>
      <c r="I263" t="s">
        <v>29</v>
      </c>
      <c r="J263" t="s">
        <v>13</v>
      </c>
      <c r="K263" t="s">
        <v>11</v>
      </c>
    </row>
    <row r="264" spans="1:11" x14ac:dyDescent="0.45">
      <c r="A264">
        <v>130</v>
      </c>
      <c r="B264" s="15">
        <v>45053</v>
      </c>
      <c r="C264" t="str">
        <f>TEXT(Table1[[#This Row],[Order Date]], "yyyy")</f>
        <v>2023</v>
      </c>
      <c r="D264" t="str">
        <f>TEXT(Table1[[#This Row],[Order Date]], "mmmm")</f>
        <v>May</v>
      </c>
      <c r="E264" s="16">
        <f>Table1[[#This Row],[Order Quantity]]*Table1[[#This Row],[Unit Price]]</f>
        <v>550.13</v>
      </c>
      <c r="F264">
        <v>29</v>
      </c>
      <c r="G264" s="16">
        <v>18.97</v>
      </c>
      <c r="H264" t="s">
        <v>8</v>
      </c>
      <c r="I264" t="s">
        <v>30</v>
      </c>
      <c r="J264" t="s">
        <v>13</v>
      </c>
      <c r="K264" t="s">
        <v>11</v>
      </c>
    </row>
    <row r="265" spans="1:11" x14ac:dyDescent="0.45">
      <c r="A265">
        <v>130</v>
      </c>
      <c r="B265" s="15">
        <v>45053</v>
      </c>
      <c r="C265" t="str">
        <f>TEXT(Table1[[#This Row],[Order Date]], "yyyy")</f>
        <v>2023</v>
      </c>
      <c r="D265" t="str">
        <f>TEXT(Table1[[#This Row],[Order Date]], "mmmm")</f>
        <v>May</v>
      </c>
      <c r="E265" s="16">
        <f>Table1[[#This Row],[Order Quantity]]*Table1[[#This Row],[Unit Price]]</f>
        <v>223.33</v>
      </c>
      <c r="F265">
        <v>23</v>
      </c>
      <c r="G265" s="16">
        <v>9.7100000000000009</v>
      </c>
      <c r="H265" t="s">
        <v>8</v>
      </c>
      <c r="I265" t="s">
        <v>30</v>
      </c>
      <c r="J265" t="s">
        <v>13</v>
      </c>
      <c r="K265" t="s">
        <v>11</v>
      </c>
    </row>
    <row r="266" spans="1:11" x14ac:dyDescent="0.45">
      <c r="A266">
        <v>132</v>
      </c>
      <c r="B266" s="15">
        <v>44357</v>
      </c>
      <c r="C266" t="str">
        <f>TEXT(Table1[[#This Row],[Order Date]], "yyyy")</f>
        <v>2021</v>
      </c>
      <c r="D266" t="str">
        <f>TEXT(Table1[[#This Row],[Order Date]], "mmmm")</f>
        <v>June</v>
      </c>
      <c r="E266" s="16">
        <f>Table1[[#This Row],[Order Quantity]]*Table1[[#This Row],[Unit Price]]</f>
        <v>215.73000000000002</v>
      </c>
      <c r="F266">
        <v>27</v>
      </c>
      <c r="G266" s="16">
        <v>7.99</v>
      </c>
      <c r="H266" t="s">
        <v>8</v>
      </c>
      <c r="I266" t="s">
        <v>31</v>
      </c>
      <c r="J266" t="s">
        <v>23</v>
      </c>
      <c r="K266" t="s">
        <v>17</v>
      </c>
    </row>
    <row r="267" spans="1:11" x14ac:dyDescent="0.45">
      <c r="A267">
        <v>134</v>
      </c>
      <c r="B267" s="15">
        <v>45046</v>
      </c>
      <c r="C267" t="str">
        <f>TEXT(Table1[[#This Row],[Order Date]], "yyyy")</f>
        <v>2023</v>
      </c>
      <c r="D267" t="str">
        <f>TEXT(Table1[[#This Row],[Order Date]], "mmmm")</f>
        <v>April</v>
      </c>
      <c r="E267" s="16">
        <f>Table1[[#This Row],[Order Quantity]]*Table1[[#This Row],[Unit Price]]</f>
        <v>1055.8899999999999</v>
      </c>
      <c r="F267">
        <v>11</v>
      </c>
      <c r="G267" s="16">
        <v>95.99</v>
      </c>
      <c r="H267" t="s">
        <v>8</v>
      </c>
      <c r="I267" t="s">
        <v>32</v>
      </c>
      <c r="J267" t="s">
        <v>20</v>
      </c>
      <c r="K267" t="s">
        <v>11</v>
      </c>
    </row>
    <row r="268" spans="1:11" x14ac:dyDescent="0.45">
      <c r="A268">
        <v>135</v>
      </c>
      <c r="B268" s="15">
        <v>44854</v>
      </c>
      <c r="C268" t="str">
        <f>TEXT(Table1[[#This Row],[Order Date]], "yyyy")</f>
        <v>2022</v>
      </c>
      <c r="D268" t="str">
        <f>TEXT(Table1[[#This Row],[Order Date]], "mmmm")</f>
        <v>October</v>
      </c>
      <c r="E268" s="16">
        <f>Table1[[#This Row],[Order Quantity]]*Table1[[#This Row],[Unit Price]]</f>
        <v>124.50000000000001</v>
      </c>
      <c r="F268">
        <v>25</v>
      </c>
      <c r="G268" s="16">
        <v>4.9800000000000004</v>
      </c>
      <c r="H268" t="s">
        <v>8</v>
      </c>
      <c r="I268" t="s">
        <v>33</v>
      </c>
      <c r="J268" t="s">
        <v>23</v>
      </c>
      <c r="K268" t="s">
        <v>17</v>
      </c>
    </row>
    <row r="269" spans="1:11" x14ac:dyDescent="0.45">
      <c r="A269">
        <v>193</v>
      </c>
      <c r="B269" s="15">
        <v>44415</v>
      </c>
      <c r="C269" t="str">
        <f>TEXT(Table1[[#This Row],[Order Date]], "yyyy")</f>
        <v>2021</v>
      </c>
      <c r="D269" t="str">
        <f>TEXT(Table1[[#This Row],[Order Date]], "mmmm")</f>
        <v>August</v>
      </c>
      <c r="E269" s="16">
        <f>Table1[[#This Row],[Order Quantity]]*Table1[[#This Row],[Unit Price]]</f>
        <v>174.16</v>
      </c>
      <c r="F269">
        <v>14</v>
      </c>
      <c r="G269" s="16">
        <v>12.44</v>
      </c>
      <c r="H269" t="s">
        <v>8</v>
      </c>
      <c r="I269" t="s">
        <v>35</v>
      </c>
      <c r="J269" t="s">
        <v>23</v>
      </c>
      <c r="K269" t="s">
        <v>11</v>
      </c>
    </row>
    <row r="270" spans="1:11" x14ac:dyDescent="0.45">
      <c r="A270">
        <v>194</v>
      </c>
      <c r="B270" s="15">
        <v>45020</v>
      </c>
      <c r="C270" t="str">
        <f>TEXT(Table1[[#This Row],[Order Date]], "yyyy")</f>
        <v>2023</v>
      </c>
      <c r="D270" t="str">
        <f>TEXT(Table1[[#This Row],[Order Date]], "mmmm")</f>
        <v>April</v>
      </c>
      <c r="E270" s="16">
        <f>Table1[[#This Row],[Order Quantity]]*Table1[[#This Row],[Unit Price]]</f>
        <v>356.72</v>
      </c>
      <c r="F270">
        <v>49</v>
      </c>
      <c r="G270" s="16">
        <v>7.28</v>
      </c>
      <c r="H270" t="s">
        <v>8</v>
      </c>
      <c r="I270" t="s">
        <v>36</v>
      </c>
      <c r="J270" t="s">
        <v>13</v>
      </c>
      <c r="K270" t="s">
        <v>15</v>
      </c>
    </row>
    <row r="271" spans="1:11" x14ac:dyDescent="0.45">
      <c r="A271">
        <v>194</v>
      </c>
      <c r="B271" s="15">
        <v>45020</v>
      </c>
      <c r="C271" t="str">
        <f>TEXT(Table1[[#This Row],[Order Date]], "yyyy")</f>
        <v>2023</v>
      </c>
      <c r="D271" t="str">
        <f>TEXT(Table1[[#This Row],[Order Date]], "mmmm")</f>
        <v>April</v>
      </c>
      <c r="E271" s="16">
        <f>Table1[[#This Row],[Order Quantity]]*Table1[[#This Row],[Unit Price]]</f>
        <v>18.84</v>
      </c>
      <c r="F271">
        <v>6</v>
      </c>
      <c r="G271" s="16">
        <v>3.14</v>
      </c>
      <c r="H271" t="s">
        <v>8</v>
      </c>
      <c r="I271" t="s">
        <v>36</v>
      </c>
      <c r="J271" t="s">
        <v>13</v>
      </c>
      <c r="K271" t="s">
        <v>11</v>
      </c>
    </row>
    <row r="272" spans="1:11" x14ac:dyDescent="0.45">
      <c r="A272">
        <v>195</v>
      </c>
      <c r="B272" s="15">
        <v>44557</v>
      </c>
      <c r="C272" t="str">
        <f>TEXT(Table1[[#This Row],[Order Date]], "yyyy")</f>
        <v>2021</v>
      </c>
      <c r="D272" t="str">
        <f>TEXT(Table1[[#This Row],[Order Date]], "mmmm")</f>
        <v>December</v>
      </c>
      <c r="E272" s="16">
        <f>Table1[[#This Row],[Order Quantity]]*Table1[[#This Row],[Unit Price]]</f>
        <v>1242.6999999999998</v>
      </c>
      <c r="F272">
        <v>34</v>
      </c>
      <c r="G272" s="16">
        <v>36.549999999999997</v>
      </c>
      <c r="H272" t="s">
        <v>8</v>
      </c>
      <c r="I272" t="s">
        <v>37</v>
      </c>
      <c r="J272" t="s">
        <v>20</v>
      </c>
      <c r="K272" t="s">
        <v>11</v>
      </c>
    </row>
    <row r="273" spans="1:11" x14ac:dyDescent="0.45">
      <c r="A273">
        <v>197</v>
      </c>
      <c r="B273" s="15">
        <v>44657</v>
      </c>
      <c r="C273" t="str">
        <f>TEXT(Table1[[#This Row],[Order Date]], "yyyy")</f>
        <v>2022</v>
      </c>
      <c r="D273" t="str">
        <f>TEXT(Table1[[#This Row],[Order Date]], "mmmm")</f>
        <v>April</v>
      </c>
      <c r="E273" s="16">
        <f>Table1[[#This Row],[Order Quantity]]*Table1[[#This Row],[Unit Price]]</f>
        <v>298.54000000000002</v>
      </c>
      <c r="F273">
        <v>23</v>
      </c>
      <c r="G273" s="16">
        <v>12.98</v>
      </c>
      <c r="H273" t="s">
        <v>8</v>
      </c>
      <c r="I273" t="s">
        <v>38</v>
      </c>
      <c r="J273" t="s">
        <v>20</v>
      </c>
      <c r="K273" t="s">
        <v>11</v>
      </c>
    </row>
    <row r="274" spans="1:11" x14ac:dyDescent="0.45">
      <c r="A274">
        <v>224</v>
      </c>
      <c r="B274" s="15">
        <v>43999</v>
      </c>
      <c r="C274" t="str">
        <f>TEXT(Table1[[#This Row],[Order Date]], "yyyy")</f>
        <v>2020</v>
      </c>
      <c r="D274" t="str">
        <f>TEXT(Table1[[#This Row],[Order Date]], "mmmm")</f>
        <v>June</v>
      </c>
      <c r="E274" s="16">
        <f>Table1[[#This Row],[Order Quantity]]*Table1[[#This Row],[Unit Price]]</f>
        <v>184.5</v>
      </c>
      <c r="F274">
        <v>25</v>
      </c>
      <c r="G274" s="16">
        <v>7.38</v>
      </c>
      <c r="H274" t="s">
        <v>8</v>
      </c>
      <c r="I274" t="s">
        <v>39</v>
      </c>
      <c r="J274" t="s">
        <v>13</v>
      </c>
      <c r="K274" t="s">
        <v>15</v>
      </c>
    </row>
    <row r="275" spans="1:11" x14ac:dyDescent="0.45">
      <c r="A275">
        <v>224</v>
      </c>
      <c r="B275" s="15">
        <v>43999</v>
      </c>
      <c r="C275" t="str">
        <f>TEXT(Table1[[#This Row],[Order Date]], "yyyy")</f>
        <v>2020</v>
      </c>
      <c r="D275" t="str">
        <f>TEXT(Table1[[#This Row],[Order Date]], "mmmm")</f>
        <v>June</v>
      </c>
      <c r="E275" s="16">
        <f>Table1[[#This Row],[Order Quantity]]*Table1[[#This Row],[Unit Price]]</f>
        <v>263.12</v>
      </c>
      <c r="F275">
        <v>44</v>
      </c>
      <c r="G275" s="16">
        <v>5.98</v>
      </c>
      <c r="H275" t="s">
        <v>8</v>
      </c>
      <c r="I275" t="s">
        <v>39</v>
      </c>
      <c r="J275" t="s">
        <v>13</v>
      </c>
      <c r="K275" t="s">
        <v>11</v>
      </c>
    </row>
    <row r="276" spans="1:11" x14ac:dyDescent="0.45">
      <c r="A276">
        <v>224</v>
      </c>
      <c r="B276" s="15">
        <v>43999</v>
      </c>
      <c r="C276" t="str">
        <f>TEXT(Table1[[#This Row],[Order Date]], "yyyy")</f>
        <v>2020</v>
      </c>
      <c r="D276" t="str">
        <f>TEXT(Table1[[#This Row],[Order Date]], "mmmm")</f>
        <v>June</v>
      </c>
      <c r="E276" s="16">
        <f>Table1[[#This Row],[Order Quantity]]*Table1[[#This Row],[Unit Price]]</f>
        <v>508.86</v>
      </c>
      <c r="F276">
        <v>33</v>
      </c>
      <c r="G276" s="16">
        <v>15.42</v>
      </c>
      <c r="H276" t="s">
        <v>8</v>
      </c>
      <c r="I276" t="s">
        <v>39</v>
      </c>
      <c r="J276" t="s">
        <v>13</v>
      </c>
      <c r="K276" t="s">
        <v>11</v>
      </c>
    </row>
    <row r="277" spans="1:11" x14ac:dyDescent="0.45">
      <c r="A277">
        <v>225</v>
      </c>
      <c r="B277" s="15">
        <v>44705</v>
      </c>
      <c r="C277" t="str">
        <f>TEXT(Table1[[#This Row],[Order Date]], "yyyy")</f>
        <v>2022</v>
      </c>
      <c r="D277" t="str">
        <f>TEXT(Table1[[#This Row],[Order Date]], "mmmm")</f>
        <v>May</v>
      </c>
      <c r="E277" s="16">
        <f>Table1[[#This Row],[Order Quantity]]*Table1[[#This Row],[Unit Price]]</f>
        <v>133.92000000000002</v>
      </c>
      <c r="F277">
        <v>24</v>
      </c>
      <c r="G277" s="16">
        <v>5.58</v>
      </c>
      <c r="H277" t="s">
        <v>8</v>
      </c>
      <c r="I277" t="s">
        <v>40</v>
      </c>
      <c r="J277" t="s">
        <v>20</v>
      </c>
      <c r="K277" t="s">
        <v>11</v>
      </c>
    </row>
    <row r="278" spans="1:11" x14ac:dyDescent="0.45">
      <c r="A278">
        <v>225</v>
      </c>
      <c r="B278" s="15">
        <v>44705</v>
      </c>
      <c r="C278" t="str">
        <f>TEXT(Table1[[#This Row],[Order Date]], "yyyy")</f>
        <v>2022</v>
      </c>
      <c r="D278" t="str">
        <f>TEXT(Table1[[#This Row],[Order Date]], "mmmm")</f>
        <v>May</v>
      </c>
      <c r="E278" s="16">
        <f>Table1[[#This Row],[Order Quantity]]*Table1[[#This Row],[Unit Price]]</f>
        <v>19.84</v>
      </c>
      <c r="F278">
        <v>1</v>
      </c>
      <c r="G278" s="16">
        <v>19.84</v>
      </c>
      <c r="H278" t="s">
        <v>8</v>
      </c>
      <c r="I278" t="s">
        <v>40</v>
      </c>
      <c r="J278" t="s">
        <v>20</v>
      </c>
      <c r="K278" t="s">
        <v>11</v>
      </c>
    </row>
    <row r="279" spans="1:11" x14ac:dyDescent="0.45">
      <c r="A279">
        <v>229</v>
      </c>
      <c r="B279" s="15">
        <v>44558</v>
      </c>
      <c r="C279" t="str">
        <f>TEXT(Table1[[#This Row],[Order Date]], "yyyy")</f>
        <v>2021</v>
      </c>
      <c r="D279" t="str">
        <f>TEXT(Table1[[#This Row],[Order Date]], "mmmm")</f>
        <v>December</v>
      </c>
      <c r="E279" s="16">
        <f>Table1[[#This Row],[Order Quantity]]*Table1[[#This Row],[Unit Price]]</f>
        <v>543.52</v>
      </c>
      <c r="F279">
        <v>43</v>
      </c>
      <c r="G279" s="16">
        <v>12.64</v>
      </c>
      <c r="H279" t="s">
        <v>8</v>
      </c>
      <c r="I279" t="s">
        <v>41</v>
      </c>
      <c r="J279" t="s">
        <v>23</v>
      </c>
      <c r="K279" t="s">
        <v>15</v>
      </c>
    </row>
    <row r="280" spans="1:11" x14ac:dyDescent="0.45">
      <c r="A280">
        <v>229</v>
      </c>
      <c r="B280" s="15">
        <v>44558</v>
      </c>
      <c r="C280" t="str">
        <f>TEXT(Table1[[#This Row],[Order Date]], "yyyy")</f>
        <v>2021</v>
      </c>
      <c r="D280" t="str">
        <f>TEXT(Table1[[#This Row],[Order Date]], "mmmm")</f>
        <v>December</v>
      </c>
      <c r="E280" s="16">
        <f>Table1[[#This Row],[Order Quantity]]*Table1[[#This Row],[Unit Price]]</f>
        <v>598.08000000000004</v>
      </c>
      <c r="F280">
        <v>24</v>
      </c>
      <c r="G280" s="16">
        <v>24.92</v>
      </c>
      <c r="H280" t="s">
        <v>8</v>
      </c>
      <c r="I280" t="s">
        <v>42</v>
      </c>
      <c r="J280" t="s">
        <v>23</v>
      </c>
      <c r="K280" t="s">
        <v>11</v>
      </c>
    </row>
    <row r="281" spans="1:11" x14ac:dyDescent="0.45">
      <c r="A281">
        <v>230</v>
      </c>
      <c r="B281" s="15">
        <v>44495</v>
      </c>
      <c r="C281" t="str">
        <f>TEXT(Table1[[#This Row],[Order Date]], "yyyy")</f>
        <v>2021</v>
      </c>
      <c r="D281" t="str">
        <f>TEXT(Table1[[#This Row],[Order Date]], "mmmm")</f>
        <v>October</v>
      </c>
      <c r="E281" s="16">
        <f>Table1[[#This Row],[Order Quantity]]*Table1[[#This Row],[Unit Price]]</f>
        <v>2067.06</v>
      </c>
      <c r="F281">
        <v>47</v>
      </c>
      <c r="G281" s="16">
        <v>43.98</v>
      </c>
      <c r="H281" t="s">
        <v>8</v>
      </c>
      <c r="I281" t="s">
        <v>43</v>
      </c>
      <c r="J281" t="s">
        <v>13</v>
      </c>
      <c r="K281" t="s">
        <v>11</v>
      </c>
    </row>
    <row r="282" spans="1:11" x14ac:dyDescent="0.45">
      <c r="A282">
        <v>230</v>
      </c>
      <c r="B282" s="15">
        <v>44495</v>
      </c>
      <c r="C282" t="str">
        <f>TEXT(Table1[[#This Row],[Order Date]], "yyyy")</f>
        <v>2021</v>
      </c>
      <c r="D282" t="str">
        <f>TEXT(Table1[[#This Row],[Order Date]], "mmmm")</f>
        <v>October</v>
      </c>
      <c r="E282" s="16">
        <f>Table1[[#This Row],[Order Quantity]]*Table1[[#This Row],[Unit Price]]</f>
        <v>1385.8899999999999</v>
      </c>
      <c r="F282">
        <v>11</v>
      </c>
      <c r="G282" s="16">
        <v>125.99</v>
      </c>
      <c r="H282" t="s">
        <v>8</v>
      </c>
      <c r="I282" t="s">
        <v>43</v>
      </c>
      <c r="J282" t="s">
        <v>13</v>
      </c>
      <c r="K282" t="s">
        <v>17</v>
      </c>
    </row>
    <row r="283" spans="1:11" x14ac:dyDescent="0.45">
      <c r="A283">
        <v>231</v>
      </c>
      <c r="B283" s="15">
        <v>44102</v>
      </c>
      <c r="C283" t="str">
        <f>TEXT(Table1[[#This Row],[Order Date]], "yyyy")</f>
        <v>2020</v>
      </c>
      <c r="D283" t="str">
        <f>TEXT(Table1[[#This Row],[Order Date]], "mmmm")</f>
        <v>September</v>
      </c>
      <c r="E283" s="16">
        <f>Table1[[#This Row],[Order Quantity]]*Table1[[#This Row],[Unit Price]]</f>
        <v>726.5</v>
      </c>
      <c r="F283">
        <v>2</v>
      </c>
      <c r="G283" s="16">
        <v>363.25</v>
      </c>
      <c r="H283" t="s">
        <v>8</v>
      </c>
      <c r="I283" t="s">
        <v>44</v>
      </c>
      <c r="J283" t="s">
        <v>10</v>
      </c>
      <c r="K283" t="s">
        <v>11</v>
      </c>
    </row>
    <row r="284" spans="1:11" x14ac:dyDescent="0.45">
      <c r="A284">
        <v>258</v>
      </c>
      <c r="B284" s="15">
        <v>44558</v>
      </c>
      <c r="C284" t="str">
        <f>TEXT(Table1[[#This Row],[Order Date]], "yyyy")</f>
        <v>2021</v>
      </c>
      <c r="D284" t="str">
        <f>TEXT(Table1[[#This Row],[Order Date]], "mmmm")</f>
        <v>December</v>
      </c>
      <c r="E284" s="16">
        <f>Table1[[#This Row],[Order Quantity]]*Table1[[#This Row],[Unit Price]]</f>
        <v>136.08000000000001</v>
      </c>
      <c r="F284">
        <v>21</v>
      </c>
      <c r="G284" s="16">
        <v>6.48</v>
      </c>
      <c r="H284" t="s">
        <v>8</v>
      </c>
      <c r="I284" t="s">
        <v>45</v>
      </c>
      <c r="J284" t="s">
        <v>20</v>
      </c>
      <c r="K284" t="s">
        <v>11</v>
      </c>
    </row>
    <row r="285" spans="1:11" x14ac:dyDescent="0.45">
      <c r="A285">
        <v>258</v>
      </c>
      <c r="B285" s="15">
        <v>44558</v>
      </c>
      <c r="C285" t="str">
        <f>TEXT(Table1[[#This Row],[Order Date]], "yyyy")</f>
        <v>2021</v>
      </c>
      <c r="D285" t="str">
        <f>TEXT(Table1[[#This Row],[Order Date]], "mmmm")</f>
        <v>December</v>
      </c>
      <c r="E285" s="16">
        <f>Table1[[#This Row],[Order Quantity]]*Table1[[#This Row],[Unit Price]]</f>
        <v>215.82</v>
      </c>
      <c r="F285">
        <v>33</v>
      </c>
      <c r="G285" s="16">
        <v>6.54</v>
      </c>
      <c r="H285" t="s">
        <v>8</v>
      </c>
      <c r="I285" t="s">
        <v>45</v>
      </c>
      <c r="J285" t="s">
        <v>20</v>
      </c>
      <c r="K285" t="s">
        <v>11</v>
      </c>
    </row>
    <row r="286" spans="1:11" x14ac:dyDescent="0.45">
      <c r="A286">
        <v>261</v>
      </c>
      <c r="B286" s="15">
        <v>44375</v>
      </c>
      <c r="C286" t="str">
        <f>TEXT(Table1[[#This Row],[Order Date]], "yyyy")</f>
        <v>2021</v>
      </c>
      <c r="D286" t="str">
        <f>TEXT(Table1[[#This Row],[Order Date]], "mmmm")</f>
        <v>June</v>
      </c>
      <c r="E286" s="16">
        <f>Table1[[#This Row],[Order Quantity]]*Table1[[#This Row],[Unit Price]]</f>
        <v>6626.5300000000007</v>
      </c>
      <c r="F286">
        <v>47</v>
      </c>
      <c r="G286" s="16">
        <v>140.99</v>
      </c>
      <c r="H286" t="s">
        <v>8</v>
      </c>
      <c r="I286" t="s">
        <v>46</v>
      </c>
      <c r="J286" t="s">
        <v>10</v>
      </c>
      <c r="K286" t="s">
        <v>17</v>
      </c>
    </row>
    <row r="287" spans="1:11" x14ac:dyDescent="0.45">
      <c r="A287">
        <v>263</v>
      </c>
      <c r="B287" s="15">
        <v>43967</v>
      </c>
      <c r="C287" t="str">
        <f>TEXT(Table1[[#This Row],[Order Date]], "yyyy")</f>
        <v>2020</v>
      </c>
      <c r="D287" t="str">
        <f>TEXT(Table1[[#This Row],[Order Date]], "mmmm")</f>
        <v>May</v>
      </c>
      <c r="E287" s="16">
        <f>Table1[[#This Row],[Order Quantity]]*Table1[[#This Row],[Unit Price]]</f>
        <v>135</v>
      </c>
      <c r="F287">
        <v>25</v>
      </c>
      <c r="G287" s="16">
        <v>5.4</v>
      </c>
      <c r="H287" t="s">
        <v>8</v>
      </c>
      <c r="I287" t="s">
        <v>47</v>
      </c>
      <c r="J287" t="s">
        <v>13</v>
      </c>
      <c r="K287" t="s">
        <v>11</v>
      </c>
    </row>
    <row r="288" spans="1:11" x14ac:dyDescent="0.45">
      <c r="A288">
        <v>290</v>
      </c>
      <c r="B288" s="15">
        <v>43835</v>
      </c>
      <c r="C288" t="str">
        <f>TEXT(Table1[[#This Row],[Order Date]], "yyyy")</f>
        <v>2020</v>
      </c>
      <c r="D288" t="str">
        <f>TEXT(Table1[[#This Row],[Order Date]], "mmmm")</f>
        <v>January</v>
      </c>
      <c r="E288" s="16">
        <f>Table1[[#This Row],[Order Quantity]]*Table1[[#This Row],[Unit Price]]</f>
        <v>183.35999999999999</v>
      </c>
      <c r="F288">
        <v>24</v>
      </c>
      <c r="G288" s="16">
        <v>7.64</v>
      </c>
      <c r="H288" t="s">
        <v>8</v>
      </c>
      <c r="I288" t="s">
        <v>48</v>
      </c>
      <c r="J288" t="s">
        <v>20</v>
      </c>
      <c r="K288" t="s">
        <v>11</v>
      </c>
    </row>
    <row r="289" spans="1:11" x14ac:dyDescent="0.45">
      <c r="A289">
        <v>292</v>
      </c>
      <c r="B289" s="15">
        <v>44938</v>
      </c>
      <c r="C289" t="str">
        <f>TEXT(Table1[[#This Row],[Order Date]], "yyyy")</f>
        <v>2023</v>
      </c>
      <c r="D289" t="str">
        <f>TEXT(Table1[[#This Row],[Order Date]], "mmmm")</f>
        <v>January</v>
      </c>
      <c r="E289" s="16">
        <f>Table1[[#This Row],[Order Quantity]]*Table1[[#This Row],[Unit Price]]</f>
        <v>425.7</v>
      </c>
      <c r="F289">
        <v>43</v>
      </c>
      <c r="G289" s="16">
        <v>9.9</v>
      </c>
      <c r="H289" t="s">
        <v>8</v>
      </c>
      <c r="I289" t="s">
        <v>34</v>
      </c>
      <c r="J289" t="s">
        <v>23</v>
      </c>
      <c r="K289" t="s">
        <v>11</v>
      </c>
    </row>
    <row r="290" spans="1:11" x14ac:dyDescent="0.45">
      <c r="A290">
        <v>293</v>
      </c>
      <c r="B290" s="15">
        <v>45200</v>
      </c>
      <c r="C290" t="str">
        <f>TEXT(Table1[[#This Row],[Order Date]], "yyyy")</f>
        <v>2023</v>
      </c>
      <c r="D290" t="str">
        <f>TEXT(Table1[[#This Row],[Order Date]], "mmmm")</f>
        <v>October</v>
      </c>
      <c r="E290" s="16">
        <f>Table1[[#This Row],[Order Quantity]]*Table1[[#This Row],[Unit Price]]</f>
        <v>234.63</v>
      </c>
      <c r="F290">
        <v>27</v>
      </c>
      <c r="G290" s="16">
        <v>8.69</v>
      </c>
      <c r="H290" t="s">
        <v>8</v>
      </c>
      <c r="I290" t="s">
        <v>49</v>
      </c>
      <c r="J290" t="s">
        <v>23</v>
      </c>
      <c r="K290" t="s">
        <v>11</v>
      </c>
    </row>
    <row r="291" spans="1:11" x14ac:dyDescent="0.45">
      <c r="A291">
        <v>294</v>
      </c>
      <c r="B291" s="15">
        <v>44392</v>
      </c>
      <c r="C291" t="str">
        <f>TEXT(Table1[[#This Row],[Order Date]], "yyyy")</f>
        <v>2021</v>
      </c>
      <c r="D291" t="str">
        <f>TEXT(Table1[[#This Row],[Order Date]], "mmmm")</f>
        <v>July</v>
      </c>
      <c r="E291" s="16">
        <f>Table1[[#This Row],[Order Quantity]]*Table1[[#This Row],[Unit Price]]</f>
        <v>6760.95</v>
      </c>
      <c r="F291">
        <v>35</v>
      </c>
      <c r="G291" s="16">
        <v>193.17</v>
      </c>
      <c r="H291" t="s">
        <v>8</v>
      </c>
      <c r="I291" t="s">
        <v>50</v>
      </c>
      <c r="J291" t="s">
        <v>20</v>
      </c>
      <c r="K291" t="s">
        <v>11</v>
      </c>
    </row>
    <row r="292" spans="1:11" x14ac:dyDescent="0.45">
      <c r="A292">
        <v>322</v>
      </c>
      <c r="B292" s="15">
        <v>45003</v>
      </c>
      <c r="C292" t="str">
        <f>TEXT(Table1[[#This Row],[Order Date]], "yyyy")</f>
        <v>2023</v>
      </c>
      <c r="D292" t="str">
        <f>TEXT(Table1[[#This Row],[Order Date]], "mmmm")</f>
        <v>March</v>
      </c>
      <c r="E292" s="16">
        <f>Table1[[#This Row],[Order Quantity]]*Table1[[#This Row],[Unit Price]]</f>
        <v>3119.8</v>
      </c>
      <c r="F292">
        <v>20</v>
      </c>
      <c r="G292" s="16">
        <v>155.99</v>
      </c>
      <c r="H292" t="s">
        <v>8</v>
      </c>
      <c r="I292" t="s">
        <v>51</v>
      </c>
      <c r="J292" t="s">
        <v>13</v>
      </c>
      <c r="K292" t="s">
        <v>17</v>
      </c>
    </row>
    <row r="293" spans="1:11" x14ac:dyDescent="0.45">
      <c r="A293">
        <v>322</v>
      </c>
      <c r="B293" s="15">
        <v>45003</v>
      </c>
      <c r="C293" t="str">
        <f>TEXT(Table1[[#This Row],[Order Date]], "yyyy")</f>
        <v>2023</v>
      </c>
      <c r="D293" t="str">
        <f>TEXT(Table1[[#This Row],[Order Date]], "mmmm")</f>
        <v>March</v>
      </c>
      <c r="E293" s="16">
        <f>Table1[[#This Row],[Order Quantity]]*Table1[[#This Row],[Unit Price]]</f>
        <v>298.08000000000004</v>
      </c>
      <c r="F293">
        <v>46</v>
      </c>
      <c r="G293" s="16">
        <v>6.48</v>
      </c>
      <c r="H293" t="s">
        <v>8</v>
      </c>
      <c r="I293" t="s">
        <v>51</v>
      </c>
      <c r="J293" t="s">
        <v>13</v>
      </c>
      <c r="K293" t="s">
        <v>11</v>
      </c>
    </row>
    <row r="294" spans="1:11" x14ac:dyDescent="0.45">
      <c r="A294">
        <v>323</v>
      </c>
      <c r="B294" s="15">
        <v>43915</v>
      </c>
      <c r="C294" t="str">
        <f>TEXT(Table1[[#This Row],[Order Date]], "yyyy")</f>
        <v>2020</v>
      </c>
      <c r="D294" t="str">
        <f>TEXT(Table1[[#This Row],[Order Date]], "mmmm")</f>
        <v>March</v>
      </c>
      <c r="E294" s="16">
        <f>Table1[[#This Row],[Order Quantity]]*Table1[[#This Row],[Unit Price]]</f>
        <v>113.6</v>
      </c>
      <c r="F294">
        <v>20</v>
      </c>
      <c r="G294" s="16">
        <v>5.68</v>
      </c>
      <c r="H294" t="s">
        <v>8</v>
      </c>
      <c r="I294" t="s">
        <v>52</v>
      </c>
      <c r="J294" t="s">
        <v>10</v>
      </c>
      <c r="K294" t="s">
        <v>11</v>
      </c>
    </row>
    <row r="295" spans="1:11" x14ac:dyDescent="0.45">
      <c r="A295">
        <v>323</v>
      </c>
      <c r="B295" s="15">
        <v>43915</v>
      </c>
      <c r="C295" t="str">
        <f>TEXT(Table1[[#This Row],[Order Date]], "yyyy")</f>
        <v>2020</v>
      </c>
      <c r="D295" t="str">
        <f>TEXT(Table1[[#This Row],[Order Date]], "mmmm")</f>
        <v>March</v>
      </c>
      <c r="E295" s="16">
        <f>Table1[[#This Row],[Order Quantity]]*Table1[[#This Row],[Unit Price]]</f>
        <v>45.68</v>
      </c>
      <c r="F295">
        <v>2</v>
      </c>
      <c r="G295" s="16">
        <v>22.84</v>
      </c>
      <c r="H295" t="s">
        <v>8</v>
      </c>
      <c r="I295" t="s">
        <v>52</v>
      </c>
      <c r="J295" t="s">
        <v>10</v>
      </c>
      <c r="K295" t="s">
        <v>11</v>
      </c>
    </row>
    <row r="296" spans="1:11" x14ac:dyDescent="0.45">
      <c r="A296">
        <v>324</v>
      </c>
      <c r="B296" s="15">
        <v>45004</v>
      </c>
      <c r="C296" t="str">
        <f>TEXT(Table1[[#This Row],[Order Date]], "yyyy")</f>
        <v>2023</v>
      </c>
      <c r="D296" t="str">
        <f>TEXT(Table1[[#This Row],[Order Date]], "mmmm")</f>
        <v>March</v>
      </c>
      <c r="E296" s="16">
        <f>Table1[[#This Row],[Order Quantity]]*Table1[[#This Row],[Unit Price]]</f>
        <v>4499.75</v>
      </c>
      <c r="F296">
        <v>25</v>
      </c>
      <c r="G296" s="16">
        <v>179.99</v>
      </c>
      <c r="H296" t="s">
        <v>8</v>
      </c>
      <c r="I296" t="s">
        <v>53</v>
      </c>
      <c r="J296" t="s">
        <v>10</v>
      </c>
      <c r="K296" t="s">
        <v>17</v>
      </c>
    </row>
    <row r="297" spans="1:11" x14ac:dyDescent="0.45">
      <c r="A297">
        <v>325</v>
      </c>
      <c r="B297" s="15">
        <v>44485</v>
      </c>
      <c r="C297" t="str">
        <f>TEXT(Table1[[#This Row],[Order Date]], "yyyy")</f>
        <v>2021</v>
      </c>
      <c r="D297" t="str">
        <f>TEXT(Table1[[#This Row],[Order Date]], "mmmm")</f>
        <v>October</v>
      </c>
      <c r="E297" s="16">
        <f>Table1[[#This Row],[Order Quantity]]*Table1[[#This Row],[Unit Price]]</f>
        <v>1043.9099999999999</v>
      </c>
      <c r="F297">
        <v>9</v>
      </c>
      <c r="G297" s="16">
        <v>115.99</v>
      </c>
      <c r="H297" t="s">
        <v>8</v>
      </c>
      <c r="I297" t="s">
        <v>28</v>
      </c>
      <c r="J297" t="s">
        <v>13</v>
      </c>
      <c r="K297" t="s">
        <v>17</v>
      </c>
    </row>
    <row r="298" spans="1:11" x14ac:dyDescent="0.45">
      <c r="A298">
        <v>326</v>
      </c>
      <c r="B298" s="15">
        <v>44715</v>
      </c>
      <c r="C298" t="str">
        <f>TEXT(Table1[[#This Row],[Order Date]], "yyyy")</f>
        <v>2022</v>
      </c>
      <c r="D298" t="str">
        <f>TEXT(Table1[[#This Row],[Order Date]], "mmmm")</f>
        <v>June</v>
      </c>
      <c r="E298" s="16">
        <f>Table1[[#This Row],[Order Quantity]]*Table1[[#This Row],[Unit Price]]</f>
        <v>203.66</v>
      </c>
      <c r="F298">
        <v>34</v>
      </c>
      <c r="G298" s="16">
        <v>5.99</v>
      </c>
      <c r="H298" t="s">
        <v>8</v>
      </c>
      <c r="I298" t="s">
        <v>54</v>
      </c>
      <c r="J298" t="s">
        <v>23</v>
      </c>
      <c r="K298" t="s">
        <v>11</v>
      </c>
    </row>
    <row r="299" spans="1:11" x14ac:dyDescent="0.45">
      <c r="A299">
        <v>326</v>
      </c>
      <c r="B299" s="15">
        <v>44715</v>
      </c>
      <c r="C299" t="str">
        <f>TEXT(Table1[[#This Row],[Order Date]], "yyyy")</f>
        <v>2022</v>
      </c>
      <c r="D299" t="str">
        <f>TEXT(Table1[[#This Row],[Order Date]], "mmmm")</f>
        <v>June</v>
      </c>
      <c r="E299" s="16">
        <f>Table1[[#This Row],[Order Quantity]]*Table1[[#This Row],[Unit Price]]</f>
        <v>98.77</v>
      </c>
      <c r="F299">
        <v>17</v>
      </c>
      <c r="G299" s="16">
        <v>5.81</v>
      </c>
      <c r="H299" t="s">
        <v>8</v>
      </c>
      <c r="I299" t="s">
        <v>54</v>
      </c>
      <c r="J299" t="s">
        <v>23</v>
      </c>
      <c r="K299" t="s">
        <v>11</v>
      </c>
    </row>
    <row r="300" spans="1:11" x14ac:dyDescent="0.45">
      <c r="A300">
        <v>353</v>
      </c>
      <c r="B300" s="15">
        <v>44560</v>
      </c>
      <c r="C300" t="str">
        <f>TEXT(Table1[[#This Row],[Order Date]], "yyyy")</f>
        <v>2021</v>
      </c>
      <c r="D300" t="str">
        <f>TEXT(Table1[[#This Row],[Order Date]], "mmmm")</f>
        <v>December</v>
      </c>
      <c r="E300" s="16">
        <f>Table1[[#This Row],[Order Quantity]]*Table1[[#This Row],[Unit Price]]</f>
        <v>46.41</v>
      </c>
      <c r="F300">
        <v>21</v>
      </c>
      <c r="G300" s="16">
        <v>2.21</v>
      </c>
      <c r="H300" t="s">
        <v>8</v>
      </c>
      <c r="I300" t="s">
        <v>55</v>
      </c>
      <c r="J300" t="s">
        <v>20</v>
      </c>
      <c r="K300" t="s">
        <v>11</v>
      </c>
    </row>
    <row r="301" spans="1:11" x14ac:dyDescent="0.45">
      <c r="A301">
        <v>355</v>
      </c>
      <c r="B301" s="15">
        <v>43995</v>
      </c>
      <c r="C301" t="str">
        <f>TEXT(Table1[[#This Row],[Order Date]], "yyyy")</f>
        <v>2020</v>
      </c>
      <c r="D301" t="str">
        <f>TEXT(Table1[[#This Row],[Order Date]], "mmmm")</f>
        <v>June</v>
      </c>
      <c r="E301" s="16">
        <f>Table1[[#This Row],[Order Quantity]]*Table1[[#This Row],[Unit Price]]</f>
        <v>1375.84</v>
      </c>
      <c r="F301">
        <v>16</v>
      </c>
      <c r="G301" s="16">
        <v>85.99</v>
      </c>
      <c r="H301" t="s">
        <v>8</v>
      </c>
      <c r="I301" t="s">
        <v>56</v>
      </c>
      <c r="J301" t="s">
        <v>10</v>
      </c>
      <c r="K301" t="s">
        <v>17</v>
      </c>
    </row>
    <row r="302" spans="1:11" x14ac:dyDescent="0.45">
      <c r="A302">
        <v>358</v>
      </c>
      <c r="B302" s="15">
        <v>44458</v>
      </c>
      <c r="C302" t="str">
        <f>TEXT(Table1[[#This Row],[Order Date]], "yyyy")</f>
        <v>2021</v>
      </c>
      <c r="D302" t="str">
        <f>TEXT(Table1[[#This Row],[Order Date]], "mmmm")</f>
        <v>September</v>
      </c>
      <c r="E302" s="16">
        <f>Table1[[#This Row],[Order Quantity]]*Table1[[#This Row],[Unit Price]]</f>
        <v>1302.8399999999999</v>
      </c>
      <c r="F302">
        <v>33</v>
      </c>
      <c r="G302" s="16">
        <v>39.479999999999997</v>
      </c>
      <c r="H302" t="s">
        <v>8</v>
      </c>
      <c r="I302" t="s">
        <v>57</v>
      </c>
      <c r="J302" t="s">
        <v>13</v>
      </c>
      <c r="K302" t="s">
        <v>17</v>
      </c>
    </row>
    <row r="303" spans="1:11" x14ac:dyDescent="0.45">
      <c r="A303">
        <v>386</v>
      </c>
      <c r="B303" s="15">
        <v>44585</v>
      </c>
      <c r="C303" t="str">
        <f>TEXT(Table1[[#This Row],[Order Date]], "yyyy")</f>
        <v>2022</v>
      </c>
      <c r="D303" t="str">
        <f>TEXT(Table1[[#This Row],[Order Date]], "mmmm")</f>
        <v>January</v>
      </c>
      <c r="E303" s="16">
        <f>Table1[[#This Row],[Order Quantity]]*Table1[[#This Row],[Unit Price]]</f>
        <v>14.76</v>
      </c>
      <c r="F303">
        <v>4</v>
      </c>
      <c r="G303" s="16">
        <v>3.69</v>
      </c>
      <c r="H303" t="s">
        <v>8</v>
      </c>
      <c r="I303" t="s">
        <v>60</v>
      </c>
      <c r="J303" t="s">
        <v>13</v>
      </c>
      <c r="K303" t="s">
        <v>11</v>
      </c>
    </row>
    <row r="304" spans="1:11" x14ac:dyDescent="0.45">
      <c r="A304">
        <v>386</v>
      </c>
      <c r="B304" s="15">
        <v>44585</v>
      </c>
      <c r="C304" t="str">
        <f>TEXT(Table1[[#This Row],[Order Date]], "yyyy")</f>
        <v>2022</v>
      </c>
      <c r="D304" t="str">
        <f>TEXT(Table1[[#This Row],[Order Date]], "mmmm")</f>
        <v>January</v>
      </c>
      <c r="E304" s="16">
        <f>Table1[[#This Row],[Order Quantity]]*Table1[[#This Row],[Unit Price]]</f>
        <v>15.4</v>
      </c>
      <c r="F304">
        <v>4</v>
      </c>
      <c r="G304" s="16">
        <v>3.85</v>
      </c>
      <c r="H304" t="s">
        <v>8</v>
      </c>
      <c r="I304" t="s">
        <v>60</v>
      </c>
      <c r="J304" t="s">
        <v>13</v>
      </c>
      <c r="K304" t="s">
        <v>11</v>
      </c>
    </row>
    <row r="305" spans="1:11" x14ac:dyDescent="0.45">
      <c r="A305">
        <v>388</v>
      </c>
      <c r="B305" s="15">
        <v>45275</v>
      </c>
      <c r="C305" t="str">
        <f>TEXT(Table1[[#This Row],[Order Date]], "yyyy")</f>
        <v>2023</v>
      </c>
      <c r="D305" t="str">
        <f>TEXT(Table1[[#This Row],[Order Date]], "mmmm")</f>
        <v>December</v>
      </c>
      <c r="E305" s="16">
        <f>Table1[[#This Row],[Order Quantity]]*Table1[[#This Row],[Unit Price]]</f>
        <v>538.19999999999993</v>
      </c>
      <c r="F305">
        <v>46</v>
      </c>
      <c r="G305" s="16">
        <v>11.7</v>
      </c>
      <c r="H305" t="s">
        <v>8</v>
      </c>
      <c r="I305" t="s">
        <v>61</v>
      </c>
      <c r="J305" t="s">
        <v>20</v>
      </c>
      <c r="K305" t="s">
        <v>11</v>
      </c>
    </row>
    <row r="306" spans="1:11" x14ac:dyDescent="0.45">
      <c r="A306">
        <v>417</v>
      </c>
      <c r="B306" s="15">
        <v>43866</v>
      </c>
      <c r="C306" t="str">
        <f>TEXT(Table1[[#This Row],[Order Date]], "yyyy")</f>
        <v>2020</v>
      </c>
      <c r="D306" t="str">
        <f>TEXT(Table1[[#This Row],[Order Date]], "mmmm")</f>
        <v>February</v>
      </c>
      <c r="E306" s="16">
        <f>Table1[[#This Row],[Order Quantity]]*Table1[[#This Row],[Unit Price]]</f>
        <v>535.41</v>
      </c>
      <c r="F306">
        <v>3</v>
      </c>
      <c r="G306" s="16">
        <v>178.47</v>
      </c>
      <c r="H306" t="s">
        <v>8</v>
      </c>
      <c r="I306" t="s">
        <v>63</v>
      </c>
      <c r="J306" t="s">
        <v>10</v>
      </c>
      <c r="K306" t="s">
        <v>11</v>
      </c>
    </row>
    <row r="307" spans="1:11" x14ac:dyDescent="0.45">
      <c r="A307">
        <v>420</v>
      </c>
      <c r="B307" s="15">
        <v>44864</v>
      </c>
      <c r="C307" t="str">
        <f>TEXT(Table1[[#This Row],[Order Date]], "yyyy")</f>
        <v>2022</v>
      </c>
      <c r="D307" t="str">
        <f>TEXT(Table1[[#This Row],[Order Date]], "mmmm")</f>
        <v>October</v>
      </c>
      <c r="E307" s="16">
        <f>Table1[[#This Row],[Order Quantity]]*Table1[[#This Row],[Unit Price]]</f>
        <v>39.840000000000003</v>
      </c>
      <c r="F307">
        <v>8</v>
      </c>
      <c r="G307" s="16">
        <v>4.9800000000000004</v>
      </c>
      <c r="H307" t="s">
        <v>8</v>
      </c>
      <c r="I307" t="s">
        <v>64</v>
      </c>
      <c r="J307" t="s">
        <v>10</v>
      </c>
      <c r="K307" t="s">
        <v>11</v>
      </c>
    </row>
    <row r="308" spans="1:11" x14ac:dyDescent="0.45">
      <c r="A308">
        <v>420</v>
      </c>
      <c r="B308" s="15">
        <v>44864</v>
      </c>
      <c r="C308" t="str">
        <f>TEXT(Table1[[#This Row],[Order Date]], "yyyy")</f>
        <v>2022</v>
      </c>
      <c r="D308" t="str">
        <f>TEXT(Table1[[#This Row],[Order Date]], "mmmm")</f>
        <v>October</v>
      </c>
      <c r="E308" s="16">
        <f>Table1[[#This Row],[Order Quantity]]*Table1[[#This Row],[Unit Price]]</f>
        <v>34.68</v>
      </c>
      <c r="F308">
        <v>6</v>
      </c>
      <c r="G308" s="16">
        <v>5.78</v>
      </c>
      <c r="H308" t="s">
        <v>8</v>
      </c>
      <c r="I308" t="s">
        <v>64</v>
      </c>
      <c r="J308" t="s">
        <v>10</v>
      </c>
      <c r="K308" t="s">
        <v>11</v>
      </c>
    </row>
    <row r="309" spans="1:11" x14ac:dyDescent="0.45">
      <c r="A309">
        <v>448</v>
      </c>
      <c r="B309" s="15">
        <v>44793</v>
      </c>
      <c r="C309" t="str">
        <f>TEXT(Table1[[#This Row],[Order Date]], "yyyy")</f>
        <v>2022</v>
      </c>
      <c r="D309" t="str">
        <f>TEXT(Table1[[#This Row],[Order Date]], "mmmm")</f>
        <v>August</v>
      </c>
      <c r="E309" s="16">
        <f>Table1[[#This Row],[Order Quantity]]*Table1[[#This Row],[Unit Price]]</f>
        <v>1451.78</v>
      </c>
      <c r="F309">
        <v>22</v>
      </c>
      <c r="G309" s="16">
        <v>65.989999999999995</v>
      </c>
      <c r="H309" t="s">
        <v>8</v>
      </c>
      <c r="I309" t="s">
        <v>37</v>
      </c>
      <c r="J309" t="s">
        <v>13</v>
      </c>
      <c r="K309" t="s">
        <v>17</v>
      </c>
    </row>
    <row r="310" spans="1:11" x14ac:dyDescent="0.45">
      <c r="A310">
        <v>449</v>
      </c>
      <c r="B310" s="15">
        <v>44761</v>
      </c>
      <c r="C310" t="str">
        <f>TEXT(Table1[[#This Row],[Order Date]], "yyyy")</f>
        <v>2022</v>
      </c>
      <c r="D310" t="str">
        <f>TEXT(Table1[[#This Row],[Order Date]], "mmmm")</f>
        <v>July</v>
      </c>
      <c r="E310" s="16">
        <f>Table1[[#This Row],[Order Quantity]]*Table1[[#This Row],[Unit Price]]</f>
        <v>332.1</v>
      </c>
      <c r="F310">
        <v>45</v>
      </c>
      <c r="G310" s="16">
        <v>7.38</v>
      </c>
      <c r="H310" t="s">
        <v>8</v>
      </c>
      <c r="I310" t="s">
        <v>65</v>
      </c>
      <c r="J310" t="s">
        <v>13</v>
      </c>
      <c r="K310" t="s">
        <v>15</v>
      </c>
    </row>
    <row r="311" spans="1:11" x14ac:dyDescent="0.45">
      <c r="A311">
        <v>450</v>
      </c>
      <c r="B311" s="15">
        <v>44624</v>
      </c>
      <c r="C311" t="str">
        <f>TEXT(Table1[[#This Row],[Order Date]], "yyyy")</f>
        <v>2022</v>
      </c>
      <c r="D311" t="str">
        <f>TEXT(Table1[[#This Row],[Order Date]], "mmmm")</f>
        <v>March</v>
      </c>
      <c r="E311" s="16">
        <f>Table1[[#This Row],[Order Quantity]]*Table1[[#This Row],[Unit Price]]</f>
        <v>549.5</v>
      </c>
      <c r="F311">
        <v>35</v>
      </c>
      <c r="G311" s="16">
        <v>15.7</v>
      </c>
      <c r="H311" t="s">
        <v>8</v>
      </c>
      <c r="I311" t="s">
        <v>66</v>
      </c>
      <c r="J311" t="s">
        <v>23</v>
      </c>
      <c r="K311" t="s">
        <v>11</v>
      </c>
    </row>
    <row r="312" spans="1:11" x14ac:dyDescent="0.45">
      <c r="A312">
        <v>454</v>
      </c>
      <c r="B312" s="15">
        <v>44921</v>
      </c>
      <c r="C312" t="str">
        <f>TEXT(Table1[[#This Row],[Order Date]], "yyyy")</f>
        <v>2022</v>
      </c>
      <c r="D312" t="str">
        <f>TEXT(Table1[[#This Row],[Order Date]], "mmmm")</f>
        <v>December</v>
      </c>
      <c r="E312" s="16">
        <f>Table1[[#This Row],[Order Quantity]]*Table1[[#This Row],[Unit Price]]</f>
        <v>255.36</v>
      </c>
      <c r="F312">
        <v>42</v>
      </c>
      <c r="G312" s="16">
        <v>6.08</v>
      </c>
      <c r="H312" t="s">
        <v>8</v>
      </c>
      <c r="I312" t="s">
        <v>67</v>
      </c>
      <c r="J312" t="s">
        <v>10</v>
      </c>
      <c r="K312" t="s">
        <v>11</v>
      </c>
    </row>
    <row r="313" spans="1:11" x14ac:dyDescent="0.45">
      <c r="A313">
        <v>481</v>
      </c>
      <c r="B313" s="15">
        <v>45206</v>
      </c>
      <c r="C313" t="str">
        <f>TEXT(Table1[[#This Row],[Order Date]], "yyyy")</f>
        <v>2023</v>
      </c>
      <c r="D313" t="str">
        <f>TEXT(Table1[[#This Row],[Order Date]], "mmmm")</f>
        <v>October</v>
      </c>
      <c r="E313" s="16">
        <f>Table1[[#This Row],[Order Quantity]]*Table1[[#This Row],[Unit Price]]</f>
        <v>5103.5599999999995</v>
      </c>
      <c r="F313">
        <v>44</v>
      </c>
      <c r="G313" s="16">
        <v>115.99</v>
      </c>
      <c r="H313" t="s">
        <v>8</v>
      </c>
      <c r="I313" t="s">
        <v>68</v>
      </c>
      <c r="J313" t="s">
        <v>20</v>
      </c>
      <c r="K313" t="s">
        <v>17</v>
      </c>
    </row>
    <row r="314" spans="1:11" x14ac:dyDescent="0.45">
      <c r="A314">
        <v>483</v>
      </c>
      <c r="B314" s="15">
        <v>44752</v>
      </c>
      <c r="C314" t="str">
        <f>TEXT(Table1[[#This Row],[Order Date]], "yyyy")</f>
        <v>2022</v>
      </c>
      <c r="D314" t="str">
        <f>TEXT(Table1[[#This Row],[Order Date]], "mmmm")</f>
        <v>July</v>
      </c>
      <c r="E314" s="16">
        <f>Table1[[#This Row],[Order Quantity]]*Table1[[#This Row],[Unit Price]]</f>
        <v>5879.7000000000007</v>
      </c>
      <c r="F314">
        <v>30</v>
      </c>
      <c r="G314" s="16">
        <v>195.99</v>
      </c>
      <c r="H314" t="s">
        <v>8</v>
      </c>
      <c r="I314" t="s">
        <v>69</v>
      </c>
      <c r="J314" t="s">
        <v>13</v>
      </c>
      <c r="K314" t="s">
        <v>17</v>
      </c>
    </row>
    <row r="315" spans="1:11" x14ac:dyDescent="0.45">
      <c r="A315">
        <v>487</v>
      </c>
      <c r="B315" s="15">
        <v>45155</v>
      </c>
      <c r="C315" t="str">
        <f>TEXT(Table1[[#This Row],[Order Date]], "yyyy")</f>
        <v>2023</v>
      </c>
      <c r="D315" t="str">
        <f>TEXT(Table1[[#This Row],[Order Date]], "mmmm")</f>
        <v>August</v>
      </c>
      <c r="E315" s="16">
        <f>Table1[[#This Row],[Order Quantity]]*Table1[[#This Row],[Unit Price]]</f>
        <v>206.91000000000003</v>
      </c>
      <c r="F315">
        <v>19</v>
      </c>
      <c r="G315" s="16">
        <v>10.89</v>
      </c>
      <c r="H315" t="s">
        <v>8</v>
      </c>
      <c r="I315" t="s">
        <v>70</v>
      </c>
      <c r="J315" t="s">
        <v>13</v>
      </c>
      <c r="K315" t="s">
        <v>11</v>
      </c>
    </row>
    <row r="316" spans="1:11" x14ac:dyDescent="0.45">
      <c r="A316">
        <v>512</v>
      </c>
      <c r="B316" s="15">
        <v>44700</v>
      </c>
      <c r="C316" t="str">
        <f>TEXT(Table1[[#This Row],[Order Date]], "yyyy")</f>
        <v>2022</v>
      </c>
      <c r="D316" t="str">
        <f>TEXT(Table1[[#This Row],[Order Date]], "mmmm")</f>
        <v>May</v>
      </c>
      <c r="E316" s="16">
        <f>Table1[[#This Row],[Order Quantity]]*Table1[[#This Row],[Unit Price]]</f>
        <v>1308.48</v>
      </c>
      <c r="F316">
        <v>6</v>
      </c>
      <c r="G316" s="16">
        <v>218.08</v>
      </c>
      <c r="H316" t="s">
        <v>8</v>
      </c>
      <c r="I316" t="s">
        <v>71</v>
      </c>
      <c r="J316" t="s">
        <v>20</v>
      </c>
      <c r="K316" t="s">
        <v>15</v>
      </c>
    </row>
    <row r="317" spans="1:11" x14ac:dyDescent="0.45">
      <c r="A317">
        <v>515</v>
      </c>
      <c r="B317" s="15">
        <v>44436</v>
      </c>
      <c r="C317" t="str">
        <f>TEXT(Table1[[#This Row],[Order Date]], "yyyy")</f>
        <v>2021</v>
      </c>
      <c r="D317" t="str">
        <f>TEXT(Table1[[#This Row],[Order Date]], "mmmm")</f>
        <v>August</v>
      </c>
      <c r="E317" s="16">
        <f>Table1[[#This Row],[Order Quantity]]*Table1[[#This Row],[Unit Price]]</f>
        <v>413.82000000000005</v>
      </c>
      <c r="F317">
        <v>19</v>
      </c>
      <c r="G317" s="16">
        <v>21.78</v>
      </c>
      <c r="H317" t="s">
        <v>8</v>
      </c>
      <c r="I317" t="s">
        <v>73</v>
      </c>
      <c r="J317" t="s">
        <v>23</v>
      </c>
      <c r="K317" t="s">
        <v>11</v>
      </c>
    </row>
    <row r="318" spans="1:11" x14ac:dyDescent="0.45">
      <c r="A318">
        <v>515</v>
      </c>
      <c r="B318" s="15">
        <v>44436</v>
      </c>
      <c r="C318" t="str">
        <f>TEXT(Table1[[#This Row],[Order Date]], "yyyy")</f>
        <v>2021</v>
      </c>
      <c r="D318" t="str">
        <f>TEXT(Table1[[#This Row],[Order Date]], "mmmm")</f>
        <v>August</v>
      </c>
      <c r="E318" s="16">
        <f>Table1[[#This Row],[Order Quantity]]*Table1[[#This Row],[Unit Price]]</f>
        <v>139.44</v>
      </c>
      <c r="F318">
        <v>21</v>
      </c>
      <c r="G318" s="16">
        <v>6.64</v>
      </c>
      <c r="H318" t="s">
        <v>8</v>
      </c>
      <c r="I318" t="s">
        <v>73</v>
      </c>
      <c r="J318" t="s">
        <v>23</v>
      </c>
      <c r="K318" t="s">
        <v>15</v>
      </c>
    </row>
    <row r="319" spans="1:11" x14ac:dyDescent="0.45">
      <c r="A319">
        <v>548</v>
      </c>
      <c r="B319" s="15">
        <v>44094</v>
      </c>
      <c r="C319" t="str">
        <f>TEXT(Table1[[#This Row],[Order Date]], "yyyy")</f>
        <v>2020</v>
      </c>
      <c r="D319" t="str">
        <f>TEXT(Table1[[#This Row],[Order Date]], "mmmm")</f>
        <v>September</v>
      </c>
      <c r="E319" s="16">
        <f>Table1[[#This Row],[Order Quantity]]*Table1[[#This Row],[Unit Price]]</f>
        <v>126.28</v>
      </c>
      <c r="F319">
        <v>41</v>
      </c>
      <c r="G319" s="16">
        <v>3.08</v>
      </c>
      <c r="H319" t="s">
        <v>8</v>
      </c>
      <c r="I319" t="s">
        <v>74</v>
      </c>
      <c r="J319" t="s">
        <v>20</v>
      </c>
      <c r="K319" t="s">
        <v>11</v>
      </c>
    </row>
    <row r="320" spans="1:11" x14ac:dyDescent="0.45">
      <c r="A320">
        <v>548</v>
      </c>
      <c r="B320" s="15">
        <v>44094</v>
      </c>
      <c r="C320" t="str">
        <f>TEXT(Table1[[#This Row],[Order Date]], "yyyy")</f>
        <v>2020</v>
      </c>
      <c r="D320" t="str">
        <f>TEXT(Table1[[#This Row],[Order Date]], "mmmm")</f>
        <v>September</v>
      </c>
      <c r="E320" s="16">
        <f>Table1[[#This Row],[Order Quantity]]*Table1[[#This Row],[Unit Price]]</f>
        <v>187.92000000000002</v>
      </c>
      <c r="F320">
        <v>29</v>
      </c>
      <c r="G320" s="16">
        <v>6.48</v>
      </c>
      <c r="H320" t="s">
        <v>8</v>
      </c>
      <c r="I320" t="s">
        <v>74</v>
      </c>
      <c r="J320" t="s">
        <v>20</v>
      </c>
      <c r="K320" t="s">
        <v>11</v>
      </c>
    </row>
    <row r="321" spans="1:11" x14ac:dyDescent="0.45">
      <c r="A321">
        <v>548</v>
      </c>
      <c r="B321" s="15">
        <v>44094</v>
      </c>
      <c r="C321" t="str">
        <f>TEXT(Table1[[#This Row],[Order Date]], "yyyy")</f>
        <v>2020</v>
      </c>
      <c r="D321" t="str">
        <f>TEXT(Table1[[#This Row],[Order Date]], "mmmm")</f>
        <v>September</v>
      </c>
      <c r="E321" s="16">
        <f>Table1[[#This Row],[Order Quantity]]*Table1[[#This Row],[Unit Price]]</f>
        <v>3275.74</v>
      </c>
      <c r="F321">
        <v>26</v>
      </c>
      <c r="G321" s="16">
        <v>125.99</v>
      </c>
      <c r="H321" t="s">
        <v>8</v>
      </c>
      <c r="I321" t="s">
        <v>74</v>
      </c>
      <c r="J321" t="s">
        <v>20</v>
      </c>
      <c r="K321" t="s">
        <v>17</v>
      </c>
    </row>
    <row r="322" spans="1:11" x14ac:dyDescent="0.45">
      <c r="A322">
        <v>549</v>
      </c>
      <c r="B322" s="15">
        <v>45119</v>
      </c>
      <c r="C322" t="str">
        <f>TEXT(Table1[[#This Row],[Order Date]], "yyyy")</f>
        <v>2023</v>
      </c>
      <c r="D322" t="str">
        <f>TEXT(Table1[[#This Row],[Order Date]], "mmmm")</f>
        <v>July</v>
      </c>
      <c r="E322" s="16">
        <f>Table1[[#This Row],[Order Quantity]]*Table1[[#This Row],[Unit Price]]</f>
        <v>64.740000000000009</v>
      </c>
      <c r="F322">
        <v>13</v>
      </c>
      <c r="G322" s="16">
        <v>4.9800000000000004</v>
      </c>
      <c r="H322" t="s">
        <v>8</v>
      </c>
      <c r="I322" t="s">
        <v>75</v>
      </c>
      <c r="J322" t="s">
        <v>23</v>
      </c>
      <c r="K322" t="s">
        <v>11</v>
      </c>
    </row>
    <row r="323" spans="1:11" x14ac:dyDescent="0.45">
      <c r="A323">
        <v>549</v>
      </c>
      <c r="B323" s="15">
        <v>45119</v>
      </c>
      <c r="C323" t="str">
        <f>TEXT(Table1[[#This Row],[Order Date]], "yyyy")</f>
        <v>2023</v>
      </c>
      <c r="D323" t="str">
        <f>TEXT(Table1[[#This Row],[Order Date]], "mmmm")</f>
        <v>July</v>
      </c>
      <c r="E323" s="16">
        <f>Table1[[#This Row],[Order Quantity]]*Table1[[#This Row],[Unit Price]]</f>
        <v>32.400000000000006</v>
      </c>
      <c r="F323">
        <v>5</v>
      </c>
      <c r="G323" s="16">
        <v>6.48</v>
      </c>
      <c r="H323" t="s">
        <v>8</v>
      </c>
      <c r="I323" t="s">
        <v>75</v>
      </c>
      <c r="J323" t="s">
        <v>23</v>
      </c>
      <c r="K323" t="s">
        <v>11</v>
      </c>
    </row>
    <row r="324" spans="1:11" x14ac:dyDescent="0.45">
      <c r="A324">
        <v>611</v>
      </c>
      <c r="B324" s="15">
        <v>44222</v>
      </c>
      <c r="C324" t="str">
        <f>TEXT(Table1[[#This Row],[Order Date]], "yyyy")</f>
        <v>2021</v>
      </c>
      <c r="D324" t="str">
        <f>TEXT(Table1[[#This Row],[Order Date]], "mmmm")</f>
        <v>January</v>
      </c>
      <c r="E324" s="16">
        <f>Table1[[#This Row],[Order Quantity]]*Table1[[#This Row],[Unit Price]]</f>
        <v>831.9</v>
      </c>
      <c r="F324">
        <v>47</v>
      </c>
      <c r="G324" s="16">
        <v>17.7</v>
      </c>
      <c r="H324" t="s">
        <v>8</v>
      </c>
      <c r="I324" t="s">
        <v>72</v>
      </c>
      <c r="J324" t="s">
        <v>20</v>
      </c>
      <c r="K324" t="s">
        <v>11</v>
      </c>
    </row>
    <row r="325" spans="1:11" x14ac:dyDescent="0.45">
      <c r="A325">
        <v>612</v>
      </c>
      <c r="B325" s="15">
        <v>45219</v>
      </c>
      <c r="C325" t="str">
        <f>TEXT(Table1[[#This Row],[Order Date]], "yyyy")</f>
        <v>2023</v>
      </c>
      <c r="D325" t="str">
        <f>TEXT(Table1[[#This Row],[Order Date]], "mmmm")</f>
        <v>October</v>
      </c>
      <c r="E325" s="16">
        <f>Table1[[#This Row],[Order Quantity]]*Table1[[#This Row],[Unit Price]]</f>
        <v>264</v>
      </c>
      <c r="F325">
        <v>50</v>
      </c>
      <c r="G325" s="16">
        <v>5.28</v>
      </c>
      <c r="H325" t="s">
        <v>8</v>
      </c>
      <c r="I325" t="s">
        <v>77</v>
      </c>
      <c r="J325" t="s">
        <v>13</v>
      </c>
      <c r="K325" t="s">
        <v>11</v>
      </c>
    </row>
    <row r="326" spans="1:11" x14ac:dyDescent="0.45">
      <c r="A326">
        <v>612</v>
      </c>
      <c r="B326" s="15">
        <v>45219</v>
      </c>
      <c r="C326" t="str">
        <f>TEXT(Table1[[#This Row],[Order Date]], "yyyy")</f>
        <v>2023</v>
      </c>
      <c r="D326" t="str">
        <f>TEXT(Table1[[#This Row],[Order Date]], "mmmm")</f>
        <v>October</v>
      </c>
      <c r="E326" s="16">
        <f>Table1[[#This Row],[Order Quantity]]*Table1[[#This Row],[Unit Price]]</f>
        <v>2837.5699999999997</v>
      </c>
      <c r="F326">
        <v>43</v>
      </c>
      <c r="G326" s="16">
        <v>65.989999999999995</v>
      </c>
      <c r="H326" t="s">
        <v>8</v>
      </c>
      <c r="I326" t="s">
        <v>77</v>
      </c>
      <c r="J326" t="s">
        <v>13</v>
      </c>
      <c r="K326" t="s">
        <v>17</v>
      </c>
    </row>
    <row r="327" spans="1:11" x14ac:dyDescent="0.45">
      <c r="A327">
        <v>613</v>
      </c>
      <c r="B327" s="15">
        <v>44729</v>
      </c>
      <c r="C327" t="str">
        <f>TEXT(Table1[[#This Row],[Order Date]], "yyyy")</f>
        <v>2022</v>
      </c>
      <c r="D327" t="str">
        <f>TEXT(Table1[[#This Row],[Order Date]], "mmmm")</f>
        <v>June</v>
      </c>
      <c r="E327" s="16">
        <f>Table1[[#This Row],[Order Quantity]]*Table1[[#This Row],[Unit Price]]</f>
        <v>87.6</v>
      </c>
      <c r="F327">
        <v>12</v>
      </c>
      <c r="G327" s="16">
        <v>7.3</v>
      </c>
      <c r="H327" t="s">
        <v>8</v>
      </c>
      <c r="I327" t="s">
        <v>78</v>
      </c>
      <c r="J327" t="s">
        <v>13</v>
      </c>
      <c r="K327" t="s">
        <v>11</v>
      </c>
    </row>
    <row r="328" spans="1:11" x14ac:dyDescent="0.45">
      <c r="A328">
        <v>613</v>
      </c>
      <c r="B328" s="15">
        <v>44729</v>
      </c>
      <c r="C328" t="str">
        <f>TEXT(Table1[[#This Row],[Order Date]], "yyyy")</f>
        <v>2022</v>
      </c>
      <c r="D328" t="str">
        <f>TEXT(Table1[[#This Row],[Order Date]], "mmmm")</f>
        <v>June</v>
      </c>
      <c r="E328" s="16">
        <f>Table1[[#This Row],[Order Quantity]]*Table1[[#This Row],[Unit Price]]</f>
        <v>940.71999999999991</v>
      </c>
      <c r="F328">
        <v>22</v>
      </c>
      <c r="G328" s="16">
        <v>42.76</v>
      </c>
      <c r="H328" t="s">
        <v>8</v>
      </c>
      <c r="I328" t="s">
        <v>78</v>
      </c>
      <c r="J328" t="s">
        <v>13</v>
      </c>
      <c r="K328" t="s">
        <v>11</v>
      </c>
    </row>
    <row r="329" spans="1:11" x14ac:dyDescent="0.45">
      <c r="A329">
        <v>614</v>
      </c>
      <c r="B329" s="15">
        <v>45260</v>
      </c>
      <c r="C329" t="str">
        <f>TEXT(Table1[[#This Row],[Order Date]], "yyyy")</f>
        <v>2023</v>
      </c>
      <c r="D329" t="str">
        <f>TEXT(Table1[[#This Row],[Order Date]], "mmmm")</f>
        <v>November</v>
      </c>
      <c r="E329" s="16">
        <f>Table1[[#This Row],[Order Quantity]]*Table1[[#This Row],[Unit Price]]</f>
        <v>587.93999999999994</v>
      </c>
      <c r="F329">
        <v>41</v>
      </c>
      <c r="G329" s="16">
        <v>14.34</v>
      </c>
      <c r="H329" t="s">
        <v>8</v>
      </c>
      <c r="I329" t="s">
        <v>79</v>
      </c>
      <c r="J329" t="s">
        <v>13</v>
      </c>
      <c r="K329" t="s">
        <v>15</v>
      </c>
    </row>
    <row r="330" spans="1:11" x14ac:dyDescent="0.45">
      <c r="A330">
        <v>640</v>
      </c>
      <c r="B330" s="15">
        <v>44218</v>
      </c>
      <c r="C330" t="str">
        <f>TEXT(Table1[[#This Row],[Order Date]], "yyyy")</f>
        <v>2021</v>
      </c>
      <c r="D330" t="str">
        <f>TEXT(Table1[[#This Row],[Order Date]], "mmmm")</f>
        <v>January</v>
      </c>
      <c r="E330" s="16">
        <f>Table1[[#This Row],[Order Quantity]]*Table1[[#This Row],[Unit Price]]</f>
        <v>455.28</v>
      </c>
      <c r="F330">
        <v>24</v>
      </c>
      <c r="G330" s="16">
        <v>18.97</v>
      </c>
      <c r="H330" t="s">
        <v>8</v>
      </c>
      <c r="I330" t="s">
        <v>80</v>
      </c>
      <c r="J330" t="s">
        <v>23</v>
      </c>
      <c r="K330" t="s">
        <v>11</v>
      </c>
    </row>
    <row r="331" spans="1:11" x14ac:dyDescent="0.45">
      <c r="A331">
        <v>645</v>
      </c>
      <c r="B331" s="15">
        <v>44167</v>
      </c>
      <c r="C331" t="str">
        <f>TEXT(Table1[[#This Row],[Order Date]], "yyyy")</f>
        <v>2020</v>
      </c>
      <c r="D331" t="str">
        <f>TEXT(Table1[[#This Row],[Order Date]], "mmmm")</f>
        <v>December</v>
      </c>
      <c r="E331" s="16">
        <f>Table1[[#This Row],[Order Quantity]]*Table1[[#This Row],[Unit Price]]</f>
        <v>543.9</v>
      </c>
      <c r="F331">
        <v>42</v>
      </c>
      <c r="G331" s="16">
        <v>12.95</v>
      </c>
      <c r="H331" t="s">
        <v>8</v>
      </c>
      <c r="I331" t="s">
        <v>83</v>
      </c>
      <c r="J331" t="s">
        <v>23</v>
      </c>
      <c r="K331" t="s">
        <v>11</v>
      </c>
    </row>
    <row r="332" spans="1:11" x14ac:dyDescent="0.45">
      <c r="A332">
        <v>646</v>
      </c>
      <c r="B332" s="15">
        <v>44156</v>
      </c>
      <c r="C332" t="str">
        <f>TEXT(Table1[[#This Row],[Order Date]], "yyyy")</f>
        <v>2020</v>
      </c>
      <c r="D332" t="str">
        <f>TEXT(Table1[[#This Row],[Order Date]], "mmmm")</f>
        <v>November</v>
      </c>
      <c r="E332" s="16">
        <f>Table1[[#This Row],[Order Quantity]]*Table1[[#This Row],[Unit Price]]</f>
        <v>167.58</v>
      </c>
      <c r="F332">
        <v>18</v>
      </c>
      <c r="G332" s="16">
        <v>9.31</v>
      </c>
      <c r="H332" t="s">
        <v>8</v>
      </c>
      <c r="I332" t="s">
        <v>84</v>
      </c>
      <c r="J332" t="s">
        <v>10</v>
      </c>
      <c r="K332" t="s">
        <v>11</v>
      </c>
    </row>
    <row r="333" spans="1:11" x14ac:dyDescent="0.45">
      <c r="A333">
        <v>678</v>
      </c>
      <c r="B333" s="15">
        <v>44253</v>
      </c>
      <c r="C333" t="str">
        <f>TEXT(Table1[[#This Row],[Order Date]], "yyyy")</f>
        <v>2021</v>
      </c>
      <c r="D333" t="str">
        <f>TEXT(Table1[[#This Row],[Order Date]], "mmmm")</f>
        <v>February</v>
      </c>
      <c r="E333" s="16">
        <f>Table1[[#This Row],[Order Quantity]]*Table1[[#This Row],[Unit Price]]</f>
        <v>219.12</v>
      </c>
      <c r="F333">
        <v>44</v>
      </c>
      <c r="G333" s="16">
        <v>4.9800000000000004</v>
      </c>
      <c r="H333" t="s">
        <v>8</v>
      </c>
      <c r="I333" t="s">
        <v>85</v>
      </c>
      <c r="J333" t="s">
        <v>20</v>
      </c>
      <c r="K333" t="s">
        <v>11</v>
      </c>
    </row>
    <row r="334" spans="1:11" x14ac:dyDescent="0.45">
      <c r="A334">
        <v>706</v>
      </c>
      <c r="B334" s="15">
        <v>44812</v>
      </c>
      <c r="C334" t="str">
        <f>TEXT(Table1[[#This Row],[Order Date]], "yyyy")</f>
        <v>2022</v>
      </c>
      <c r="D334" t="str">
        <f>TEXT(Table1[[#This Row],[Order Date]], "mmmm")</f>
        <v>September</v>
      </c>
      <c r="E334" s="16">
        <f>Table1[[#This Row],[Order Quantity]]*Table1[[#This Row],[Unit Price]]</f>
        <v>73.92</v>
      </c>
      <c r="F334">
        <v>42</v>
      </c>
      <c r="G334" s="16">
        <v>1.76</v>
      </c>
      <c r="H334" t="s">
        <v>8</v>
      </c>
      <c r="I334" t="s">
        <v>86</v>
      </c>
      <c r="J334" t="s">
        <v>23</v>
      </c>
      <c r="K334" t="s">
        <v>11</v>
      </c>
    </row>
    <row r="335" spans="1:11" x14ac:dyDescent="0.45">
      <c r="A335">
        <v>710</v>
      </c>
      <c r="B335" s="15">
        <v>44197</v>
      </c>
      <c r="C335" t="str">
        <f>TEXT(Table1[[#This Row],[Order Date]], "yyyy")</f>
        <v>2021</v>
      </c>
      <c r="D335" t="str">
        <f>TEXT(Table1[[#This Row],[Order Date]], "mmmm")</f>
        <v>January</v>
      </c>
      <c r="E335" s="16">
        <f>Table1[[#This Row],[Order Quantity]]*Table1[[#This Row],[Unit Price]]</f>
        <v>150.36000000000001</v>
      </c>
      <c r="F335">
        <v>42</v>
      </c>
      <c r="G335" s="16">
        <v>3.58</v>
      </c>
      <c r="H335" t="s">
        <v>8</v>
      </c>
      <c r="I335" t="s">
        <v>87</v>
      </c>
      <c r="J335" t="s">
        <v>13</v>
      </c>
      <c r="K335" t="s">
        <v>11</v>
      </c>
    </row>
    <row r="336" spans="1:11" x14ac:dyDescent="0.45">
      <c r="A336">
        <v>710</v>
      </c>
      <c r="B336" s="15">
        <v>44197</v>
      </c>
      <c r="C336" t="str">
        <f>TEXT(Table1[[#This Row],[Order Date]], "yyyy")</f>
        <v>2021</v>
      </c>
      <c r="D336" t="str">
        <f>TEXT(Table1[[#This Row],[Order Date]], "mmmm")</f>
        <v>January</v>
      </c>
      <c r="E336" s="16">
        <f>Table1[[#This Row],[Order Quantity]]*Table1[[#This Row],[Unit Price]]</f>
        <v>454.52</v>
      </c>
      <c r="F336">
        <v>11</v>
      </c>
      <c r="G336" s="16">
        <v>41.32</v>
      </c>
      <c r="H336" t="s">
        <v>8</v>
      </c>
      <c r="I336" t="s">
        <v>87</v>
      </c>
      <c r="J336" t="s">
        <v>13</v>
      </c>
      <c r="K336" t="s">
        <v>15</v>
      </c>
    </row>
    <row r="337" spans="1:11" x14ac:dyDescent="0.45">
      <c r="A337">
        <v>738</v>
      </c>
      <c r="B337" s="15">
        <v>44256</v>
      </c>
      <c r="C337" t="str">
        <f>TEXT(Table1[[#This Row],[Order Date]], "yyyy")</f>
        <v>2021</v>
      </c>
      <c r="D337" t="str">
        <f>TEXT(Table1[[#This Row],[Order Date]], "mmmm")</f>
        <v>March</v>
      </c>
      <c r="E337" s="16">
        <f>Table1[[#This Row],[Order Quantity]]*Table1[[#This Row],[Unit Price]]</f>
        <v>566.86</v>
      </c>
      <c r="F337">
        <v>7</v>
      </c>
      <c r="G337" s="16">
        <v>80.98</v>
      </c>
      <c r="H337" t="s">
        <v>8</v>
      </c>
      <c r="I337" t="s">
        <v>88</v>
      </c>
      <c r="J337" t="s">
        <v>13</v>
      </c>
      <c r="K337" t="s">
        <v>11</v>
      </c>
    </row>
    <row r="338" spans="1:11" x14ac:dyDescent="0.45">
      <c r="A338">
        <v>738</v>
      </c>
      <c r="B338" s="15">
        <v>44256</v>
      </c>
      <c r="C338" t="str">
        <f>TEXT(Table1[[#This Row],[Order Date]], "yyyy")</f>
        <v>2021</v>
      </c>
      <c r="D338" t="str">
        <f>TEXT(Table1[[#This Row],[Order Date]], "mmmm")</f>
        <v>March</v>
      </c>
      <c r="E338" s="16">
        <f>Table1[[#This Row],[Order Quantity]]*Table1[[#This Row],[Unit Price]]</f>
        <v>200.88000000000002</v>
      </c>
      <c r="F338">
        <v>31</v>
      </c>
      <c r="G338" s="16">
        <v>6.48</v>
      </c>
      <c r="H338" t="s">
        <v>8</v>
      </c>
      <c r="I338" t="s">
        <v>88</v>
      </c>
      <c r="J338" t="s">
        <v>13</v>
      </c>
      <c r="K338" t="s">
        <v>11</v>
      </c>
    </row>
    <row r="339" spans="1:11" x14ac:dyDescent="0.45">
      <c r="A339">
        <v>740</v>
      </c>
      <c r="B339" s="15">
        <v>44757</v>
      </c>
      <c r="C339" t="str">
        <f>TEXT(Table1[[#This Row],[Order Date]], "yyyy")</f>
        <v>2022</v>
      </c>
      <c r="D339" t="str">
        <f>TEXT(Table1[[#This Row],[Order Date]], "mmmm")</f>
        <v>July</v>
      </c>
      <c r="E339" s="16">
        <f>Table1[[#This Row],[Order Quantity]]*Table1[[#This Row],[Unit Price]]</f>
        <v>29.880000000000003</v>
      </c>
      <c r="F339">
        <v>6</v>
      </c>
      <c r="G339" s="16">
        <v>4.9800000000000004</v>
      </c>
      <c r="H339" t="s">
        <v>8</v>
      </c>
      <c r="I339" t="s">
        <v>89</v>
      </c>
      <c r="J339" t="s">
        <v>13</v>
      </c>
      <c r="K339" t="s">
        <v>11</v>
      </c>
    </row>
    <row r="340" spans="1:11" x14ac:dyDescent="0.45">
      <c r="A340">
        <v>771</v>
      </c>
      <c r="B340" s="15">
        <v>44728</v>
      </c>
      <c r="C340" t="str">
        <f>TEXT(Table1[[#This Row],[Order Date]], "yyyy")</f>
        <v>2022</v>
      </c>
      <c r="D340" t="str">
        <f>TEXT(Table1[[#This Row],[Order Date]], "mmmm")</f>
        <v>June</v>
      </c>
      <c r="E340" s="16">
        <f>Table1[[#This Row],[Order Quantity]]*Table1[[#This Row],[Unit Price]]</f>
        <v>89.640000000000015</v>
      </c>
      <c r="F340">
        <v>18</v>
      </c>
      <c r="G340" s="16">
        <v>4.9800000000000004</v>
      </c>
      <c r="H340" t="s">
        <v>8</v>
      </c>
      <c r="I340" t="s">
        <v>91</v>
      </c>
      <c r="J340" t="s">
        <v>20</v>
      </c>
      <c r="K340" t="s">
        <v>11</v>
      </c>
    </row>
    <row r="341" spans="1:11" x14ac:dyDescent="0.45">
      <c r="A341">
        <v>772</v>
      </c>
      <c r="B341" s="15">
        <v>44302</v>
      </c>
      <c r="C341" t="str">
        <f>TEXT(Table1[[#This Row],[Order Date]], "yyyy")</f>
        <v>2021</v>
      </c>
      <c r="D341" t="str">
        <f>TEXT(Table1[[#This Row],[Order Date]], "mmmm")</f>
        <v>April</v>
      </c>
      <c r="E341" s="16">
        <f>Table1[[#This Row],[Order Quantity]]*Table1[[#This Row],[Unit Price]]</f>
        <v>613.19999999999993</v>
      </c>
      <c r="F341">
        <v>35</v>
      </c>
      <c r="G341" s="16">
        <v>17.52</v>
      </c>
      <c r="H341" t="s">
        <v>8</v>
      </c>
      <c r="I341" t="s">
        <v>92</v>
      </c>
      <c r="J341" t="s">
        <v>23</v>
      </c>
      <c r="K341" t="s">
        <v>11</v>
      </c>
    </row>
    <row r="342" spans="1:11" x14ac:dyDescent="0.45">
      <c r="A342">
        <v>772</v>
      </c>
      <c r="B342" s="15">
        <v>44302</v>
      </c>
      <c r="C342" t="str">
        <f>TEXT(Table1[[#This Row],[Order Date]], "yyyy")</f>
        <v>2021</v>
      </c>
      <c r="D342" t="str">
        <f>TEXT(Table1[[#This Row],[Order Date]], "mmmm")</f>
        <v>April</v>
      </c>
      <c r="E342" s="16">
        <f>Table1[[#This Row],[Order Quantity]]*Table1[[#This Row],[Unit Price]]</f>
        <v>247.5</v>
      </c>
      <c r="F342">
        <v>25</v>
      </c>
      <c r="G342" s="16">
        <v>9.9</v>
      </c>
      <c r="H342" t="s">
        <v>8</v>
      </c>
      <c r="I342" t="s">
        <v>92</v>
      </c>
      <c r="J342" t="s">
        <v>23</v>
      </c>
      <c r="K342" t="s">
        <v>11</v>
      </c>
    </row>
    <row r="343" spans="1:11" x14ac:dyDescent="0.45">
      <c r="A343">
        <v>773</v>
      </c>
      <c r="B343" s="15">
        <v>44464</v>
      </c>
      <c r="C343" t="str">
        <f>TEXT(Table1[[#This Row],[Order Date]], "yyyy")</f>
        <v>2021</v>
      </c>
      <c r="D343" t="str">
        <f>TEXT(Table1[[#This Row],[Order Date]], "mmmm")</f>
        <v>September</v>
      </c>
      <c r="E343" s="16">
        <f>Table1[[#This Row],[Order Quantity]]*Table1[[#This Row],[Unit Price]]</f>
        <v>2507.62</v>
      </c>
      <c r="F343">
        <v>38</v>
      </c>
      <c r="G343" s="16">
        <v>65.989999999999995</v>
      </c>
      <c r="H343" t="s">
        <v>8</v>
      </c>
      <c r="I343" t="s">
        <v>93</v>
      </c>
      <c r="J343" t="s">
        <v>20</v>
      </c>
      <c r="K343" t="s">
        <v>17</v>
      </c>
    </row>
    <row r="344" spans="1:11" x14ac:dyDescent="0.45">
      <c r="A344">
        <v>774</v>
      </c>
      <c r="B344" s="15">
        <v>44898</v>
      </c>
      <c r="C344" t="str">
        <f>TEXT(Table1[[#This Row],[Order Date]], "yyyy")</f>
        <v>2022</v>
      </c>
      <c r="D344" t="str">
        <f>TEXT(Table1[[#This Row],[Order Date]], "mmmm")</f>
        <v>December</v>
      </c>
      <c r="E344" s="16">
        <f>Table1[[#This Row],[Order Quantity]]*Table1[[#This Row],[Unit Price]]</f>
        <v>76.160000000000011</v>
      </c>
      <c r="F344">
        <v>17</v>
      </c>
      <c r="G344" s="16">
        <v>4.4800000000000004</v>
      </c>
      <c r="H344" t="s">
        <v>8</v>
      </c>
      <c r="I344" t="s">
        <v>94</v>
      </c>
      <c r="J344" t="s">
        <v>10</v>
      </c>
      <c r="K344" t="s">
        <v>11</v>
      </c>
    </row>
    <row r="345" spans="1:11" x14ac:dyDescent="0.45">
      <c r="A345">
        <v>775</v>
      </c>
      <c r="B345" s="15">
        <v>44637</v>
      </c>
      <c r="C345" t="str">
        <f>TEXT(Table1[[#This Row],[Order Date]], "yyyy")</f>
        <v>2022</v>
      </c>
      <c r="D345" t="str">
        <f>TEXT(Table1[[#This Row],[Order Date]], "mmmm")</f>
        <v>March</v>
      </c>
      <c r="E345" s="16">
        <f>Table1[[#This Row],[Order Quantity]]*Table1[[#This Row],[Unit Price]]</f>
        <v>44.1</v>
      </c>
      <c r="F345">
        <v>35</v>
      </c>
      <c r="G345" s="16">
        <v>1.26</v>
      </c>
      <c r="H345" t="s">
        <v>8</v>
      </c>
      <c r="I345" t="s">
        <v>95</v>
      </c>
      <c r="J345" t="s">
        <v>10</v>
      </c>
      <c r="K345" t="s">
        <v>11</v>
      </c>
    </row>
    <row r="346" spans="1:11" x14ac:dyDescent="0.45">
      <c r="A346">
        <v>775</v>
      </c>
      <c r="B346" s="15">
        <v>44637</v>
      </c>
      <c r="C346" t="str">
        <f>TEXT(Table1[[#This Row],[Order Date]], "yyyy")</f>
        <v>2022</v>
      </c>
      <c r="D346" t="str">
        <f>TEXT(Table1[[#This Row],[Order Date]], "mmmm")</f>
        <v>March</v>
      </c>
      <c r="E346" s="16">
        <f>Table1[[#This Row],[Order Quantity]]*Table1[[#This Row],[Unit Price]]</f>
        <v>34.08</v>
      </c>
      <c r="F346">
        <v>8</v>
      </c>
      <c r="G346" s="16">
        <v>4.26</v>
      </c>
      <c r="H346" t="s">
        <v>8</v>
      </c>
      <c r="I346" t="s">
        <v>95</v>
      </c>
      <c r="J346" t="s">
        <v>10</v>
      </c>
      <c r="K346" t="s">
        <v>11</v>
      </c>
    </row>
    <row r="347" spans="1:11" x14ac:dyDescent="0.45">
      <c r="A347">
        <v>801</v>
      </c>
      <c r="B347" s="15">
        <v>44974</v>
      </c>
      <c r="C347" t="str">
        <f>TEXT(Table1[[#This Row],[Order Date]], "yyyy")</f>
        <v>2023</v>
      </c>
      <c r="D347" t="str">
        <f>TEXT(Table1[[#This Row],[Order Date]], "mmmm")</f>
        <v>February</v>
      </c>
      <c r="E347" s="16">
        <f>Table1[[#This Row],[Order Quantity]]*Table1[[#This Row],[Unit Price]]</f>
        <v>54.800000000000004</v>
      </c>
      <c r="F347">
        <v>20</v>
      </c>
      <c r="G347" s="16">
        <v>2.74</v>
      </c>
      <c r="H347" t="s">
        <v>8</v>
      </c>
      <c r="I347" t="s">
        <v>96</v>
      </c>
      <c r="J347" t="s">
        <v>13</v>
      </c>
      <c r="K347" t="s">
        <v>11</v>
      </c>
    </row>
    <row r="348" spans="1:11" x14ac:dyDescent="0.45">
      <c r="A348">
        <v>802</v>
      </c>
      <c r="B348" s="15">
        <v>44565</v>
      </c>
      <c r="C348" t="str">
        <f>TEXT(Table1[[#This Row],[Order Date]], "yyyy")</f>
        <v>2022</v>
      </c>
      <c r="D348" t="str">
        <f>TEXT(Table1[[#This Row],[Order Date]], "mmmm")</f>
        <v>January</v>
      </c>
      <c r="E348" s="16">
        <f>Table1[[#This Row],[Order Quantity]]*Table1[[#This Row],[Unit Price]]</f>
        <v>386.09999999999997</v>
      </c>
      <c r="F348">
        <v>33</v>
      </c>
      <c r="G348" s="16">
        <v>11.7</v>
      </c>
      <c r="H348" t="s">
        <v>8</v>
      </c>
      <c r="I348" t="s">
        <v>97</v>
      </c>
      <c r="J348" t="s">
        <v>13</v>
      </c>
      <c r="K348" t="s">
        <v>11</v>
      </c>
    </row>
    <row r="349" spans="1:11" x14ac:dyDescent="0.45">
      <c r="A349">
        <v>802</v>
      </c>
      <c r="B349" s="15">
        <v>44565</v>
      </c>
      <c r="C349" t="str">
        <f>TEXT(Table1[[#This Row],[Order Date]], "yyyy")</f>
        <v>2022</v>
      </c>
      <c r="D349" t="str">
        <f>TEXT(Table1[[#This Row],[Order Date]], "mmmm")</f>
        <v>January</v>
      </c>
      <c r="E349" s="16">
        <f>Table1[[#This Row],[Order Quantity]]*Table1[[#This Row],[Unit Price]]</f>
        <v>31.98</v>
      </c>
      <c r="F349">
        <v>2</v>
      </c>
      <c r="G349" s="16">
        <v>15.99</v>
      </c>
      <c r="H349" t="s">
        <v>8</v>
      </c>
      <c r="I349" t="s">
        <v>97</v>
      </c>
      <c r="J349" t="s">
        <v>13</v>
      </c>
      <c r="K349" t="s">
        <v>17</v>
      </c>
    </row>
    <row r="350" spans="1:11" x14ac:dyDescent="0.45">
      <c r="A350">
        <v>805</v>
      </c>
      <c r="B350" s="15">
        <v>44746</v>
      </c>
      <c r="C350" t="str">
        <f>TEXT(Table1[[#This Row],[Order Date]], "yyyy")</f>
        <v>2022</v>
      </c>
      <c r="D350" t="str">
        <f>TEXT(Table1[[#This Row],[Order Date]], "mmmm")</f>
        <v>July</v>
      </c>
      <c r="E350" s="16">
        <f>Table1[[#This Row],[Order Quantity]]*Table1[[#This Row],[Unit Price]]</f>
        <v>193.82999999999998</v>
      </c>
      <c r="F350">
        <v>39</v>
      </c>
      <c r="G350" s="16">
        <v>4.97</v>
      </c>
      <c r="H350" t="s">
        <v>8</v>
      </c>
      <c r="I350" t="s">
        <v>98</v>
      </c>
      <c r="J350" t="s">
        <v>10</v>
      </c>
      <c r="K350" t="s">
        <v>15</v>
      </c>
    </row>
    <row r="351" spans="1:11" x14ac:dyDescent="0.45">
      <c r="A351">
        <v>807</v>
      </c>
      <c r="B351" s="15">
        <v>44523</v>
      </c>
      <c r="C351" t="str">
        <f>TEXT(Table1[[#This Row],[Order Date]], "yyyy")</f>
        <v>2021</v>
      </c>
      <c r="D351" t="str">
        <f>TEXT(Table1[[#This Row],[Order Date]], "mmmm")</f>
        <v>November</v>
      </c>
      <c r="E351" s="16">
        <f>Table1[[#This Row],[Order Quantity]]*Table1[[#This Row],[Unit Price]]</f>
        <v>192.60000000000002</v>
      </c>
      <c r="F351">
        <v>45</v>
      </c>
      <c r="G351" s="16">
        <v>4.28</v>
      </c>
      <c r="H351" t="s">
        <v>8</v>
      </c>
      <c r="I351" t="s">
        <v>99</v>
      </c>
      <c r="J351" t="s">
        <v>20</v>
      </c>
      <c r="K351" t="s">
        <v>11</v>
      </c>
    </row>
    <row r="352" spans="1:11" x14ac:dyDescent="0.45">
      <c r="A352">
        <v>807</v>
      </c>
      <c r="B352" s="15">
        <v>44523</v>
      </c>
      <c r="C352" t="str">
        <f>TEXT(Table1[[#This Row],[Order Date]], "yyyy")</f>
        <v>2021</v>
      </c>
      <c r="D352" t="str">
        <f>TEXT(Table1[[#This Row],[Order Date]], "mmmm")</f>
        <v>November</v>
      </c>
      <c r="E352" s="16">
        <f>Table1[[#This Row],[Order Quantity]]*Table1[[#This Row],[Unit Price]]</f>
        <v>126.4</v>
      </c>
      <c r="F352">
        <v>32</v>
      </c>
      <c r="G352" s="16">
        <v>3.95</v>
      </c>
      <c r="H352" t="s">
        <v>8</v>
      </c>
      <c r="I352" t="s">
        <v>99</v>
      </c>
      <c r="J352" t="s">
        <v>20</v>
      </c>
      <c r="K352" t="s">
        <v>11</v>
      </c>
    </row>
    <row r="353" spans="1:11" x14ac:dyDescent="0.45">
      <c r="A353">
        <v>832</v>
      </c>
      <c r="B353" s="15">
        <v>45034</v>
      </c>
      <c r="C353" t="str">
        <f>TEXT(Table1[[#This Row],[Order Date]], "yyyy")</f>
        <v>2023</v>
      </c>
      <c r="D353" t="str">
        <f>TEXT(Table1[[#This Row],[Order Date]], "mmmm")</f>
        <v>April</v>
      </c>
      <c r="E353" s="16">
        <f>Table1[[#This Row],[Order Quantity]]*Table1[[#This Row],[Unit Price]]</f>
        <v>45.36</v>
      </c>
      <c r="F353">
        <v>7</v>
      </c>
      <c r="G353" s="16">
        <v>6.48</v>
      </c>
      <c r="H353" t="s">
        <v>8</v>
      </c>
      <c r="I353" t="s">
        <v>100</v>
      </c>
      <c r="J353" t="s">
        <v>13</v>
      </c>
      <c r="K353" t="s">
        <v>11</v>
      </c>
    </row>
    <row r="354" spans="1:11" x14ac:dyDescent="0.45">
      <c r="A354">
        <v>833</v>
      </c>
      <c r="B354" s="15">
        <v>43873</v>
      </c>
      <c r="C354" t="str">
        <f>TEXT(Table1[[#This Row],[Order Date]], "yyyy")</f>
        <v>2020</v>
      </c>
      <c r="D354" t="str">
        <f>TEXT(Table1[[#This Row],[Order Date]], "mmmm")</f>
        <v>February</v>
      </c>
      <c r="E354" s="16">
        <f>Table1[[#This Row],[Order Quantity]]*Table1[[#This Row],[Unit Price]]</f>
        <v>12.53</v>
      </c>
      <c r="F354">
        <v>1</v>
      </c>
      <c r="G354" s="16">
        <v>12.53</v>
      </c>
      <c r="H354" t="s">
        <v>8</v>
      </c>
      <c r="I354" t="s">
        <v>101</v>
      </c>
      <c r="J354" t="s">
        <v>20</v>
      </c>
      <c r="K354" t="s">
        <v>11</v>
      </c>
    </row>
    <row r="355" spans="1:11" x14ac:dyDescent="0.45">
      <c r="A355">
        <v>835</v>
      </c>
      <c r="B355" s="15">
        <v>44841</v>
      </c>
      <c r="C355" t="str">
        <f>TEXT(Table1[[#This Row],[Order Date]], "yyyy")</f>
        <v>2022</v>
      </c>
      <c r="D355" t="str">
        <f>TEXT(Table1[[#This Row],[Order Date]], "mmmm")</f>
        <v>October</v>
      </c>
      <c r="E355" s="16">
        <f>Table1[[#This Row],[Order Quantity]]*Table1[[#This Row],[Unit Price]]</f>
        <v>116.64000000000001</v>
      </c>
      <c r="F355">
        <v>18</v>
      </c>
      <c r="G355" s="16">
        <v>6.48</v>
      </c>
      <c r="H355" t="s">
        <v>8</v>
      </c>
      <c r="I355" t="s">
        <v>84</v>
      </c>
      <c r="J355" t="s">
        <v>10</v>
      </c>
      <c r="K355" t="s">
        <v>11</v>
      </c>
    </row>
    <row r="356" spans="1:11" x14ac:dyDescent="0.45">
      <c r="A356">
        <v>837</v>
      </c>
      <c r="B356" s="15">
        <v>43996</v>
      </c>
      <c r="C356" t="str">
        <f>TEXT(Table1[[#This Row],[Order Date]], "yyyy")</f>
        <v>2020</v>
      </c>
      <c r="D356" t="str">
        <f>TEXT(Table1[[#This Row],[Order Date]], "mmmm")</f>
        <v>June</v>
      </c>
      <c r="E356" s="16">
        <f>Table1[[#This Row],[Order Quantity]]*Table1[[#This Row],[Unit Price]]</f>
        <v>64.239999999999995</v>
      </c>
      <c r="F356">
        <v>11</v>
      </c>
      <c r="G356" s="16">
        <v>5.84</v>
      </c>
      <c r="H356" t="s">
        <v>8</v>
      </c>
      <c r="I356" t="s">
        <v>103</v>
      </c>
      <c r="J356" t="s">
        <v>13</v>
      </c>
      <c r="K356" t="s">
        <v>11</v>
      </c>
    </row>
    <row r="357" spans="1:11" x14ac:dyDescent="0.45">
      <c r="A357">
        <v>868</v>
      </c>
      <c r="B357" s="15">
        <v>45085</v>
      </c>
      <c r="C357" t="str">
        <f>TEXT(Table1[[#This Row],[Order Date]], "yyyy")</f>
        <v>2023</v>
      </c>
      <c r="D357" t="str">
        <f>TEXT(Table1[[#This Row],[Order Date]], "mmmm")</f>
        <v>June</v>
      </c>
      <c r="E357" s="16">
        <f>Table1[[#This Row],[Order Quantity]]*Table1[[#This Row],[Unit Price]]</f>
        <v>696.96</v>
      </c>
      <c r="F357">
        <v>32</v>
      </c>
      <c r="G357" s="16">
        <v>21.78</v>
      </c>
      <c r="H357" t="s">
        <v>8</v>
      </c>
      <c r="I357" t="s">
        <v>104</v>
      </c>
      <c r="J357" t="s">
        <v>20</v>
      </c>
      <c r="K357" t="s">
        <v>11</v>
      </c>
    </row>
    <row r="358" spans="1:11" x14ac:dyDescent="0.45">
      <c r="A358">
        <v>868</v>
      </c>
      <c r="B358" s="15">
        <v>45085</v>
      </c>
      <c r="C358" t="str">
        <f>TEXT(Table1[[#This Row],[Order Date]], "yyyy")</f>
        <v>2023</v>
      </c>
      <c r="D358" t="str">
        <f>TEXT(Table1[[#This Row],[Order Date]], "mmmm")</f>
        <v>June</v>
      </c>
      <c r="E358" s="16">
        <f>Table1[[#This Row],[Order Quantity]]*Table1[[#This Row],[Unit Price]]</f>
        <v>1487.3799999999999</v>
      </c>
      <c r="F358">
        <v>31</v>
      </c>
      <c r="G358" s="16">
        <v>47.98</v>
      </c>
      <c r="H358" t="s">
        <v>8</v>
      </c>
      <c r="I358" t="s">
        <v>104</v>
      </c>
      <c r="J358" t="s">
        <v>20</v>
      </c>
      <c r="K358" t="s">
        <v>17</v>
      </c>
    </row>
    <row r="359" spans="1:11" x14ac:dyDescent="0.45">
      <c r="A359">
        <v>870</v>
      </c>
      <c r="B359" s="15">
        <v>44366</v>
      </c>
      <c r="C359" t="str">
        <f>TEXT(Table1[[#This Row],[Order Date]], "yyyy")</f>
        <v>2021</v>
      </c>
      <c r="D359" t="str">
        <f>TEXT(Table1[[#This Row],[Order Date]], "mmmm")</f>
        <v>June</v>
      </c>
      <c r="E359" s="16">
        <f>Table1[[#This Row],[Order Quantity]]*Table1[[#This Row],[Unit Price]]</f>
        <v>1632.31</v>
      </c>
      <c r="F359">
        <v>23</v>
      </c>
      <c r="G359" s="16">
        <v>70.97</v>
      </c>
      <c r="H359" t="s">
        <v>8</v>
      </c>
      <c r="I359" t="s">
        <v>70</v>
      </c>
      <c r="J359" t="s">
        <v>13</v>
      </c>
      <c r="K359" t="s">
        <v>11</v>
      </c>
    </row>
    <row r="360" spans="1:11" x14ac:dyDescent="0.45">
      <c r="A360">
        <v>871</v>
      </c>
      <c r="B360" s="15">
        <v>44879</v>
      </c>
      <c r="C360" t="str">
        <f>TEXT(Table1[[#This Row],[Order Date]], "yyyy")</f>
        <v>2022</v>
      </c>
      <c r="D360" t="str">
        <f>TEXT(Table1[[#This Row],[Order Date]], "mmmm")</f>
        <v>November</v>
      </c>
      <c r="E360" s="16">
        <f>Table1[[#This Row],[Order Quantity]]*Table1[[#This Row],[Unit Price]]</f>
        <v>106.08</v>
      </c>
      <c r="F360">
        <v>17</v>
      </c>
      <c r="G360" s="16">
        <v>6.24</v>
      </c>
      <c r="H360" t="s">
        <v>8</v>
      </c>
      <c r="I360" t="s">
        <v>105</v>
      </c>
      <c r="J360" t="s">
        <v>20</v>
      </c>
      <c r="K360" t="s">
        <v>15</v>
      </c>
    </row>
    <row r="361" spans="1:11" x14ac:dyDescent="0.45">
      <c r="A361">
        <v>896</v>
      </c>
      <c r="B361" s="15">
        <v>44263</v>
      </c>
      <c r="C361" t="str">
        <f>TEXT(Table1[[#This Row],[Order Date]], "yyyy")</f>
        <v>2021</v>
      </c>
      <c r="D361" t="str">
        <f>TEXT(Table1[[#This Row],[Order Date]], "mmmm")</f>
        <v>March</v>
      </c>
      <c r="E361" s="16">
        <f>Table1[[#This Row],[Order Quantity]]*Table1[[#This Row],[Unit Price]]</f>
        <v>1246</v>
      </c>
      <c r="F361">
        <v>50</v>
      </c>
      <c r="G361" s="16">
        <v>24.92</v>
      </c>
      <c r="H361" t="s">
        <v>8</v>
      </c>
      <c r="I361" t="s">
        <v>106</v>
      </c>
      <c r="J361" t="s">
        <v>20</v>
      </c>
      <c r="K361" t="s">
        <v>11</v>
      </c>
    </row>
    <row r="362" spans="1:11" x14ac:dyDescent="0.45">
      <c r="A362">
        <v>898</v>
      </c>
      <c r="B362" s="15">
        <v>44349</v>
      </c>
      <c r="C362" t="str">
        <f>TEXT(Table1[[#This Row],[Order Date]], "yyyy")</f>
        <v>2021</v>
      </c>
      <c r="D362" t="str">
        <f>TEXT(Table1[[#This Row],[Order Date]], "mmmm")</f>
        <v>June</v>
      </c>
      <c r="E362" s="16">
        <f>Table1[[#This Row],[Order Quantity]]*Table1[[#This Row],[Unit Price]]</f>
        <v>639.20000000000005</v>
      </c>
      <c r="F362">
        <v>40</v>
      </c>
      <c r="G362" s="16">
        <v>15.98</v>
      </c>
      <c r="H362" t="s">
        <v>8</v>
      </c>
      <c r="I362" t="s">
        <v>107</v>
      </c>
      <c r="J362" t="s">
        <v>23</v>
      </c>
      <c r="K362" t="s">
        <v>17</v>
      </c>
    </row>
    <row r="363" spans="1:11" x14ac:dyDescent="0.45">
      <c r="A363">
        <v>900</v>
      </c>
      <c r="B363" s="15">
        <v>44104</v>
      </c>
      <c r="C363" t="str">
        <f>TEXT(Table1[[#This Row],[Order Date]], "yyyy")</f>
        <v>2020</v>
      </c>
      <c r="D363" t="str">
        <f>TEXT(Table1[[#This Row],[Order Date]], "mmmm")</f>
        <v>September</v>
      </c>
      <c r="E363" s="16">
        <f>Table1[[#This Row],[Order Quantity]]*Table1[[#This Row],[Unit Price]]</f>
        <v>1188.4199999999998</v>
      </c>
      <c r="F363">
        <v>29</v>
      </c>
      <c r="G363" s="16">
        <v>40.98</v>
      </c>
      <c r="H363" t="s">
        <v>8</v>
      </c>
      <c r="I363" t="s">
        <v>108</v>
      </c>
      <c r="J363" t="s">
        <v>20</v>
      </c>
      <c r="K363" t="s">
        <v>11</v>
      </c>
    </row>
    <row r="364" spans="1:11" x14ac:dyDescent="0.45">
      <c r="A364">
        <v>902</v>
      </c>
      <c r="B364" s="15">
        <v>44038</v>
      </c>
      <c r="C364" t="str">
        <f>TEXT(Table1[[#This Row],[Order Date]], "yyyy")</f>
        <v>2020</v>
      </c>
      <c r="D364" t="str">
        <f>TEXT(Table1[[#This Row],[Order Date]], "mmmm")</f>
        <v>July</v>
      </c>
      <c r="E364" s="16">
        <f>Table1[[#This Row],[Order Quantity]]*Table1[[#This Row],[Unit Price]]</f>
        <v>2074.7999999999997</v>
      </c>
      <c r="F364">
        <v>10</v>
      </c>
      <c r="G364" s="16">
        <v>207.48</v>
      </c>
      <c r="H364" t="s">
        <v>8</v>
      </c>
      <c r="I364" t="s">
        <v>109</v>
      </c>
      <c r="J364" t="s">
        <v>13</v>
      </c>
      <c r="K364" t="s">
        <v>11</v>
      </c>
    </row>
    <row r="365" spans="1:11" x14ac:dyDescent="0.45">
      <c r="A365">
        <v>929</v>
      </c>
      <c r="B365" s="15">
        <v>45200</v>
      </c>
      <c r="C365" t="str">
        <f>TEXT(Table1[[#This Row],[Order Date]], "yyyy")</f>
        <v>2023</v>
      </c>
      <c r="D365" t="str">
        <f>TEXT(Table1[[#This Row],[Order Date]], "mmmm")</f>
        <v>October</v>
      </c>
      <c r="E365" s="16">
        <f>Table1[[#This Row],[Order Quantity]]*Table1[[#This Row],[Unit Price]]</f>
        <v>230.37</v>
      </c>
      <c r="F365">
        <v>21</v>
      </c>
      <c r="G365" s="16">
        <v>10.97</v>
      </c>
      <c r="H365" t="s">
        <v>8</v>
      </c>
      <c r="I365" t="s">
        <v>111</v>
      </c>
      <c r="J365" t="s">
        <v>13</v>
      </c>
      <c r="K365" t="s">
        <v>17</v>
      </c>
    </row>
    <row r="366" spans="1:11" x14ac:dyDescent="0.45">
      <c r="A366">
        <v>929</v>
      </c>
      <c r="B366" s="15">
        <v>45200</v>
      </c>
      <c r="C366" t="str">
        <f>TEXT(Table1[[#This Row],[Order Date]], "yyyy")</f>
        <v>2023</v>
      </c>
      <c r="D366" t="str">
        <f>TEXT(Table1[[#This Row],[Order Date]], "mmmm")</f>
        <v>October</v>
      </c>
      <c r="E366" s="16">
        <f>Table1[[#This Row],[Order Quantity]]*Table1[[#This Row],[Unit Price]]</f>
        <v>81.12</v>
      </c>
      <c r="F366">
        <v>39</v>
      </c>
      <c r="G366" s="16">
        <v>2.08</v>
      </c>
      <c r="H366" t="s">
        <v>8</v>
      </c>
      <c r="I366" t="s">
        <v>111</v>
      </c>
      <c r="J366" t="s">
        <v>13</v>
      </c>
      <c r="K366" t="s">
        <v>11</v>
      </c>
    </row>
    <row r="367" spans="1:11" x14ac:dyDescent="0.45">
      <c r="A367">
        <v>930</v>
      </c>
      <c r="B367" s="15">
        <v>44181</v>
      </c>
      <c r="C367" t="str">
        <f>TEXT(Table1[[#This Row],[Order Date]], "yyyy")</f>
        <v>2020</v>
      </c>
      <c r="D367" t="str">
        <f>TEXT(Table1[[#This Row],[Order Date]], "mmmm")</f>
        <v>December</v>
      </c>
      <c r="E367" s="16">
        <f>Table1[[#This Row],[Order Quantity]]*Table1[[#This Row],[Unit Price]]</f>
        <v>75.679999999999993</v>
      </c>
      <c r="F367">
        <v>11</v>
      </c>
      <c r="G367" s="16">
        <v>6.88</v>
      </c>
      <c r="H367" t="s">
        <v>8</v>
      </c>
      <c r="I367" t="s">
        <v>112</v>
      </c>
      <c r="J367" t="s">
        <v>10</v>
      </c>
      <c r="K367" t="s">
        <v>11</v>
      </c>
    </row>
    <row r="368" spans="1:11" x14ac:dyDescent="0.45">
      <c r="A368">
        <v>933</v>
      </c>
      <c r="B368" s="15">
        <v>45142</v>
      </c>
      <c r="C368" t="str">
        <f>TEXT(Table1[[#This Row],[Order Date]], "yyyy")</f>
        <v>2023</v>
      </c>
      <c r="D368" t="str">
        <f>TEXT(Table1[[#This Row],[Order Date]], "mmmm")</f>
        <v>August</v>
      </c>
      <c r="E368" s="16">
        <f>Table1[[#This Row],[Order Quantity]]*Table1[[#This Row],[Unit Price]]</f>
        <v>79.2</v>
      </c>
      <c r="F368">
        <v>15</v>
      </c>
      <c r="G368" s="16">
        <v>5.28</v>
      </c>
      <c r="H368" t="s">
        <v>8</v>
      </c>
      <c r="I368" t="s">
        <v>113</v>
      </c>
      <c r="J368" t="s">
        <v>10</v>
      </c>
      <c r="K368" t="s">
        <v>11</v>
      </c>
    </row>
    <row r="369" spans="1:11" x14ac:dyDescent="0.45">
      <c r="A369">
        <v>960</v>
      </c>
      <c r="B369" s="15">
        <v>44094</v>
      </c>
      <c r="C369" t="str">
        <f>TEXT(Table1[[#This Row],[Order Date]], "yyyy")</f>
        <v>2020</v>
      </c>
      <c r="D369" t="str">
        <f>TEXT(Table1[[#This Row],[Order Date]], "mmmm")</f>
        <v>September</v>
      </c>
      <c r="E369" s="16">
        <f>Table1[[#This Row],[Order Quantity]]*Table1[[#This Row],[Unit Price]]</f>
        <v>631.58000000000004</v>
      </c>
      <c r="F369">
        <v>46</v>
      </c>
      <c r="G369" s="16">
        <v>13.73</v>
      </c>
      <c r="H369" t="s">
        <v>8</v>
      </c>
      <c r="I369" t="s">
        <v>114</v>
      </c>
      <c r="J369" t="s">
        <v>23</v>
      </c>
      <c r="K369" t="s">
        <v>15</v>
      </c>
    </row>
    <row r="370" spans="1:11" x14ac:dyDescent="0.45">
      <c r="A370">
        <v>962</v>
      </c>
      <c r="B370" s="15">
        <v>43956</v>
      </c>
      <c r="C370" t="str">
        <f>TEXT(Table1[[#This Row],[Order Date]], "yyyy")</f>
        <v>2020</v>
      </c>
      <c r="D370" t="str">
        <f>TEXT(Table1[[#This Row],[Order Date]], "mmmm")</f>
        <v>May</v>
      </c>
      <c r="E370" s="16">
        <f>Table1[[#This Row],[Order Quantity]]*Table1[[#This Row],[Unit Price]]</f>
        <v>4058.6699999999996</v>
      </c>
      <c r="F370">
        <v>33</v>
      </c>
      <c r="G370" s="16">
        <v>122.99</v>
      </c>
      <c r="H370" t="s">
        <v>8</v>
      </c>
      <c r="I370" t="s">
        <v>115</v>
      </c>
      <c r="J370" t="s">
        <v>10</v>
      </c>
      <c r="K370" t="s">
        <v>11</v>
      </c>
    </row>
    <row r="371" spans="1:11" x14ac:dyDescent="0.45">
      <c r="A371">
        <v>964</v>
      </c>
      <c r="B371" s="15">
        <v>44700</v>
      </c>
      <c r="C371" t="str">
        <f>TEXT(Table1[[#This Row],[Order Date]], "yyyy")</f>
        <v>2022</v>
      </c>
      <c r="D371" t="str">
        <f>TEXT(Table1[[#This Row],[Order Date]], "mmmm")</f>
        <v>May</v>
      </c>
      <c r="E371" s="16">
        <f>Table1[[#This Row],[Order Quantity]]*Table1[[#This Row],[Unit Price]]</f>
        <v>299</v>
      </c>
      <c r="F371">
        <v>50</v>
      </c>
      <c r="G371" s="16">
        <v>5.98</v>
      </c>
      <c r="H371" t="s">
        <v>8</v>
      </c>
      <c r="I371" t="s">
        <v>116</v>
      </c>
      <c r="J371" t="s">
        <v>13</v>
      </c>
      <c r="K371" t="s">
        <v>11</v>
      </c>
    </row>
    <row r="372" spans="1:11" x14ac:dyDescent="0.45">
      <c r="A372">
        <v>964</v>
      </c>
      <c r="B372" s="15">
        <v>44700</v>
      </c>
      <c r="C372" t="str">
        <f>TEXT(Table1[[#This Row],[Order Date]], "yyyy")</f>
        <v>2022</v>
      </c>
      <c r="D372" t="str">
        <f>TEXT(Table1[[#This Row],[Order Date]], "mmmm")</f>
        <v>May</v>
      </c>
      <c r="E372" s="16">
        <f>Table1[[#This Row],[Order Quantity]]*Table1[[#This Row],[Unit Price]]</f>
        <v>39.72</v>
      </c>
      <c r="F372">
        <v>4</v>
      </c>
      <c r="G372" s="16">
        <v>9.93</v>
      </c>
      <c r="H372" t="s">
        <v>8</v>
      </c>
      <c r="I372" t="s">
        <v>116</v>
      </c>
      <c r="J372" t="s">
        <v>13</v>
      </c>
      <c r="K372" t="s">
        <v>11</v>
      </c>
    </row>
    <row r="373" spans="1:11" x14ac:dyDescent="0.45">
      <c r="A373">
        <v>967</v>
      </c>
      <c r="B373" s="15">
        <v>45097</v>
      </c>
      <c r="C373" t="str">
        <f>TEXT(Table1[[#This Row],[Order Date]], "yyyy")</f>
        <v>2023</v>
      </c>
      <c r="D373" t="str">
        <f>TEXT(Table1[[#This Row],[Order Date]], "mmmm")</f>
        <v>June</v>
      </c>
      <c r="E373" s="16">
        <f>Table1[[#This Row],[Order Quantity]]*Table1[[#This Row],[Unit Price]]</f>
        <v>83.94</v>
      </c>
      <c r="F373">
        <v>6</v>
      </c>
      <c r="G373" s="16">
        <v>13.99</v>
      </c>
      <c r="H373" t="s">
        <v>8</v>
      </c>
      <c r="I373" t="s">
        <v>118</v>
      </c>
      <c r="J373" t="s">
        <v>23</v>
      </c>
      <c r="K373" t="s">
        <v>17</v>
      </c>
    </row>
    <row r="374" spans="1:11" x14ac:dyDescent="0.45">
      <c r="A374">
        <v>967</v>
      </c>
      <c r="B374" s="15">
        <v>45097</v>
      </c>
      <c r="C374" t="str">
        <f>TEXT(Table1[[#This Row],[Order Date]], "yyyy")</f>
        <v>2023</v>
      </c>
      <c r="D374" t="str">
        <f>TEXT(Table1[[#This Row],[Order Date]], "mmmm")</f>
        <v>June</v>
      </c>
      <c r="E374" s="16">
        <f>Table1[[#This Row],[Order Quantity]]*Table1[[#This Row],[Unit Price]]</f>
        <v>1585.0800000000002</v>
      </c>
      <c r="F374">
        <v>42</v>
      </c>
      <c r="G374" s="16">
        <v>37.74</v>
      </c>
      <c r="H374" t="s">
        <v>8</v>
      </c>
      <c r="I374" t="s">
        <v>118</v>
      </c>
      <c r="J374" t="s">
        <v>23</v>
      </c>
      <c r="K374" t="s">
        <v>11</v>
      </c>
    </row>
    <row r="375" spans="1:11" x14ac:dyDescent="0.45">
      <c r="A375">
        <v>994</v>
      </c>
      <c r="B375" s="15">
        <v>43940</v>
      </c>
      <c r="C375" t="str">
        <f>TEXT(Table1[[#This Row],[Order Date]], "yyyy")</f>
        <v>2020</v>
      </c>
      <c r="D375" t="str">
        <f>TEXT(Table1[[#This Row],[Order Date]], "mmmm")</f>
        <v>April</v>
      </c>
      <c r="E375" s="16">
        <f>Table1[[#This Row],[Order Quantity]]*Table1[[#This Row],[Unit Price]]</f>
        <v>136.04</v>
      </c>
      <c r="F375">
        <v>38</v>
      </c>
      <c r="G375" s="16">
        <v>3.58</v>
      </c>
      <c r="H375" t="s">
        <v>8</v>
      </c>
      <c r="I375" t="s">
        <v>119</v>
      </c>
      <c r="J375" t="s">
        <v>13</v>
      </c>
      <c r="K375" t="s">
        <v>11</v>
      </c>
    </row>
    <row r="376" spans="1:11" x14ac:dyDescent="0.45">
      <c r="A376">
        <v>995</v>
      </c>
      <c r="B376" s="15">
        <v>44711</v>
      </c>
      <c r="C376" t="str">
        <f>TEXT(Table1[[#This Row],[Order Date]], "yyyy")</f>
        <v>2022</v>
      </c>
      <c r="D376" t="str">
        <f>TEXT(Table1[[#This Row],[Order Date]], "mmmm")</f>
        <v>May</v>
      </c>
      <c r="E376" s="16">
        <f>Table1[[#This Row],[Order Quantity]]*Table1[[#This Row],[Unit Price]]</f>
        <v>1834.94</v>
      </c>
      <c r="F376">
        <v>46</v>
      </c>
      <c r="G376" s="16">
        <v>39.89</v>
      </c>
      <c r="H376" t="s">
        <v>8</v>
      </c>
      <c r="I376" t="s">
        <v>99</v>
      </c>
      <c r="J376" t="s">
        <v>20</v>
      </c>
      <c r="K376" t="s">
        <v>15</v>
      </c>
    </row>
    <row r="377" spans="1:11" x14ac:dyDescent="0.45">
      <c r="A377">
        <v>998</v>
      </c>
      <c r="B377" s="15">
        <v>44160</v>
      </c>
      <c r="C377" t="str">
        <f>TEXT(Table1[[#This Row],[Order Date]], "yyyy")</f>
        <v>2020</v>
      </c>
      <c r="D377" t="str">
        <f>TEXT(Table1[[#This Row],[Order Date]], "mmmm")</f>
        <v>November</v>
      </c>
      <c r="E377" s="16">
        <f>Table1[[#This Row],[Order Quantity]]*Table1[[#This Row],[Unit Price]]</f>
        <v>251.84</v>
      </c>
      <c r="F377">
        <v>16</v>
      </c>
      <c r="G377" s="16">
        <v>15.74</v>
      </c>
      <c r="H377" t="s">
        <v>8</v>
      </c>
      <c r="I377" t="s">
        <v>120</v>
      </c>
      <c r="J377" t="s">
        <v>10</v>
      </c>
      <c r="K377" t="s">
        <v>11</v>
      </c>
    </row>
    <row r="378" spans="1:11" x14ac:dyDescent="0.45">
      <c r="A378">
        <v>999</v>
      </c>
      <c r="B378" s="15">
        <v>44443</v>
      </c>
      <c r="C378" t="str">
        <f>TEXT(Table1[[#This Row],[Order Date]], "yyyy")</f>
        <v>2021</v>
      </c>
      <c r="D378" t="str">
        <f>TEXT(Table1[[#This Row],[Order Date]], "mmmm")</f>
        <v>September</v>
      </c>
      <c r="E378" s="16">
        <f>Table1[[#This Row],[Order Quantity]]*Table1[[#This Row],[Unit Price]]</f>
        <v>572.58000000000004</v>
      </c>
      <c r="F378">
        <v>6</v>
      </c>
      <c r="G378" s="16">
        <v>95.43</v>
      </c>
      <c r="H378" t="s">
        <v>8</v>
      </c>
      <c r="I378" t="s">
        <v>121</v>
      </c>
      <c r="J378" t="s">
        <v>20</v>
      </c>
      <c r="K378" t="s">
        <v>11</v>
      </c>
    </row>
    <row r="379" spans="1:11" x14ac:dyDescent="0.45">
      <c r="A379">
        <v>1028</v>
      </c>
      <c r="B379" s="15">
        <v>43835</v>
      </c>
      <c r="C379" t="str">
        <f>TEXT(Table1[[#This Row],[Order Date]], "yyyy")</f>
        <v>2020</v>
      </c>
      <c r="D379" t="str">
        <f>TEXT(Table1[[#This Row],[Order Date]], "mmmm")</f>
        <v>January</v>
      </c>
      <c r="E379" s="16">
        <f>Table1[[#This Row],[Order Quantity]]*Table1[[#This Row],[Unit Price]]</f>
        <v>170.88</v>
      </c>
      <c r="F379">
        <v>6</v>
      </c>
      <c r="G379" s="16">
        <v>28.48</v>
      </c>
      <c r="H379" t="s">
        <v>8</v>
      </c>
      <c r="I379" t="s">
        <v>66</v>
      </c>
      <c r="J379" t="s">
        <v>23</v>
      </c>
      <c r="K379" t="s">
        <v>17</v>
      </c>
    </row>
    <row r="380" spans="1:11" x14ac:dyDescent="0.45">
      <c r="A380">
        <v>1028</v>
      </c>
      <c r="B380" s="15">
        <v>43835</v>
      </c>
      <c r="C380" t="str">
        <f>TEXT(Table1[[#This Row],[Order Date]], "yyyy")</f>
        <v>2020</v>
      </c>
      <c r="D380" t="str">
        <f>TEXT(Table1[[#This Row],[Order Date]], "mmmm")</f>
        <v>January</v>
      </c>
      <c r="E380" s="16">
        <f>Table1[[#This Row],[Order Quantity]]*Table1[[#This Row],[Unit Price]]</f>
        <v>2265.8900000000003</v>
      </c>
      <c r="F380">
        <v>11</v>
      </c>
      <c r="G380" s="16">
        <v>205.99</v>
      </c>
      <c r="H380" t="s">
        <v>8</v>
      </c>
      <c r="I380" t="s">
        <v>66</v>
      </c>
      <c r="J380" t="s">
        <v>23</v>
      </c>
      <c r="K380" t="s">
        <v>17</v>
      </c>
    </row>
    <row r="381" spans="1:11" x14ac:dyDescent="0.45">
      <c r="A381">
        <v>1031</v>
      </c>
      <c r="B381" s="15">
        <v>44074</v>
      </c>
      <c r="C381" t="str">
        <f>TEXT(Table1[[#This Row],[Order Date]], "yyyy")</f>
        <v>2020</v>
      </c>
      <c r="D381" t="str">
        <f>TEXT(Table1[[#This Row],[Order Date]], "mmmm")</f>
        <v>August</v>
      </c>
      <c r="E381" s="16">
        <f>Table1[[#This Row],[Order Quantity]]*Table1[[#This Row],[Unit Price]]</f>
        <v>216.58</v>
      </c>
      <c r="F381">
        <v>34</v>
      </c>
      <c r="G381" s="16">
        <v>6.37</v>
      </c>
      <c r="H381" t="s">
        <v>8</v>
      </c>
      <c r="I381" t="s">
        <v>107</v>
      </c>
      <c r="J381" t="s">
        <v>23</v>
      </c>
      <c r="K381" t="s">
        <v>11</v>
      </c>
    </row>
    <row r="382" spans="1:11" x14ac:dyDescent="0.45">
      <c r="A382">
        <v>1057</v>
      </c>
      <c r="B382" s="15">
        <v>44976</v>
      </c>
      <c r="C382" t="str">
        <f>TEXT(Table1[[#This Row],[Order Date]], "yyyy")</f>
        <v>2023</v>
      </c>
      <c r="D382" t="str">
        <f>TEXT(Table1[[#This Row],[Order Date]], "mmmm")</f>
        <v>February</v>
      </c>
      <c r="E382" s="16">
        <f>Table1[[#This Row],[Order Quantity]]*Table1[[#This Row],[Unit Price]]</f>
        <v>346.86</v>
      </c>
      <c r="F382">
        <v>41</v>
      </c>
      <c r="G382" s="16">
        <v>8.4600000000000009</v>
      </c>
      <c r="H382" t="s">
        <v>8</v>
      </c>
      <c r="I382" t="s">
        <v>123</v>
      </c>
      <c r="J382" t="s">
        <v>13</v>
      </c>
      <c r="K382" t="s">
        <v>17</v>
      </c>
    </row>
    <row r="383" spans="1:11" x14ac:dyDescent="0.45">
      <c r="A383">
        <v>1058</v>
      </c>
      <c r="B383" s="15">
        <v>44311</v>
      </c>
      <c r="C383" t="str">
        <f>TEXT(Table1[[#This Row],[Order Date]], "yyyy")</f>
        <v>2021</v>
      </c>
      <c r="D383" t="str">
        <f>TEXT(Table1[[#This Row],[Order Date]], "mmmm")</f>
        <v>April</v>
      </c>
      <c r="E383" s="16">
        <f>Table1[[#This Row],[Order Quantity]]*Table1[[#This Row],[Unit Price]]</f>
        <v>587.97</v>
      </c>
      <c r="F383">
        <v>3</v>
      </c>
      <c r="G383" s="16">
        <v>195.99</v>
      </c>
      <c r="H383" t="s">
        <v>8</v>
      </c>
      <c r="I383" t="s">
        <v>124</v>
      </c>
      <c r="J383" t="s">
        <v>10</v>
      </c>
      <c r="K383" t="s">
        <v>17</v>
      </c>
    </row>
    <row r="384" spans="1:11" x14ac:dyDescent="0.45">
      <c r="A384">
        <v>1059</v>
      </c>
      <c r="B384" s="15">
        <v>43887</v>
      </c>
      <c r="C384" t="str">
        <f>TEXT(Table1[[#This Row],[Order Date]], "yyyy")</f>
        <v>2020</v>
      </c>
      <c r="D384" t="str">
        <f>TEXT(Table1[[#This Row],[Order Date]], "mmmm")</f>
        <v>February</v>
      </c>
      <c r="E384" s="16">
        <f>Table1[[#This Row],[Order Quantity]]*Table1[[#This Row],[Unit Price]]</f>
        <v>117.47999999999999</v>
      </c>
      <c r="F384">
        <v>22</v>
      </c>
      <c r="G384" s="16">
        <v>5.34</v>
      </c>
      <c r="H384" t="s">
        <v>8</v>
      </c>
      <c r="I384" t="s">
        <v>103</v>
      </c>
      <c r="J384" t="s">
        <v>13</v>
      </c>
      <c r="K384" t="s">
        <v>11</v>
      </c>
    </row>
    <row r="385" spans="1:11" x14ac:dyDescent="0.45">
      <c r="A385">
        <v>1059</v>
      </c>
      <c r="B385" s="15">
        <v>43887</v>
      </c>
      <c r="C385" t="str">
        <f>TEXT(Table1[[#This Row],[Order Date]], "yyyy")</f>
        <v>2020</v>
      </c>
      <c r="D385" t="str">
        <f>TEXT(Table1[[#This Row],[Order Date]], "mmmm")</f>
        <v>February</v>
      </c>
      <c r="E385" s="16">
        <f>Table1[[#This Row],[Order Quantity]]*Table1[[#This Row],[Unit Price]]</f>
        <v>983.52</v>
      </c>
      <c r="F385">
        <v>24</v>
      </c>
      <c r="G385" s="16">
        <v>40.98</v>
      </c>
      <c r="H385" t="s">
        <v>8</v>
      </c>
      <c r="I385" t="s">
        <v>103</v>
      </c>
      <c r="J385" t="s">
        <v>13</v>
      </c>
      <c r="K385" t="s">
        <v>11</v>
      </c>
    </row>
    <row r="386" spans="1:11" x14ac:dyDescent="0.45">
      <c r="A386">
        <v>1060</v>
      </c>
      <c r="B386" s="15">
        <v>44247</v>
      </c>
      <c r="C386" t="str">
        <f>TEXT(Table1[[#This Row],[Order Date]], "yyyy")</f>
        <v>2021</v>
      </c>
      <c r="D386" t="str">
        <f>TEXT(Table1[[#This Row],[Order Date]], "mmmm")</f>
        <v>February</v>
      </c>
      <c r="E386" s="16">
        <f>Table1[[#This Row],[Order Quantity]]*Table1[[#This Row],[Unit Price]]</f>
        <v>1131</v>
      </c>
      <c r="F386">
        <v>30</v>
      </c>
      <c r="G386" s="16">
        <v>37.700000000000003</v>
      </c>
      <c r="H386" t="s">
        <v>8</v>
      </c>
      <c r="I386" t="s">
        <v>125</v>
      </c>
      <c r="J386" t="s">
        <v>13</v>
      </c>
      <c r="K386" t="s">
        <v>11</v>
      </c>
    </row>
    <row r="387" spans="1:11" x14ac:dyDescent="0.45">
      <c r="A387">
        <v>1088</v>
      </c>
      <c r="B387" s="15">
        <v>45066</v>
      </c>
      <c r="C387" t="str">
        <f>TEXT(Table1[[#This Row],[Order Date]], "yyyy")</f>
        <v>2023</v>
      </c>
      <c r="D387" t="str">
        <f>TEXT(Table1[[#This Row],[Order Date]], "mmmm")</f>
        <v>May</v>
      </c>
      <c r="E387" s="16">
        <f>Table1[[#This Row],[Order Quantity]]*Table1[[#This Row],[Unit Price]]</f>
        <v>272.61</v>
      </c>
      <c r="F387">
        <v>13</v>
      </c>
      <c r="G387" s="16">
        <v>20.97</v>
      </c>
      <c r="H387" t="s">
        <v>8</v>
      </c>
      <c r="I387" t="s">
        <v>126</v>
      </c>
      <c r="J387" t="s">
        <v>23</v>
      </c>
      <c r="K387" t="s">
        <v>17</v>
      </c>
    </row>
    <row r="388" spans="1:11" x14ac:dyDescent="0.45">
      <c r="A388">
        <v>1095</v>
      </c>
      <c r="B388" s="15">
        <v>44794</v>
      </c>
      <c r="C388" t="str">
        <f>TEXT(Table1[[#This Row],[Order Date]], "yyyy")</f>
        <v>2022</v>
      </c>
      <c r="D388" t="str">
        <f>TEXT(Table1[[#This Row],[Order Date]], "mmmm")</f>
        <v>August</v>
      </c>
      <c r="E388" s="16">
        <f>Table1[[#This Row],[Order Quantity]]*Table1[[#This Row],[Unit Price]]</f>
        <v>139.44</v>
      </c>
      <c r="F388">
        <v>28</v>
      </c>
      <c r="G388" s="16">
        <v>4.9800000000000004</v>
      </c>
      <c r="H388" t="s">
        <v>8</v>
      </c>
      <c r="I388" t="s">
        <v>127</v>
      </c>
      <c r="J388" t="s">
        <v>23</v>
      </c>
      <c r="K388" t="s">
        <v>11</v>
      </c>
    </row>
    <row r="389" spans="1:11" x14ac:dyDescent="0.45">
      <c r="A389">
        <v>1127</v>
      </c>
      <c r="B389" s="15">
        <v>44822</v>
      </c>
      <c r="C389" t="str">
        <f>TEXT(Table1[[#This Row],[Order Date]], "yyyy")</f>
        <v>2022</v>
      </c>
      <c r="D389" t="str">
        <f>TEXT(Table1[[#This Row],[Order Date]], "mmmm")</f>
        <v>September</v>
      </c>
      <c r="E389" s="16">
        <f>Table1[[#This Row],[Order Quantity]]*Table1[[#This Row],[Unit Price]]</f>
        <v>5327.04</v>
      </c>
      <c r="F389">
        <v>48</v>
      </c>
      <c r="G389" s="16">
        <v>110.98</v>
      </c>
      <c r="H389" t="s">
        <v>8</v>
      </c>
      <c r="I389" t="s">
        <v>62</v>
      </c>
      <c r="J389" t="s">
        <v>23</v>
      </c>
      <c r="K389" t="s">
        <v>15</v>
      </c>
    </row>
    <row r="390" spans="1:11" x14ac:dyDescent="0.45">
      <c r="A390">
        <v>1154</v>
      </c>
      <c r="B390" s="15">
        <v>44971</v>
      </c>
      <c r="C390" t="str">
        <f>TEXT(Table1[[#This Row],[Order Date]], "yyyy")</f>
        <v>2023</v>
      </c>
      <c r="D390" t="str">
        <f>TEXT(Table1[[#This Row],[Order Date]], "mmmm")</f>
        <v>February</v>
      </c>
      <c r="E390" s="16">
        <f>Table1[[#This Row],[Order Quantity]]*Table1[[#This Row],[Unit Price]]</f>
        <v>785.07</v>
      </c>
      <c r="F390">
        <v>11</v>
      </c>
      <c r="G390" s="16">
        <v>71.37</v>
      </c>
      <c r="H390" t="s">
        <v>8</v>
      </c>
      <c r="I390" t="s">
        <v>128</v>
      </c>
      <c r="J390" t="s">
        <v>20</v>
      </c>
      <c r="K390" t="s">
        <v>15</v>
      </c>
    </row>
    <row r="391" spans="1:11" x14ac:dyDescent="0.45">
      <c r="A391">
        <v>1154</v>
      </c>
      <c r="B391" s="15">
        <v>44971</v>
      </c>
      <c r="C391" t="str">
        <f>TEXT(Table1[[#This Row],[Order Date]], "yyyy")</f>
        <v>2023</v>
      </c>
      <c r="D391" t="str">
        <f>TEXT(Table1[[#This Row],[Order Date]], "mmmm")</f>
        <v>February</v>
      </c>
      <c r="E391" s="16">
        <f>Table1[[#This Row],[Order Quantity]]*Table1[[#This Row],[Unit Price]]</f>
        <v>112.93</v>
      </c>
      <c r="F391">
        <v>23</v>
      </c>
      <c r="G391" s="16">
        <v>4.91</v>
      </c>
      <c r="H391" t="s">
        <v>8</v>
      </c>
      <c r="I391" t="s">
        <v>129</v>
      </c>
      <c r="J391" t="s">
        <v>20</v>
      </c>
      <c r="K391" t="s">
        <v>11</v>
      </c>
    </row>
    <row r="392" spans="1:11" x14ac:dyDescent="0.45">
      <c r="A392">
        <v>1185</v>
      </c>
      <c r="B392" s="15">
        <v>45161</v>
      </c>
      <c r="C392" t="str">
        <f>TEXT(Table1[[#This Row],[Order Date]], "yyyy")</f>
        <v>2023</v>
      </c>
      <c r="D392" t="str">
        <f>TEXT(Table1[[#This Row],[Order Date]], "mmmm")</f>
        <v>August</v>
      </c>
      <c r="E392" s="16">
        <f>Table1[[#This Row],[Order Quantity]]*Table1[[#This Row],[Unit Price]]</f>
        <v>388.35999999999996</v>
      </c>
      <c r="F392">
        <v>7</v>
      </c>
      <c r="G392" s="16">
        <v>55.48</v>
      </c>
      <c r="H392" t="s">
        <v>8</v>
      </c>
      <c r="I392" t="s">
        <v>130</v>
      </c>
      <c r="J392" t="s">
        <v>20</v>
      </c>
      <c r="K392" t="s">
        <v>11</v>
      </c>
    </row>
    <row r="393" spans="1:11" x14ac:dyDescent="0.45">
      <c r="A393">
        <v>1187</v>
      </c>
      <c r="B393" s="15">
        <v>45249</v>
      </c>
      <c r="C393" t="str">
        <f>TEXT(Table1[[#This Row],[Order Date]], "yyyy")</f>
        <v>2023</v>
      </c>
      <c r="D393" t="str">
        <f>TEXT(Table1[[#This Row],[Order Date]], "mmmm")</f>
        <v>November</v>
      </c>
      <c r="E393" s="16">
        <f>Table1[[#This Row],[Order Quantity]]*Table1[[#This Row],[Unit Price]]</f>
        <v>223.72</v>
      </c>
      <c r="F393">
        <v>14</v>
      </c>
      <c r="G393" s="16">
        <v>15.98</v>
      </c>
      <c r="H393" t="s">
        <v>8</v>
      </c>
      <c r="I393" t="s">
        <v>131</v>
      </c>
      <c r="J393" t="s">
        <v>13</v>
      </c>
      <c r="K393" t="s">
        <v>17</v>
      </c>
    </row>
    <row r="394" spans="1:11" x14ac:dyDescent="0.45">
      <c r="A394">
        <v>1189</v>
      </c>
      <c r="B394" s="15">
        <v>43929</v>
      </c>
      <c r="C394" t="str">
        <f>TEXT(Table1[[#This Row],[Order Date]], "yyyy")</f>
        <v>2020</v>
      </c>
      <c r="D394" t="str">
        <f>TEXT(Table1[[#This Row],[Order Date]], "mmmm")</f>
        <v>April</v>
      </c>
      <c r="E394" s="16">
        <f>Table1[[#This Row],[Order Quantity]]*Table1[[#This Row],[Unit Price]]</f>
        <v>119.34</v>
      </c>
      <c r="F394">
        <v>27</v>
      </c>
      <c r="G394" s="16">
        <v>4.42</v>
      </c>
      <c r="H394" t="s">
        <v>8</v>
      </c>
      <c r="I394" t="s">
        <v>132</v>
      </c>
      <c r="J394" t="s">
        <v>10</v>
      </c>
      <c r="K394" t="s">
        <v>11</v>
      </c>
    </row>
    <row r="395" spans="1:11" x14ac:dyDescent="0.45">
      <c r="A395">
        <v>1217</v>
      </c>
      <c r="B395" s="15">
        <v>45041</v>
      </c>
      <c r="C395" t="str">
        <f>TEXT(Table1[[#This Row],[Order Date]], "yyyy")</f>
        <v>2023</v>
      </c>
      <c r="D395" t="str">
        <f>TEXT(Table1[[#This Row],[Order Date]], "mmmm")</f>
        <v>April</v>
      </c>
      <c r="E395" s="16">
        <f>Table1[[#This Row],[Order Quantity]]*Table1[[#This Row],[Unit Price]]</f>
        <v>712</v>
      </c>
      <c r="F395">
        <v>25</v>
      </c>
      <c r="G395" s="16">
        <v>28.48</v>
      </c>
      <c r="H395" t="s">
        <v>8</v>
      </c>
      <c r="I395" t="s">
        <v>134</v>
      </c>
      <c r="J395" t="s">
        <v>13</v>
      </c>
      <c r="K395" t="s">
        <v>17</v>
      </c>
    </row>
    <row r="396" spans="1:11" x14ac:dyDescent="0.45">
      <c r="A396">
        <v>1218</v>
      </c>
      <c r="B396" s="15">
        <v>44001</v>
      </c>
      <c r="C396" t="str">
        <f>TEXT(Table1[[#This Row],[Order Date]], "yyyy")</f>
        <v>2020</v>
      </c>
      <c r="D396" t="str">
        <f>TEXT(Table1[[#This Row],[Order Date]], "mmmm")</f>
        <v>June</v>
      </c>
      <c r="E396" s="16">
        <f>Table1[[#This Row],[Order Quantity]]*Table1[[#This Row],[Unit Price]]</f>
        <v>43.26</v>
      </c>
      <c r="F396">
        <v>3</v>
      </c>
      <c r="G396" s="16">
        <v>14.42</v>
      </c>
      <c r="H396" t="s">
        <v>8</v>
      </c>
      <c r="I396" t="s">
        <v>135</v>
      </c>
      <c r="J396" t="s">
        <v>13</v>
      </c>
      <c r="K396" t="s">
        <v>11</v>
      </c>
    </row>
    <row r="397" spans="1:11" x14ac:dyDescent="0.45">
      <c r="A397">
        <v>1221</v>
      </c>
      <c r="B397" s="15">
        <v>45034</v>
      </c>
      <c r="C397" t="str">
        <f>TEXT(Table1[[#This Row],[Order Date]], "yyyy")</f>
        <v>2023</v>
      </c>
      <c r="D397" t="str">
        <f>TEXT(Table1[[#This Row],[Order Date]], "mmmm")</f>
        <v>April</v>
      </c>
      <c r="E397" s="16">
        <f>Table1[[#This Row],[Order Quantity]]*Table1[[#This Row],[Unit Price]]</f>
        <v>8.6</v>
      </c>
      <c r="F397">
        <v>1</v>
      </c>
      <c r="G397" s="16">
        <v>8.6</v>
      </c>
      <c r="H397" t="s">
        <v>8</v>
      </c>
      <c r="I397" t="s">
        <v>136</v>
      </c>
      <c r="J397" t="s">
        <v>13</v>
      </c>
      <c r="K397" t="s">
        <v>11</v>
      </c>
    </row>
    <row r="398" spans="1:11" x14ac:dyDescent="0.45">
      <c r="A398">
        <v>1221</v>
      </c>
      <c r="B398" s="15">
        <v>45034</v>
      </c>
      <c r="C398" t="str">
        <f>TEXT(Table1[[#This Row],[Order Date]], "yyyy")</f>
        <v>2023</v>
      </c>
      <c r="D398" t="str">
        <f>TEXT(Table1[[#This Row],[Order Date]], "mmmm")</f>
        <v>April</v>
      </c>
      <c r="E398" s="16">
        <f>Table1[[#This Row],[Order Quantity]]*Table1[[#This Row],[Unit Price]]</f>
        <v>9866.89</v>
      </c>
      <c r="F398">
        <v>11</v>
      </c>
      <c r="G398" s="16">
        <v>896.99</v>
      </c>
      <c r="H398" t="s">
        <v>8</v>
      </c>
      <c r="I398" t="s">
        <v>136</v>
      </c>
      <c r="J398" t="s">
        <v>13</v>
      </c>
      <c r="K398" t="s">
        <v>11</v>
      </c>
    </row>
    <row r="399" spans="1:11" x14ac:dyDescent="0.45">
      <c r="A399">
        <v>1221</v>
      </c>
      <c r="B399" s="15">
        <v>45034</v>
      </c>
      <c r="C399" t="str">
        <f>TEXT(Table1[[#This Row],[Order Date]], "yyyy")</f>
        <v>2023</v>
      </c>
      <c r="D399" t="str">
        <f>TEXT(Table1[[#This Row],[Order Date]], "mmmm")</f>
        <v>April</v>
      </c>
      <c r="E399" s="16">
        <f>Table1[[#This Row],[Order Quantity]]*Table1[[#This Row],[Unit Price]]</f>
        <v>67.84</v>
      </c>
      <c r="F399">
        <v>16</v>
      </c>
      <c r="G399" s="16">
        <v>4.24</v>
      </c>
      <c r="H399" t="s">
        <v>8</v>
      </c>
      <c r="I399" t="s">
        <v>136</v>
      </c>
      <c r="J399" t="s">
        <v>13</v>
      </c>
      <c r="K399" t="s">
        <v>11</v>
      </c>
    </row>
    <row r="400" spans="1:11" x14ac:dyDescent="0.45">
      <c r="A400">
        <v>1222</v>
      </c>
      <c r="B400" s="15">
        <v>44231</v>
      </c>
      <c r="C400" t="str">
        <f>TEXT(Table1[[#This Row],[Order Date]], "yyyy")</f>
        <v>2021</v>
      </c>
      <c r="D400" t="str">
        <f>TEXT(Table1[[#This Row],[Order Date]], "mmmm")</f>
        <v>February</v>
      </c>
      <c r="E400" s="16">
        <f>Table1[[#This Row],[Order Quantity]]*Table1[[#This Row],[Unit Price]]</f>
        <v>253.44</v>
      </c>
      <c r="F400">
        <v>48</v>
      </c>
      <c r="G400" s="16">
        <v>5.28</v>
      </c>
      <c r="H400" t="s">
        <v>8</v>
      </c>
      <c r="I400" t="s">
        <v>137</v>
      </c>
      <c r="J400" t="s">
        <v>20</v>
      </c>
      <c r="K400" t="s">
        <v>11</v>
      </c>
    </row>
    <row r="401" spans="1:11" x14ac:dyDescent="0.45">
      <c r="A401">
        <v>1253</v>
      </c>
      <c r="B401" s="15">
        <v>44221</v>
      </c>
      <c r="C401" t="str">
        <f>TEXT(Table1[[#This Row],[Order Date]], "yyyy")</f>
        <v>2021</v>
      </c>
      <c r="D401" t="str">
        <f>TEXT(Table1[[#This Row],[Order Date]], "mmmm")</f>
        <v>January</v>
      </c>
      <c r="E401" s="16">
        <f>Table1[[#This Row],[Order Quantity]]*Table1[[#This Row],[Unit Price]]</f>
        <v>479.7</v>
      </c>
      <c r="F401">
        <v>15</v>
      </c>
      <c r="G401" s="16">
        <v>31.98</v>
      </c>
      <c r="H401" t="s">
        <v>8</v>
      </c>
      <c r="I401" t="s">
        <v>138</v>
      </c>
      <c r="J401" t="s">
        <v>23</v>
      </c>
      <c r="K401" t="s">
        <v>11</v>
      </c>
    </row>
    <row r="402" spans="1:11" x14ac:dyDescent="0.45">
      <c r="A402">
        <v>1280</v>
      </c>
      <c r="B402" s="15">
        <v>44206</v>
      </c>
      <c r="C402" t="str">
        <f>TEXT(Table1[[#This Row],[Order Date]], "yyyy")</f>
        <v>2021</v>
      </c>
      <c r="D402" t="str">
        <f>TEXT(Table1[[#This Row],[Order Date]], "mmmm")</f>
        <v>January</v>
      </c>
      <c r="E402" s="16">
        <f>Table1[[#This Row],[Order Quantity]]*Table1[[#This Row],[Unit Price]]</f>
        <v>838.8</v>
      </c>
      <c r="F402">
        <v>40</v>
      </c>
      <c r="G402" s="16">
        <v>20.97</v>
      </c>
      <c r="H402" t="s">
        <v>8</v>
      </c>
      <c r="I402" t="s">
        <v>125</v>
      </c>
      <c r="J402" t="s">
        <v>13</v>
      </c>
      <c r="K402" t="s">
        <v>17</v>
      </c>
    </row>
    <row r="403" spans="1:11" x14ac:dyDescent="0.45">
      <c r="A403">
        <v>1282</v>
      </c>
      <c r="B403" s="15">
        <v>44984</v>
      </c>
      <c r="C403" t="str">
        <f>TEXT(Table1[[#This Row],[Order Date]], "yyyy")</f>
        <v>2023</v>
      </c>
      <c r="D403" t="str">
        <f>TEXT(Table1[[#This Row],[Order Date]], "mmmm")</f>
        <v>February</v>
      </c>
      <c r="E403" s="16">
        <f>Table1[[#This Row],[Order Quantity]]*Table1[[#This Row],[Unit Price]]</f>
        <v>826.28</v>
      </c>
      <c r="F403">
        <v>26</v>
      </c>
      <c r="G403" s="16">
        <v>31.78</v>
      </c>
      <c r="H403" t="s">
        <v>8</v>
      </c>
      <c r="I403" t="s">
        <v>139</v>
      </c>
      <c r="J403" t="s">
        <v>20</v>
      </c>
      <c r="K403" t="s">
        <v>17</v>
      </c>
    </row>
    <row r="404" spans="1:11" x14ac:dyDescent="0.45">
      <c r="A404">
        <v>1282</v>
      </c>
      <c r="B404" s="15">
        <v>44984</v>
      </c>
      <c r="C404" t="str">
        <f>TEXT(Table1[[#This Row],[Order Date]], "yyyy")</f>
        <v>2023</v>
      </c>
      <c r="D404" t="str">
        <f>TEXT(Table1[[#This Row],[Order Date]], "mmmm")</f>
        <v>February</v>
      </c>
      <c r="E404" s="16">
        <f>Table1[[#This Row],[Order Quantity]]*Table1[[#This Row],[Unit Price]]</f>
        <v>27.799999999999997</v>
      </c>
      <c r="F404">
        <v>10</v>
      </c>
      <c r="G404" s="16">
        <v>2.78</v>
      </c>
      <c r="H404" t="s">
        <v>8</v>
      </c>
      <c r="I404" t="s">
        <v>139</v>
      </c>
      <c r="J404" t="s">
        <v>20</v>
      </c>
      <c r="K404" t="s">
        <v>11</v>
      </c>
    </row>
    <row r="405" spans="1:11" x14ac:dyDescent="0.45">
      <c r="A405">
        <v>1286</v>
      </c>
      <c r="B405" s="15">
        <v>44329</v>
      </c>
      <c r="C405" t="str">
        <f>TEXT(Table1[[#This Row],[Order Date]], "yyyy")</f>
        <v>2021</v>
      </c>
      <c r="D405" t="str">
        <f>TEXT(Table1[[#This Row],[Order Date]], "mmmm")</f>
        <v>May</v>
      </c>
      <c r="E405" s="16">
        <f>Table1[[#This Row],[Order Quantity]]*Table1[[#This Row],[Unit Price]]</f>
        <v>238.27999999999997</v>
      </c>
      <c r="F405">
        <v>46</v>
      </c>
      <c r="G405" s="16">
        <v>5.18</v>
      </c>
      <c r="H405" t="s">
        <v>8</v>
      </c>
      <c r="I405" t="s">
        <v>141</v>
      </c>
      <c r="J405" t="s">
        <v>20</v>
      </c>
      <c r="K405" t="s">
        <v>11</v>
      </c>
    </row>
    <row r="406" spans="1:11" x14ac:dyDescent="0.45">
      <c r="A406">
        <v>1286</v>
      </c>
      <c r="B406" s="15">
        <v>44329</v>
      </c>
      <c r="C406" t="str">
        <f>TEXT(Table1[[#This Row],[Order Date]], "yyyy")</f>
        <v>2021</v>
      </c>
      <c r="D406" t="str">
        <f>TEXT(Table1[[#This Row],[Order Date]], "mmmm")</f>
        <v>May</v>
      </c>
      <c r="E406" s="16">
        <f>Table1[[#This Row],[Order Quantity]]*Table1[[#This Row],[Unit Price]]</f>
        <v>1203.8599999999999</v>
      </c>
      <c r="F406">
        <v>14</v>
      </c>
      <c r="G406" s="16">
        <v>85.99</v>
      </c>
      <c r="H406" t="s">
        <v>8</v>
      </c>
      <c r="I406" t="s">
        <v>141</v>
      </c>
      <c r="J406" t="s">
        <v>20</v>
      </c>
      <c r="K406" t="s">
        <v>17</v>
      </c>
    </row>
    <row r="407" spans="1:11" x14ac:dyDescent="0.45">
      <c r="A407">
        <v>1287</v>
      </c>
      <c r="B407" s="15">
        <v>44016</v>
      </c>
      <c r="C407" t="str">
        <f>TEXT(Table1[[#This Row],[Order Date]], "yyyy")</f>
        <v>2020</v>
      </c>
      <c r="D407" t="str">
        <f>TEXT(Table1[[#This Row],[Order Date]], "mmmm")</f>
        <v>July</v>
      </c>
      <c r="E407" s="16">
        <f>Table1[[#This Row],[Order Quantity]]*Table1[[#This Row],[Unit Price]]</f>
        <v>4106.3100000000004</v>
      </c>
      <c r="F407">
        <v>39</v>
      </c>
      <c r="G407" s="16">
        <v>105.29</v>
      </c>
      <c r="H407" t="s">
        <v>8</v>
      </c>
      <c r="I407" t="s">
        <v>142</v>
      </c>
      <c r="J407" t="s">
        <v>13</v>
      </c>
      <c r="K407" t="s">
        <v>15</v>
      </c>
    </row>
    <row r="408" spans="1:11" x14ac:dyDescent="0.45">
      <c r="A408">
        <v>1313</v>
      </c>
      <c r="B408" s="15">
        <v>44086</v>
      </c>
      <c r="C408" t="str">
        <f>TEXT(Table1[[#This Row],[Order Date]], "yyyy")</f>
        <v>2020</v>
      </c>
      <c r="D408" t="str">
        <f>TEXT(Table1[[#This Row],[Order Date]], "mmmm")</f>
        <v>September</v>
      </c>
      <c r="E408" s="16">
        <f>Table1[[#This Row],[Order Quantity]]*Table1[[#This Row],[Unit Price]]</f>
        <v>776.56</v>
      </c>
      <c r="F408">
        <v>34</v>
      </c>
      <c r="G408" s="16">
        <v>22.84</v>
      </c>
      <c r="H408" t="s">
        <v>8</v>
      </c>
      <c r="I408" t="s">
        <v>140</v>
      </c>
      <c r="J408" t="s">
        <v>20</v>
      </c>
      <c r="K408" t="s">
        <v>11</v>
      </c>
    </row>
    <row r="409" spans="1:11" x14ac:dyDescent="0.45">
      <c r="A409">
        <v>1314</v>
      </c>
      <c r="B409" s="15">
        <v>43963</v>
      </c>
      <c r="C409" t="str">
        <f>TEXT(Table1[[#This Row],[Order Date]], "yyyy")</f>
        <v>2020</v>
      </c>
      <c r="D409" t="str">
        <f>TEXT(Table1[[#This Row],[Order Date]], "mmmm")</f>
        <v>May</v>
      </c>
      <c r="E409" s="16">
        <f>Table1[[#This Row],[Order Quantity]]*Table1[[#This Row],[Unit Price]]</f>
        <v>37.08</v>
      </c>
      <c r="F409">
        <v>4</v>
      </c>
      <c r="G409" s="16">
        <v>9.27</v>
      </c>
      <c r="H409" t="s">
        <v>8</v>
      </c>
      <c r="I409" t="s">
        <v>143</v>
      </c>
      <c r="J409" t="s">
        <v>13</v>
      </c>
      <c r="K409" t="s">
        <v>11</v>
      </c>
    </row>
    <row r="410" spans="1:11" x14ac:dyDescent="0.45">
      <c r="A410">
        <v>1317</v>
      </c>
      <c r="B410" s="15">
        <v>44699</v>
      </c>
      <c r="C410" t="str">
        <f>TEXT(Table1[[#This Row],[Order Date]], "yyyy")</f>
        <v>2022</v>
      </c>
      <c r="D410" t="str">
        <f>TEXT(Table1[[#This Row],[Order Date]], "mmmm")</f>
        <v>May</v>
      </c>
      <c r="E410" s="16">
        <f>Table1[[#This Row],[Order Quantity]]*Table1[[#This Row],[Unit Price]]</f>
        <v>514.79999999999995</v>
      </c>
      <c r="F410">
        <v>44</v>
      </c>
      <c r="G410" s="16">
        <v>11.7</v>
      </c>
      <c r="H410" t="s">
        <v>8</v>
      </c>
      <c r="I410" t="s">
        <v>144</v>
      </c>
      <c r="J410" t="s">
        <v>23</v>
      </c>
      <c r="K410" t="s">
        <v>11</v>
      </c>
    </row>
    <row r="411" spans="1:11" x14ac:dyDescent="0.45">
      <c r="A411">
        <v>1317</v>
      </c>
      <c r="B411" s="15">
        <v>44699</v>
      </c>
      <c r="C411" t="str">
        <f>TEXT(Table1[[#This Row],[Order Date]], "yyyy")</f>
        <v>2022</v>
      </c>
      <c r="D411" t="str">
        <f>TEXT(Table1[[#This Row],[Order Date]], "mmmm")</f>
        <v>May</v>
      </c>
      <c r="E411" s="16">
        <f>Table1[[#This Row],[Order Quantity]]*Table1[[#This Row],[Unit Price]]</f>
        <v>199.20000000000002</v>
      </c>
      <c r="F411">
        <v>40</v>
      </c>
      <c r="G411" s="16">
        <v>4.9800000000000004</v>
      </c>
      <c r="H411" t="s">
        <v>8</v>
      </c>
      <c r="I411" t="s">
        <v>144</v>
      </c>
      <c r="J411" t="s">
        <v>23</v>
      </c>
      <c r="K411" t="s">
        <v>11</v>
      </c>
    </row>
    <row r="412" spans="1:11" x14ac:dyDescent="0.45">
      <c r="A412">
        <v>1317</v>
      </c>
      <c r="B412" s="15">
        <v>44699</v>
      </c>
      <c r="C412" t="str">
        <f>TEXT(Table1[[#This Row],[Order Date]], "yyyy")</f>
        <v>2022</v>
      </c>
      <c r="D412" t="str">
        <f>TEXT(Table1[[#This Row],[Order Date]], "mmmm")</f>
        <v>May</v>
      </c>
      <c r="E412" s="16">
        <f>Table1[[#This Row],[Order Quantity]]*Table1[[#This Row],[Unit Price]]</f>
        <v>153.12</v>
      </c>
      <c r="F412">
        <v>29</v>
      </c>
      <c r="G412" s="16">
        <v>5.28</v>
      </c>
      <c r="H412" t="s">
        <v>8</v>
      </c>
      <c r="I412" t="s">
        <v>144</v>
      </c>
      <c r="J412" t="s">
        <v>23</v>
      </c>
      <c r="K412" t="s">
        <v>11</v>
      </c>
    </row>
    <row r="413" spans="1:11" x14ac:dyDescent="0.45">
      <c r="A413">
        <v>1344</v>
      </c>
      <c r="B413" s="15">
        <v>45031</v>
      </c>
      <c r="C413" t="str">
        <f>TEXT(Table1[[#This Row],[Order Date]], "yyyy")</f>
        <v>2023</v>
      </c>
      <c r="D413" t="str">
        <f>TEXT(Table1[[#This Row],[Order Date]], "mmmm")</f>
        <v>April</v>
      </c>
      <c r="E413" s="16">
        <f>Table1[[#This Row],[Order Quantity]]*Table1[[#This Row],[Unit Price]]</f>
        <v>989.84999999999991</v>
      </c>
      <c r="F413">
        <v>15</v>
      </c>
      <c r="G413" s="16">
        <v>65.989999999999995</v>
      </c>
      <c r="H413" t="s">
        <v>8</v>
      </c>
      <c r="I413" t="s">
        <v>145</v>
      </c>
      <c r="J413" t="s">
        <v>13</v>
      </c>
      <c r="K413" t="s">
        <v>17</v>
      </c>
    </row>
    <row r="414" spans="1:11" x14ac:dyDescent="0.45">
      <c r="A414">
        <v>1344</v>
      </c>
      <c r="B414" s="15">
        <v>45031</v>
      </c>
      <c r="C414" t="str">
        <f>TEXT(Table1[[#This Row],[Order Date]], "yyyy")</f>
        <v>2023</v>
      </c>
      <c r="D414" t="str">
        <f>TEXT(Table1[[#This Row],[Order Date]], "mmmm")</f>
        <v>April</v>
      </c>
      <c r="E414" s="16">
        <f>Table1[[#This Row],[Order Quantity]]*Table1[[#This Row],[Unit Price]]</f>
        <v>2807.82</v>
      </c>
      <c r="F414">
        <v>18</v>
      </c>
      <c r="G414" s="16">
        <v>155.99</v>
      </c>
      <c r="H414" t="s">
        <v>8</v>
      </c>
      <c r="I414" t="s">
        <v>145</v>
      </c>
      <c r="J414" t="s">
        <v>13</v>
      </c>
      <c r="K414" t="s">
        <v>17</v>
      </c>
    </row>
    <row r="415" spans="1:11" x14ac:dyDescent="0.45">
      <c r="A415">
        <v>1382</v>
      </c>
      <c r="B415" s="15">
        <v>44424</v>
      </c>
      <c r="C415" t="str">
        <f>TEXT(Table1[[#This Row],[Order Date]], "yyyy")</f>
        <v>2021</v>
      </c>
      <c r="D415" t="str">
        <f>TEXT(Table1[[#This Row],[Order Date]], "mmmm")</f>
        <v>August</v>
      </c>
      <c r="E415" s="16">
        <f>Table1[[#This Row],[Order Quantity]]*Table1[[#This Row],[Unit Price]]</f>
        <v>104.94999999999999</v>
      </c>
      <c r="F415">
        <v>5</v>
      </c>
      <c r="G415" s="16">
        <v>20.99</v>
      </c>
      <c r="H415" t="s">
        <v>8</v>
      </c>
      <c r="I415" t="s">
        <v>148</v>
      </c>
      <c r="J415" t="s">
        <v>20</v>
      </c>
      <c r="K415" t="s">
        <v>17</v>
      </c>
    </row>
    <row r="416" spans="1:11" x14ac:dyDescent="0.45">
      <c r="A416">
        <v>1382</v>
      </c>
      <c r="B416" s="15">
        <v>44424</v>
      </c>
      <c r="C416" t="str">
        <f>TEXT(Table1[[#This Row],[Order Date]], "yyyy")</f>
        <v>2021</v>
      </c>
      <c r="D416" t="str">
        <f>TEXT(Table1[[#This Row],[Order Date]], "mmmm")</f>
        <v>August</v>
      </c>
      <c r="E416" s="16">
        <f>Table1[[#This Row],[Order Quantity]]*Table1[[#This Row],[Unit Price]]</f>
        <v>155.22</v>
      </c>
      <c r="F416">
        <v>39</v>
      </c>
      <c r="G416" s="16">
        <v>3.98</v>
      </c>
      <c r="H416" t="s">
        <v>8</v>
      </c>
      <c r="I416" t="s">
        <v>148</v>
      </c>
      <c r="J416" t="s">
        <v>20</v>
      </c>
      <c r="K416" t="s">
        <v>11</v>
      </c>
    </row>
    <row r="417" spans="1:11" x14ac:dyDescent="0.45">
      <c r="A417">
        <v>1383</v>
      </c>
      <c r="B417" s="15">
        <v>44312</v>
      </c>
      <c r="C417" t="str">
        <f>TEXT(Table1[[#This Row],[Order Date]], "yyyy")</f>
        <v>2021</v>
      </c>
      <c r="D417" t="str">
        <f>TEXT(Table1[[#This Row],[Order Date]], "mmmm")</f>
        <v>April</v>
      </c>
      <c r="E417" s="16">
        <f>Table1[[#This Row],[Order Quantity]]*Table1[[#This Row],[Unit Price]]</f>
        <v>17882.84</v>
      </c>
      <c r="F417">
        <v>43</v>
      </c>
      <c r="G417" s="16">
        <v>415.88</v>
      </c>
      <c r="H417" t="s">
        <v>8</v>
      </c>
      <c r="I417" t="s">
        <v>149</v>
      </c>
      <c r="J417" t="s">
        <v>23</v>
      </c>
      <c r="K417" t="s">
        <v>11</v>
      </c>
    </row>
    <row r="418" spans="1:11" x14ac:dyDescent="0.45">
      <c r="A418">
        <v>1411</v>
      </c>
      <c r="B418" s="15">
        <v>44185</v>
      </c>
      <c r="C418" t="str">
        <f>TEXT(Table1[[#This Row],[Order Date]], "yyyy")</f>
        <v>2020</v>
      </c>
      <c r="D418" t="str">
        <f>TEXT(Table1[[#This Row],[Order Date]], "mmmm")</f>
        <v>December</v>
      </c>
      <c r="E418" s="16">
        <f>Table1[[#This Row],[Order Quantity]]*Table1[[#This Row],[Unit Price]]</f>
        <v>8271.5300000000007</v>
      </c>
      <c r="F418">
        <v>47</v>
      </c>
      <c r="G418" s="16">
        <v>175.99</v>
      </c>
      <c r="H418" t="s">
        <v>8</v>
      </c>
      <c r="I418" t="s">
        <v>150</v>
      </c>
      <c r="J418" t="s">
        <v>10</v>
      </c>
      <c r="K418" t="s">
        <v>17</v>
      </c>
    </row>
    <row r="419" spans="1:11" x14ac:dyDescent="0.45">
      <c r="A419">
        <v>1412</v>
      </c>
      <c r="B419" s="15">
        <v>44267</v>
      </c>
      <c r="C419" t="str">
        <f>TEXT(Table1[[#This Row],[Order Date]], "yyyy")</f>
        <v>2021</v>
      </c>
      <c r="D419" t="str">
        <f>TEXT(Table1[[#This Row],[Order Date]], "mmmm")</f>
        <v>March</v>
      </c>
      <c r="E419" s="16">
        <f>Table1[[#This Row],[Order Quantity]]*Table1[[#This Row],[Unit Price]]</f>
        <v>98.91</v>
      </c>
      <c r="F419">
        <v>21</v>
      </c>
      <c r="G419" s="16">
        <v>4.71</v>
      </c>
      <c r="H419" t="s">
        <v>8</v>
      </c>
      <c r="I419" t="s">
        <v>73</v>
      </c>
      <c r="J419" t="s">
        <v>23</v>
      </c>
      <c r="K419" t="s">
        <v>11</v>
      </c>
    </row>
    <row r="420" spans="1:11" x14ac:dyDescent="0.45">
      <c r="A420">
        <v>1440</v>
      </c>
      <c r="B420" s="15">
        <v>44782</v>
      </c>
      <c r="C420" t="str">
        <f>TEXT(Table1[[#This Row],[Order Date]], "yyyy")</f>
        <v>2022</v>
      </c>
      <c r="D420" t="str">
        <f>TEXT(Table1[[#This Row],[Order Date]], "mmmm")</f>
        <v>August</v>
      </c>
      <c r="E420" s="16">
        <f>Table1[[#This Row],[Order Quantity]]*Table1[[#This Row],[Unit Price]]</f>
        <v>724.47</v>
      </c>
      <c r="F420">
        <v>41</v>
      </c>
      <c r="G420" s="16">
        <v>17.670000000000002</v>
      </c>
      <c r="H420" t="s">
        <v>8</v>
      </c>
      <c r="I420" t="s">
        <v>152</v>
      </c>
      <c r="J420" t="s">
        <v>10</v>
      </c>
      <c r="K420" t="s">
        <v>15</v>
      </c>
    </row>
    <row r="421" spans="1:11" x14ac:dyDescent="0.45">
      <c r="A421">
        <v>1444</v>
      </c>
      <c r="B421" s="15">
        <v>44170</v>
      </c>
      <c r="C421" t="str">
        <f>TEXT(Table1[[#This Row],[Order Date]], "yyyy")</f>
        <v>2020</v>
      </c>
      <c r="D421" t="str">
        <f>TEXT(Table1[[#This Row],[Order Date]], "mmmm")</f>
        <v>December</v>
      </c>
      <c r="E421" s="16">
        <f>Table1[[#This Row],[Order Quantity]]*Table1[[#This Row],[Unit Price]]</f>
        <v>12.96</v>
      </c>
      <c r="F421">
        <v>2</v>
      </c>
      <c r="G421" s="16">
        <v>6.48</v>
      </c>
      <c r="H421" t="s">
        <v>8</v>
      </c>
      <c r="I421" t="s">
        <v>153</v>
      </c>
      <c r="J421" t="s">
        <v>20</v>
      </c>
      <c r="K421" t="s">
        <v>11</v>
      </c>
    </row>
    <row r="422" spans="1:11" x14ac:dyDescent="0.45">
      <c r="A422">
        <v>1444</v>
      </c>
      <c r="B422" s="15">
        <v>44170</v>
      </c>
      <c r="C422" t="str">
        <f>TEXT(Table1[[#This Row],[Order Date]], "yyyy")</f>
        <v>2020</v>
      </c>
      <c r="D422" t="str">
        <f>TEXT(Table1[[#This Row],[Order Date]], "mmmm")</f>
        <v>December</v>
      </c>
      <c r="E422" s="16">
        <f>Table1[[#This Row],[Order Quantity]]*Table1[[#This Row],[Unit Price]]</f>
        <v>411.59999999999997</v>
      </c>
      <c r="F422">
        <v>24</v>
      </c>
      <c r="G422" s="16">
        <v>17.149999999999999</v>
      </c>
      <c r="H422" t="s">
        <v>8</v>
      </c>
      <c r="I422" t="s">
        <v>153</v>
      </c>
      <c r="J422" t="s">
        <v>20</v>
      </c>
      <c r="K422" t="s">
        <v>11</v>
      </c>
    </row>
    <row r="423" spans="1:11" x14ac:dyDescent="0.45">
      <c r="A423">
        <v>1444</v>
      </c>
      <c r="B423" s="15">
        <v>44170</v>
      </c>
      <c r="C423" t="str">
        <f>TEXT(Table1[[#This Row],[Order Date]], "yyyy")</f>
        <v>2020</v>
      </c>
      <c r="D423" t="str">
        <f>TEXT(Table1[[#This Row],[Order Date]], "mmmm")</f>
        <v>December</v>
      </c>
      <c r="E423" s="16">
        <f>Table1[[#This Row],[Order Quantity]]*Table1[[#This Row],[Unit Price]]</f>
        <v>774.5</v>
      </c>
      <c r="F423">
        <v>25</v>
      </c>
      <c r="G423" s="16">
        <v>30.98</v>
      </c>
      <c r="H423" t="s">
        <v>8</v>
      </c>
      <c r="I423" t="s">
        <v>153</v>
      </c>
      <c r="J423" t="s">
        <v>20</v>
      </c>
      <c r="K423" t="s">
        <v>11</v>
      </c>
    </row>
    <row r="424" spans="1:11" x14ac:dyDescent="0.45">
      <c r="A424">
        <v>1445</v>
      </c>
      <c r="B424" s="15">
        <v>44570</v>
      </c>
      <c r="C424" t="str">
        <f>TEXT(Table1[[#This Row],[Order Date]], "yyyy")</f>
        <v>2022</v>
      </c>
      <c r="D424" t="str">
        <f>TEXT(Table1[[#This Row],[Order Date]], "mmmm")</f>
        <v>January</v>
      </c>
      <c r="E424" s="16">
        <f>Table1[[#This Row],[Order Quantity]]*Table1[[#This Row],[Unit Price]]</f>
        <v>1262.94</v>
      </c>
      <c r="F424">
        <v>3</v>
      </c>
      <c r="G424" s="16">
        <v>420.98</v>
      </c>
      <c r="H424" t="s">
        <v>8</v>
      </c>
      <c r="I424" t="s">
        <v>154</v>
      </c>
      <c r="J424" t="s">
        <v>13</v>
      </c>
      <c r="K424" t="s">
        <v>11</v>
      </c>
    </row>
    <row r="425" spans="1:11" x14ac:dyDescent="0.45">
      <c r="A425">
        <v>1445</v>
      </c>
      <c r="B425" s="15">
        <v>44570</v>
      </c>
      <c r="C425" t="str">
        <f>TEXT(Table1[[#This Row],[Order Date]], "yyyy")</f>
        <v>2022</v>
      </c>
      <c r="D425" t="str">
        <f>TEXT(Table1[[#This Row],[Order Date]], "mmmm")</f>
        <v>January</v>
      </c>
      <c r="E425" s="16">
        <f>Table1[[#This Row],[Order Quantity]]*Table1[[#This Row],[Unit Price]]</f>
        <v>359.1</v>
      </c>
      <c r="F425">
        <v>30</v>
      </c>
      <c r="G425" s="16">
        <v>11.97</v>
      </c>
      <c r="H425" t="s">
        <v>8</v>
      </c>
      <c r="I425" t="s">
        <v>154</v>
      </c>
      <c r="J425" t="s">
        <v>13</v>
      </c>
      <c r="K425" t="s">
        <v>11</v>
      </c>
    </row>
    <row r="426" spans="1:11" x14ac:dyDescent="0.45">
      <c r="A426">
        <v>1447</v>
      </c>
      <c r="B426" s="15">
        <v>45213</v>
      </c>
      <c r="C426" t="str">
        <f>TEXT(Table1[[#This Row],[Order Date]], "yyyy")</f>
        <v>2023</v>
      </c>
      <c r="D426" t="str">
        <f>TEXT(Table1[[#This Row],[Order Date]], "mmmm")</f>
        <v>October</v>
      </c>
      <c r="E426" s="16">
        <f>Table1[[#This Row],[Order Quantity]]*Table1[[#This Row],[Unit Price]]</f>
        <v>2639.6</v>
      </c>
      <c r="F426">
        <v>40</v>
      </c>
      <c r="G426" s="16">
        <v>65.989999999999995</v>
      </c>
      <c r="H426" t="s">
        <v>8</v>
      </c>
      <c r="I426" t="s">
        <v>155</v>
      </c>
      <c r="J426" t="s">
        <v>23</v>
      </c>
      <c r="K426" t="s">
        <v>17</v>
      </c>
    </row>
    <row r="427" spans="1:11" x14ac:dyDescent="0.45">
      <c r="A427">
        <v>1504</v>
      </c>
      <c r="B427" s="15">
        <v>45165</v>
      </c>
      <c r="C427" t="str">
        <f>TEXT(Table1[[#This Row],[Order Date]], "yyyy")</f>
        <v>2023</v>
      </c>
      <c r="D427" t="str">
        <f>TEXT(Table1[[#This Row],[Order Date]], "mmmm")</f>
        <v>August</v>
      </c>
      <c r="E427" s="16">
        <f>Table1[[#This Row],[Order Quantity]]*Table1[[#This Row],[Unit Price]]</f>
        <v>310.31</v>
      </c>
      <c r="F427">
        <v>31</v>
      </c>
      <c r="G427" s="16">
        <v>10.01</v>
      </c>
      <c r="H427" t="s">
        <v>8</v>
      </c>
      <c r="I427" t="s">
        <v>156</v>
      </c>
      <c r="J427" t="s">
        <v>13</v>
      </c>
      <c r="K427" t="s">
        <v>17</v>
      </c>
    </row>
    <row r="428" spans="1:11" x14ac:dyDescent="0.45">
      <c r="A428">
        <v>1507</v>
      </c>
      <c r="B428" s="15">
        <v>44482</v>
      </c>
      <c r="C428" t="str">
        <f>TEXT(Table1[[#This Row],[Order Date]], "yyyy")</f>
        <v>2021</v>
      </c>
      <c r="D428" t="str">
        <f>TEXT(Table1[[#This Row],[Order Date]], "mmmm")</f>
        <v>October</v>
      </c>
      <c r="E428" s="16">
        <f>Table1[[#This Row],[Order Quantity]]*Table1[[#This Row],[Unit Price]]</f>
        <v>4421.92</v>
      </c>
      <c r="F428">
        <v>29</v>
      </c>
      <c r="G428" s="16">
        <v>152.47999999999999</v>
      </c>
      <c r="H428" t="s">
        <v>8</v>
      </c>
      <c r="I428" t="s">
        <v>157</v>
      </c>
      <c r="J428" t="s">
        <v>20</v>
      </c>
      <c r="K428" t="s">
        <v>17</v>
      </c>
    </row>
    <row r="429" spans="1:11" x14ac:dyDescent="0.45">
      <c r="A429">
        <v>1537</v>
      </c>
      <c r="B429" s="15">
        <v>44971</v>
      </c>
      <c r="C429" t="str">
        <f>TEXT(Table1[[#This Row],[Order Date]], "yyyy")</f>
        <v>2023</v>
      </c>
      <c r="D429" t="str">
        <f>TEXT(Table1[[#This Row],[Order Date]], "mmmm")</f>
        <v>February</v>
      </c>
      <c r="E429" s="16">
        <f>Table1[[#This Row],[Order Quantity]]*Table1[[#This Row],[Unit Price]]</f>
        <v>10.8</v>
      </c>
      <c r="F429">
        <v>5</v>
      </c>
      <c r="G429" s="16">
        <v>2.16</v>
      </c>
      <c r="H429" t="s">
        <v>8</v>
      </c>
      <c r="I429" t="s">
        <v>158</v>
      </c>
      <c r="J429" t="s">
        <v>13</v>
      </c>
      <c r="K429" t="s">
        <v>11</v>
      </c>
    </row>
    <row r="430" spans="1:11" x14ac:dyDescent="0.45">
      <c r="A430">
        <v>1538</v>
      </c>
      <c r="B430" s="15">
        <v>44729</v>
      </c>
      <c r="C430" t="str">
        <f>TEXT(Table1[[#This Row],[Order Date]], "yyyy")</f>
        <v>2022</v>
      </c>
      <c r="D430" t="str">
        <f>TEXT(Table1[[#This Row],[Order Date]], "mmmm")</f>
        <v>June</v>
      </c>
      <c r="E430" s="16">
        <f>Table1[[#This Row],[Order Quantity]]*Table1[[#This Row],[Unit Price]]</f>
        <v>1439.85</v>
      </c>
      <c r="F430">
        <v>15</v>
      </c>
      <c r="G430" s="16">
        <v>95.99</v>
      </c>
      <c r="H430" t="s">
        <v>8</v>
      </c>
      <c r="I430" t="s">
        <v>159</v>
      </c>
      <c r="J430" t="s">
        <v>13</v>
      </c>
      <c r="K430" t="s">
        <v>17</v>
      </c>
    </row>
    <row r="431" spans="1:11" x14ac:dyDescent="0.45">
      <c r="A431">
        <v>1539</v>
      </c>
      <c r="B431" s="15">
        <v>44629</v>
      </c>
      <c r="C431" t="str">
        <f>TEXT(Table1[[#This Row],[Order Date]], "yyyy")</f>
        <v>2022</v>
      </c>
      <c r="D431" t="str">
        <f>TEXT(Table1[[#This Row],[Order Date]], "mmmm")</f>
        <v>March</v>
      </c>
      <c r="E431" s="16">
        <f>Table1[[#This Row],[Order Quantity]]*Table1[[#This Row],[Unit Price]]</f>
        <v>527.66999999999996</v>
      </c>
      <c r="F431">
        <v>33</v>
      </c>
      <c r="G431" s="16">
        <v>15.99</v>
      </c>
      <c r="H431" t="s">
        <v>8</v>
      </c>
      <c r="I431" t="s">
        <v>160</v>
      </c>
      <c r="J431" t="s">
        <v>13</v>
      </c>
      <c r="K431" t="s">
        <v>11</v>
      </c>
    </row>
    <row r="432" spans="1:11" x14ac:dyDescent="0.45">
      <c r="A432">
        <v>1539</v>
      </c>
      <c r="B432" s="15">
        <v>44629</v>
      </c>
      <c r="C432" t="str">
        <f>TEXT(Table1[[#This Row],[Order Date]], "yyyy")</f>
        <v>2022</v>
      </c>
      <c r="D432" t="str">
        <f>TEXT(Table1[[#This Row],[Order Date]], "mmmm")</f>
        <v>March</v>
      </c>
      <c r="E432" s="16">
        <f>Table1[[#This Row],[Order Quantity]]*Table1[[#This Row],[Unit Price]]</f>
        <v>185.82</v>
      </c>
      <c r="F432">
        <v>38</v>
      </c>
      <c r="G432" s="16">
        <v>4.8899999999999997</v>
      </c>
      <c r="H432" t="s">
        <v>8</v>
      </c>
      <c r="I432" t="s">
        <v>160</v>
      </c>
      <c r="J432" t="s">
        <v>13</v>
      </c>
      <c r="K432" t="s">
        <v>17</v>
      </c>
    </row>
    <row r="433" spans="1:11" x14ac:dyDescent="0.45">
      <c r="A433">
        <v>1540</v>
      </c>
      <c r="B433" s="15">
        <v>45142</v>
      </c>
      <c r="C433" t="str">
        <f>TEXT(Table1[[#This Row],[Order Date]], "yyyy")</f>
        <v>2023</v>
      </c>
      <c r="D433" t="str">
        <f>TEXT(Table1[[#This Row],[Order Date]], "mmmm")</f>
        <v>August</v>
      </c>
      <c r="E433" s="16">
        <f>Table1[[#This Row],[Order Quantity]]*Table1[[#This Row],[Unit Price]]</f>
        <v>86.399999999999991</v>
      </c>
      <c r="F433">
        <v>30</v>
      </c>
      <c r="G433" s="16">
        <v>2.88</v>
      </c>
      <c r="H433" t="s">
        <v>8</v>
      </c>
      <c r="I433" t="s">
        <v>161</v>
      </c>
      <c r="J433" t="s">
        <v>20</v>
      </c>
      <c r="K433" t="s">
        <v>11</v>
      </c>
    </row>
    <row r="434" spans="1:11" x14ac:dyDescent="0.45">
      <c r="A434">
        <v>1542</v>
      </c>
      <c r="B434" s="15">
        <v>44453</v>
      </c>
      <c r="C434" t="str">
        <f>TEXT(Table1[[#This Row],[Order Date]], "yyyy")</f>
        <v>2021</v>
      </c>
      <c r="D434" t="str">
        <f>TEXT(Table1[[#This Row],[Order Date]], "mmmm")</f>
        <v>September</v>
      </c>
      <c r="E434" s="16">
        <f>Table1[[#This Row],[Order Quantity]]*Table1[[#This Row],[Unit Price]]</f>
        <v>2283.2599999999998</v>
      </c>
      <c r="F434">
        <v>47</v>
      </c>
      <c r="G434" s="16">
        <v>48.58</v>
      </c>
      <c r="H434" t="s">
        <v>8</v>
      </c>
      <c r="I434" t="s">
        <v>162</v>
      </c>
      <c r="J434" t="s">
        <v>23</v>
      </c>
      <c r="K434" t="s">
        <v>11</v>
      </c>
    </row>
    <row r="435" spans="1:11" x14ac:dyDescent="0.45">
      <c r="A435">
        <v>1542</v>
      </c>
      <c r="B435" s="15">
        <v>44453</v>
      </c>
      <c r="C435" t="str">
        <f>TEXT(Table1[[#This Row],[Order Date]], "yyyy")</f>
        <v>2021</v>
      </c>
      <c r="D435" t="str">
        <f>TEXT(Table1[[#This Row],[Order Date]], "mmmm")</f>
        <v>September</v>
      </c>
      <c r="E435" s="16">
        <f>Table1[[#This Row],[Order Quantity]]*Table1[[#This Row],[Unit Price]]</f>
        <v>461.63</v>
      </c>
      <c r="F435">
        <v>13</v>
      </c>
      <c r="G435" s="16">
        <v>35.51</v>
      </c>
      <c r="H435" t="s">
        <v>8</v>
      </c>
      <c r="I435" t="s">
        <v>162</v>
      </c>
      <c r="J435" t="s">
        <v>23</v>
      </c>
      <c r="K435" t="s">
        <v>11</v>
      </c>
    </row>
    <row r="436" spans="1:11" x14ac:dyDescent="0.45">
      <c r="A436">
        <v>1575</v>
      </c>
      <c r="B436" s="15">
        <v>44816</v>
      </c>
      <c r="C436" t="str">
        <f>TEXT(Table1[[#This Row],[Order Date]], "yyyy")</f>
        <v>2022</v>
      </c>
      <c r="D436" t="str">
        <f>TEXT(Table1[[#This Row],[Order Date]], "mmmm")</f>
        <v>September</v>
      </c>
      <c r="E436" s="16">
        <f>Table1[[#This Row],[Order Quantity]]*Table1[[#This Row],[Unit Price]]</f>
        <v>129.48000000000002</v>
      </c>
      <c r="F436">
        <v>26</v>
      </c>
      <c r="G436" s="16">
        <v>4.9800000000000004</v>
      </c>
      <c r="H436" t="s">
        <v>8</v>
      </c>
      <c r="I436" t="s">
        <v>164</v>
      </c>
      <c r="J436" t="s">
        <v>10</v>
      </c>
      <c r="K436" t="s">
        <v>11</v>
      </c>
    </row>
    <row r="437" spans="1:11" x14ac:dyDescent="0.45">
      <c r="A437">
        <v>1575</v>
      </c>
      <c r="B437" s="15">
        <v>44816</v>
      </c>
      <c r="C437" t="str">
        <f>TEXT(Table1[[#This Row],[Order Date]], "yyyy")</f>
        <v>2022</v>
      </c>
      <c r="D437" t="str">
        <f>TEXT(Table1[[#This Row],[Order Date]], "mmmm")</f>
        <v>September</v>
      </c>
      <c r="E437" s="16">
        <f>Table1[[#This Row],[Order Quantity]]*Table1[[#This Row],[Unit Price]]</f>
        <v>659.9</v>
      </c>
      <c r="F437">
        <v>10</v>
      </c>
      <c r="G437" s="16">
        <v>65.989999999999995</v>
      </c>
      <c r="H437" t="s">
        <v>8</v>
      </c>
      <c r="I437" t="s">
        <v>164</v>
      </c>
      <c r="J437" t="s">
        <v>10</v>
      </c>
      <c r="K437" t="s">
        <v>17</v>
      </c>
    </row>
    <row r="438" spans="1:11" x14ac:dyDescent="0.45">
      <c r="A438">
        <v>1600</v>
      </c>
      <c r="B438" s="15">
        <v>44257</v>
      </c>
      <c r="C438" t="str">
        <f>TEXT(Table1[[#This Row],[Order Date]], "yyyy")</f>
        <v>2021</v>
      </c>
      <c r="D438" t="str">
        <f>TEXT(Table1[[#This Row],[Order Date]], "mmmm")</f>
        <v>March</v>
      </c>
      <c r="E438" s="16">
        <f>Table1[[#This Row],[Order Quantity]]*Table1[[#This Row],[Unit Price]]</f>
        <v>308.8</v>
      </c>
      <c r="F438">
        <v>32</v>
      </c>
      <c r="G438" s="16">
        <v>9.65</v>
      </c>
      <c r="H438" t="s">
        <v>8</v>
      </c>
      <c r="I438" t="s">
        <v>165</v>
      </c>
      <c r="J438" t="s">
        <v>13</v>
      </c>
      <c r="K438" t="s">
        <v>15</v>
      </c>
    </row>
    <row r="439" spans="1:11" x14ac:dyDescent="0.45">
      <c r="A439">
        <v>1600</v>
      </c>
      <c r="B439" s="15">
        <v>44257</v>
      </c>
      <c r="C439" t="str">
        <f>TEXT(Table1[[#This Row],[Order Date]], "yyyy")</f>
        <v>2021</v>
      </c>
      <c r="D439" t="str">
        <f>TEXT(Table1[[#This Row],[Order Date]], "mmmm")</f>
        <v>March</v>
      </c>
      <c r="E439" s="16">
        <f>Table1[[#This Row],[Order Quantity]]*Table1[[#This Row],[Unit Price]]</f>
        <v>179.28000000000003</v>
      </c>
      <c r="F439">
        <v>36</v>
      </c>
      <c r="G439" s="16">
        <v>4.9800000000000004</v>
      </c>
      <c r="H439" t="s">
        <v>8</v>
      </c>
      <c r="I439" t="s">
        <v>165</v>
      </c>
      <c r="J439" t="s">
        <v>13</v>
      </c>
      <c r="K439" t="s">
        <v>11</v>
      </c>
    </row>
    <row r="440" spans="1:11" x14ac:dyDescent="0.45">
      <c r="A440">
        <v>1604</v>
      </c>
      <c r="B440" s="15">
        <v>44393</v>
      </c>
      <c r="C440" t="str">
        <f>TEXT(Table1[[#This Row],[Order Date]], "yyyy")</f>
        <v>2021</v>
      </c>
      <c r="D440" t="str">
        <f>TEXT(Table1[[#This Row],[Order Date]], "mmmm")</f>
        <v>July</v>
      </c>
      <c r="E440" s="16">
        <f>Table1[[#This Row],[Order Quantity]]*Table1[[#This Row],[Unit Price]]</f>
        <v>594.08000000000004</v>
      </c>
      <c r="F440">
        <v>47</v>
      </c>
      <c r="G440" s="16">
        <v>12.64</v>
      </c>
      <c r="H440" t="s">
        <v>8</v>
      </c>
      <c r="I440" t="s">
        <v>166</v>
      </c>
      <c r="J440" t="s">
        <v>23</v>
      </c>
      <c r="K440" t="s">
        <v>15</v>
      </c>
    </row>
    <row r="441" spans="1:11" x14ac:dyDescent="0.45">
      <c r="A441">
        <v>1637</v>
      </c>
      <c r="B441" s="15">
        <v>44599</v>
      </c>
      <c r="C441" t="str">
        <f>TEXT(Table1[[#This Row],[Order Date]], "yyyy")</f>
        <v>2022</v>
      </c>
      <c r="D441" t="str">
        <f>TEXT(Table1[[#This Row],[Order Date]], "mmmm")</f>
        <v>February</v>
      </c>
      <c r="E441" s="16">
        <f>Table1[[#This Row],[Order Quantity]]*Table1[[#This Row],[Unit Price]]</f>
        <v>999.9</v>
      </c>
      <c r="F441">
        <v>10</v>
      </c>
      <c r="G441" s="16">
        <v>99.99</v>
      </c>
      <c r="H441" t="s">
        <v>8</v>
      </c>
      <c r="I441" t="s">
        <v>167</v>
      </c>
      <c r="J441" t="s">
        <v>13</v>
      </c>
      <c r="K441" t="s">
        <v>17</v>
      </c>
    </row>
    <row r="442" spans="1:11" x14ac:dyDescent="0.45">
      <c r="A442">
        <v>1637</v>
      </c>
      <c r="B442" s="15">
        <v>44599</v>
      </c>
      <c r="C442" t="str">
        <f>TEXT(Table1[[#This Row],[Order Date]], "yyyy")</f>
        <v>2022</v>
      </c>
      <c r="D442" t="str">
        <f>TEXT(Table1[[#This Row],[Order Date]], "mmmm")</f>
        <v>February</v>
      </c>
      <c r="E442" s="16">
        <f>Table1[[#This Row],[Order Quantity]]*Table1[[#This Row],[Unit Price]]</f>
        <v>1456.06</v>
      </c>
      <c r="F442">
        <v>47</v>
      </c>
      <c r="G442" s="16">
        <v>30.98</v>
      </c>
      <c r="H442" t="s">
        <v>8</v>
      </c>
      <c r="I442" t="s">
        <v>167</v>
      </c>
      <c r="J442" t="s">
        <v>13</v>
      </c>
      <c r="K442" t="s">
        <v>11</v>
      </c>
    </row>
    <row r="443" spans="1:11" x14ac:dyDescent="0.45">
      <c r="A443">
        <v>1639</v>
      </c>
      <c r="B443" s="15">
        <v>44792</v>
      </c>
      <c r="C443" t="str">
        <f>TEXT(Table1[[#This Row],[Order Date]], "yyyy")</f>
        <v>2022</v>
      </c>
      <c r="D443" t="str">
        <f>TEXT(Table1[[#This Row],[Order Date]], "mmmm")</f>
        <v>August</v>
      </c>
      <c r="E443" s="16">
        <f>Table1[[#This Row],[Order Quantity]]*Table1[[#This Row],[Unit Price]]</f>
        <v>162.72</v>
      </c>
      <c r="F443">
        <v>24</v>
      </c>
      <c r="G443" s="16">
        <v>6.78</v>
      </c>
      <c r="H443" t="s">
        <v>8</v>
      </c>
      <c r="I443" t="s">
        <v>168</v>
      </c>
      <c r="J443" t="s">
        <v>20</v>
      </c>
      <c r="K443" t="s">
        <v>11</v>
      </c>
    </row>
    <row r="444" spans="1:11" x14ac:dyDescent="0.45">
      <c r="A444">
        <v>1665</v>
      </c>
      <c r="B444" s="15">
        <v>43958</v>
      </c>
      <c r="C444" t="str">
        <f>TEXT(Table1[[#This Row],[Order Date]], "yyyy")</f>
        <v>2020</v>
      </c>
      <c r="D444" t="str">
        <f>TEXT(Table1[[#This Row],[Order Date]], "mmmm")</f>
        <v>May</v>
      </c>
      <c r="E444" s="16">
        <f>Table1[[#This Row],[Order Quantity]]*Table1[[#This Row],[Unit Price]]</f>
        <v>935.74</v>
      </c>
      <c r="F444">
        <v>26</v>
      </c>
      <c r="G444" s="16">
        <v>35.99</v>
      </c>
      <c r="H444" t="s">
        <v>8</v>
      </c>
      <c r="I444" t="s">
        <v>169</v>
      </c>
      <c r="J444" t="s">
        <v>13</v>
      </c>
      <c r="K444" t="s">
        <v>17</v>
      </c>
    </row>
    <row r="445" spans="1:11" x14ac:dyDescent="0.45">
      <c r="A445">
        <v>1699</v>
      </c>
      <c r="B445" s="15">
        <v>44559</v>
      </c>
      <c r="C445" t="str">
        <f>TEXT(Table1[[#This Row],[Order Date]], "yyyy")</f>
        <v>2021</v>
      </c>
      <c r="D445" t="str">
        <f>TEXT(Table1[[#This Row],[Order Date]], "mmmm")</f>
        <v>December</v>
      </c>
      <c r="E445" s="16">
        <f>Table1[[#This Row],[Order Quantity]]*Table1[[#This Row],[Unit Price]]</f>
        <v>443.6</v>
      </c>
      <c r="F445">
        <v>40</v>
      </c>
      <c r="G445" s="16">
        <v>11.09</v>
      </c>
      <c r="H445" t="s">
        <v>8</v>
      </c>
      <c r="I445" t="s">
        <v>171</v>
      </c>
      <c r="J445" t="s">
        <v>13</v>
      </c>
      <c r="K445" t="s">
        <v>11</v>
      </c>
    </row>
    <row r="446" spans="1:11" x14ac:dyDescent="0.45">
      <c r="A446">
        <v>1701</v>
      </c>
      <c r="B446" s="15">
        <v>45064</v>
      </c>
      <c r="C446" t="str">
        <f>TEXT(Table1[[#This Row],[Order Date]], "yyyy")</f>
        <v>2023</v>
      </c>
      <c r="D446" t="str">
        <f>TEXT(Table1[[#This Row],[Order Date]], "mmmm")</f>
        <v>May</v>
      </c>
      <c r="E446" s="16">
        <f>Table1[[#This Row],[Order Quantity]]*Table1[[#This Row],[Unit Price]]</f>
        <v>2008.0199999999998</v>
      </c>
      <c r="F446">
        <v>49</v>
      </c>
      <c r="G446" s="16">
        <v>40.98</v>
      </c>
      <c r="H446" t="s">
        <v>8</v>
      </c>
      <c r="I446" t="s">
        <v>172</v>
      </c>
      <c r="J446" t="s">
        <v>23</v>
      </c>
      <c r="K446" t="s">
        <v>17</v>
      </c>
    </row>
    <row r="447" spans="1:11" x14ac:dyDescent="0.45">
      <c r="A447">
        <v>1701</v>
      </c>
      <c r="B447" s="15">
        <v>45064</v>
      </c>
      <c r="C447" t="str">
        <f>TEXT(Table1[[#This Row],[Order Date]], "yyyy")</f>
        <v>2023</v>
      </c>
      <c r="D447" t="str">
        <f>TEXT(Table1[[#This Row],[Order Date]], "mmmm")</f>
        <v>May</v>
      </c>
      <c r="E447" s="16">
        <f>Table1[[#This Row],[Order Quantity]]*Table1[[#This Row],[Unit Price]]</f>
        <v>40.97</v>
      </c>
      <c r="F447">
        <v>1</v>
      </c>
      <c r="G447" s="16">
        <v>40.97</v>
      </c>
      <c r="H447" t="s">
        <v>8</v>
      </c>
      <c r="I447" t="s">
        <v>172</v>
      </c>
      <c r="J447" t="s">
        <v>23</v>
      </c>
      <c r="K447" t="s">
        <v>15</v>
      </c>
    </row>
    <row r="448" spans="1:11" x14ac:dyDescent="0.45">
      <c r="A448">
        <v>1702</v>
      </c>
      <c r="B448" s="15">
        <v>44687</v>
      </c>
      <c r="C448" t="str">
        <f>TEXT(Table1[[#This Row],[Order Date]], "yyyy")</f>
        <v>2022</v>
      </c>
      <c r="D448" t="str">
        <f>TEXT(Table1[[#This Row],[Order Date]], "mmmm")</f>
        <v>May</v>
      </c>
      <c r="E448" s="16">
        <f>Table1[[#This Row],[Order Quantity]]*Table1[[#This Row],[Unit Price]]</f>
        <v>65.319999999999993</v>
      </c>
      <c r="F448">
        <v>23</v>
      </c>
      <c r="G448" s="16">
        <v>2.84</v>
      </c>
      <c r="H448" t="s">
        <v>8</v>
      </c>
      <c r="I448" t="s">
        <v>173</v>
      </c>
      <c r="J448" t="s">
        <v>20</v>
      </c>
      <c r="K448" t="s">
        <v>11</v>
      </c>
    </row>
    <row r="449" spans="1:11" x14ac:dyDescent="0.45">
      <c r="A449">
        <v>1762</v>
      </c>
      <c r="B449" s="15">
        <v>44062</v>
      </c>
      <c r="C449" t="str">
        <f>TEXT(Table1[[#This Row],[Order Date]], "yyyy")</f>
        <v>2020</v>
      </c>
      <c r="D449" t="str">
        <f>TEXT(Table1[[#This Row],[Order Date]], "mmmm")</f>
        <v>August</v>
      </c>
      <c r="E449" s="16">
        <f>Table1[[#This Row],[Order Quantity]]*Table1[[#This Row],[Unit Price]]</f>
        <v>921.62</v>
      </c>
      <c r="F449">
        <v>29</v>
      </c>
      <c r="G449" s="16">
        <v>31.78</v>
      </c>
      <c r="H449" t="s">
        <v>8</v>
      </c>
      <c r="I449" t="s">
        <v>174</v>
      </c>
      <c r="J449" t="s">
        <v>20</v>
      </c>
      <c r="K449" t="s">
        <v>17</v>
      </c>
    </row>
    <row r="450" spans="1:11" x14ac:dyDescent="0.45">
      <c r="A450">
        <v>1762</v>
      </c>
      <c r="B450" s="15">
        <v>44062</v>
      </c>
      <c r="C450" t="str">
        <f>TEXT(Table1[[#This Row],[Order Date]], "yyyy")</f>
        <v>2020</v>
      </c>
      <c r="D450" t="str">
        <f>TEXT(Table1[[#This Row],[Order Date]], "mmmm")</f>
        <v>August</v>
      </c>
      <c r="E450" s="16">
        <f>Table1[[#This Row],[Order Quantity]]*Table1[[#This Row],[Unit Price]]</f>
        <v>65.78</v>
      </c>
      <c r="F450">
        <v>11</v>
      </c>
      <c r="G450" s="16">
        <v>5.98</v>
      </c>
      <c r="H450" t="s">
        <v>8</v>
      </c>
      <c r="I450" t="s">
        <v>174</v>
      </c>
      <c r="J450" t="s">
        <v>20</v>
      </c>
      <c r="K450" t="s">
        <v>11</v>
      </c>
    </row>
    <row r="451" spans="1:11" x14ac:dyDescent="0.45">
      <c r="A451">
        <v>1764</v>
      </c>
      <c r="B451" s="15">
        <v>45009</v>
      </c>
      <c r="C451" t="str">
        <f>TEXT(Table1[[#This Row],[Order Date]], "yyyy")</f>
        <v>2023</v>
      </c>
      <c r="D451" t="str">
        <f>TEXT(Table1[[#This Row],[Order Date]], "mmmm")</f>
        <v>March</v>
      </c>
      <c r="E451" s="16">
        <f>Table1[[#This Row],[Order Quantity]]*Table1[[#This Row],[Unit Price]]</f>
        <v>58.379999999999995</v>
      </c>
      <c r="F451">
        <v>7</v>
      </c>
      <c r="G451" s="16">
        <v>8.34</v>
      </c>
      <c r="H451" t="s">
        <v>8</v>
      </c>
      <c r="I451" t="s">
        <v>122</v>
      </c>
      <c r="J451" t="s">
        <v>10</v>
      </c>
      <c r="K451" t="s">
        <v>11</v>
      </c>
    </row>
    <row r="452" spans="1:11" x14ac:dyDescent="0.45">
      <c r="A452">
        <v>1767</v>
      </c>
      <c r="B452" s="15">
        <v>44633</v>
      </c>
      <c r="C452" t="str">
        <f>TEXT(Table1[[#This Row],[Order Date]], "yyyy")</f>
        <v>2022</v>
      </c>
      <c r="D452" t="str">
        <f>TEXT(Table1[[#This Row],[Order Date]], "mmmm")</f>
        <v>March</v>
      </c>
      <c r="E452" s="16">
        <f>Table1[[#This Row],[Order Quantity]]*Table1[[#This Row],[Unit Price]]</f>
        <v>47.1</v>
      </c>
      <c r="F452">
        <v>10</v>
      </c>
      <c r="G452" s="16">
        <v>4.71</v>
      </c>
      <c r="H452" t="s">
        <v>8</v>
      </c>
      <c r="I452" t="s">
        <v>175</v>
      </c>
      <c r="J452" t="s">
        <v>13</v>
      </c>
      <c r="K452" t="s">
        <v>11</v>
      </c>
    </row>
    <row r="453" spans="1:11" x14ac:dyDescent="0.45">
      <c r="A453">
        <v>1792</v>
      </c>
      <c r="B453" s="15">
        <v>44508</v>
      </c>
      <c r="C453" t="str">
        <f>TEXT(Table1[[#This Row],[Order Date]], "yyyy")</f>
        <v>2021</v>
      </c>
      <c r="D453" t="str">
        <f>TEXT(Table1[[#This Row],[Order Date]], "mmmm")</f>
        <v>November</v>
      </c>
      <c r="E453" s="16">
        <f>Table1[[#This Row],[Order Quantity]]*Table1[[#This Row],[Unit Price]]</f>
        <v>377.44</v>
      </c>
      <c r="F453">
        <v>28</v>
      </c>
      <c r="G453" s="16">
        <v>13.48</v>
      </c>
      <c r="H453" t="s">
        <v>8</v>
      </c>
      <c r="I453" t="s">
        <v>73</v>
      </c>
      <c r="J453" t="s">
        <v>23</v>
      </c>
      <c r="K453" t="s">
        <v>11</v>
      </c>
    </row>
    <row r="454" spans="1:11" x14ac:dyDescent="0.45">
      <c r="A454">
        <v>1793</v>
      </c>
      <c r="B454" s="15">
        <v>45118</v>
      </c>
      <c r="C454" t="str">
        <f>TEXT(Table1[[#This Row],[Order Date]], "yyyy")</f>
        <v>2023</v>
      </c>
      <c r="D454" t="str">
        <f>TEXT(Table1[[#This Row],[Order Date]], "mmmm")</f>
        <v>July</v>
      </c>
      <c r="E454" s="16">
        <f>Table1[[#This Row],[Order Quantity]]*Table1[[#This Row],[Unit Price]]</f>
        <v>226.08</v>
      </c>
      <c r="F454">
        <v>36</v>
      </c>
      <c r="G454" s="16">
        <v>6.28</v>
      </c>
      <c r="H454" t="s">
        <v>8</v>
      </c>
      <c r="I454" t="s">
        <v>176</v>
      </c>
      <c r="J454" t="s">
        <v>20</v>
      </c>
      <c r="K454" t="s">
        <v>11</v>
      </c>
    </row>
    <row r="455" spans="1:11" x14ac:dyDescent="0.45">
      <c r="A455">
        <v>1796</v>
      </c>
      <c r="B455" s="15">
        <v>45250</v>
      </c>
      <c r="C455" t="str">
        <f>TEXT(Table1[[#This Row],[Order Date]], "yyyy")</f>
        <v>2023</v>
      </c>
      <c r="D455" t="str">
        <f>TEXT(Table1[[#This Row],[Order Date]], "mmmm")</f>
        <v>November</v>
      </c>
      <c r="E455" s="16">
        <f>Table1[[#This Row],[Order Quantity]]*Table1[[#This Row],[Unit Price]]</f>
        <v>177.59</v>
      </c>
      <c r="F455">
        <v>43</v>
      </c>
      <c r="G455" s="16">
        <v>4.13</v>
      </c>
      <c r="H455" t="s">
        <v>8</v>
      </c>
      <c r="I455" t="s">
        <v>177</v>
      </c>
      <c r="J455" t="s">
        <v>13</v>
      </c>
      <c r="K455" t="s">
        <v>11</v>
      </c>
    </row>
    <row r="456" spans="1:11" x14ac:dyDescent="0.45">
      <c r="A456">
        <v>1799</v>
      </c>
      <c r="B456" s="15">
        <v>43896</v>
      </c>
      <c r="C456" t="str">
        <f>TEXT(Table1[[#This Row],[Order Date]], "yyyy")</f>
        <v>2020</v>
      </c>
      <c r="D456" t="str">
        <f>TEXT(Table1[[#This Row],[Order Date]], "mmmm")</f>
        <v>March</v>
      </c>
      <c r="E456" s="16">
        <f>Table1[[#This Row],[Order Quantity]]*Table1[[#This Row],[Unit Price]]</f>
        <v>103.68</v>
      </c>
      <c r="F456">
        <v>16</v>
      </c>
      <c r="G456" s="16">
        <v>6.48</v>
      </c>
      <c r="H456" t="s">
        <v>8</v>
      </c>
      <c r="I456" t="s">
        <v>178</v>
      </c>
      <c r="J456" t="s">
        <v>10</v>
      </c>
      <c r="K456" t="s">
        <v>11</v>
      </c>
    </row>
    <row r="457" spans="1:11" x14ac:dyDescent="0.45">
      <c r="A457">
        <v>1824</v>
      </c>
      <c r="B457" s="15">
        <v>43955</v>
      </c>
      <c r="C457" t="str">
        <f>TEXT(Table1[[#This Row],[Order Date]], "yyyy")</f>
        <v>2020</v>
      </c>
      <c r="D457" t="str">
        <f>TEXT(Table1[[#This Row],[Order Date]], "mmmm")</f>
        <v>May</v>
      </c>
      <c r="E457" s="16">
        <f>Table1[[#This Row],[Order Quantity]]*Table1[[#This Row],[Unit Price]]</f>
        <v>10771.8</v>
      </c>
      <c r="F457">
        <v>39</v>
      </c>
      <c r="G457" s="16">
        <v>276.2</v>
      </c>
      <c r="H457" t="s">
        <v>8</v>
      </c>
      <c r="I457" t="s">
        <v>179</v>
      </c>
      <c r="J457" t="s">
        <v>13</v>
      </c>
      <c r="K457" t="s">
        <v>15</v>
      </c>
    </row>
    <row r="458" spans="1:11" x14ac:dyDescent="0.45">
      <c r="A458">
        <v>1824</v>
      </c>
      <c r="B458" s="15">
        <v>43955</v>
      </c>
      <c r="C458" t="str">
        <f>TEXT(Table1[[#This Row],[Order Date]], "yyyy")</f>
        <v>2020</v>
      </c>
      <c r="D458" t="str">
        <f>TEXT(Table1[[#This Row],[Order Date]], "mmmm")</f>
        <v>May</v>
      </c>
      <c r="E458" s="16">
        <f>Table1[[#This Row],[Order Quantity]]*Table1[[#This Row],[Unit Price]]</f>
        <v>12.56</v>
      </c>
      <c r="F458">
        <v>2</v>
      </c>
      <c r="G458" s="16">
        <v>6.28</v>
      </c>
      <c r="H458" t="s">
        <v>8</v>
      </c>
      <c r="I458" t="s">
        <v>179</v>
      </c>
      <c r="J458" t="s">
        <v>13</v>
      </c>
      <c r="K458" t="s">
        <v>15</v>
      </c>
    </row>
    <row r="459" spans="1:11" x14ac:dyDescent="0.45">
      <c r="A459">
        <v>1825</v>
      </c>
      <c r="B459" s="15">
        <v>44534</v>
      </c>
      <c r="C459" t="str">
        <f>TEXT(Table1[[#This Row],[Order Date]], "yyyy")</f>
        <v>2021</v>
      </c>
      <c r="D459" t="str">
        <f>TEXT(Table1[[#This Row],[Order Date]], "mmmm")</f>
        <v>December</v>
      </c>
      <c r="E459" s="16">
        <f>Table1[[#This Row],[Order Quantity]]*Table1[[#This Row],[Unit Price]]</f>
        <v>38.72</v>
      </c>
      <c r="F459">
        <v>22</v>
      </c>
      <c r="G459" s="16">
        <v>1.76</v>
      </c>
      <c r="H459" t="s">
        <v>8</v>
      </c>
      <c r="I459" t="s">
        <v>132</v>
      </c>
      <c r="J459" t="s">
        <v>10</v>
      </c>
      <c r="K459" t="s">
        <v>11</v>
      </c>
    </row>
    <row r="460" spans="1:11" x14ac:dyDescent="0.45">
      <c r="A460">
        <v>1826</v>
      </c>
      <c r="B460" s="15">
        <v>45031</v>
      </c>
      <c r="C460" t="str">
        <f>TEXT(Table1[[#This Row],[Order Date]], "yyyy")</f>
        <v>2023</v>
      </c>
      <c r="D460" t="str">
        <f>TEXT(Table1[[#This Row],[Order Date]], "mmmm")</f>
        <v>April</v>
      </c>
      <c r="E460" s="16">
        <f>Table1[[#This Row],[Order Quantity]]*Table1[[#This Row],[Unit Price]]</f>
        <v>24.900000000000002</v>
      </c>
      <c r="F460">
        <v>5</v>
      </c>
      <c r="G460" s="16">
        <v>4.9800000000000004</v>
      </c>
      <c r="H460" t="s">
        <v>8</v>
      </c>
      <c r="I460" t="s">
        <v>180</v>
      </c>
      <c r="J460" t="s">
        <v>13</v>
      </c>
      <c r="K460" t="s">
        <v>11</v>
      </c>
    </row>
    <row r="461" spans="1:11" x14ac:dyDescent="0.45">
      <c r="A461">
        <v>1829</v>
      </c>
      <c r="B461" s="15">
        <v>43958</v>
      </c>
      <c r="C461" t="str">
        <f>TEXT(Table1[[#This Row],[Order Date]], "yyyy")</f>
        <v>2020</v>
      </c>
      <c r="D461" t="str">
        <f>TEXT(Table1[[#This Row],[Order Date]], "mmmm")</f>
        <v>May</v>
      </c>
      <c r="E461" s="16">
        <f>Table1[[#This Row],[Order Quantity]]*Table1[[#This Row],[Unit Price]]</f>
        <v>133.44</v>
      </c>
      <c r="F461">
        <v>48</v>
      </c>
      <c r="G461" s="16">
        <v>2.78</v>
      </c>
      <c r="H461" t="s">
        <v>8</v>
      </c>
      <c r="I461" t="s">
        <v>181</v>
      </c>
      <c r="J461" t="s">
        <v>10</v>
      </c>
      <c r="K461" t="s">
        <v>11</v>
      </c>
    </row>
    <row r="462" spans="1:11" x14ac:dyDescent="0.45">
      <c r="A462">
        <v>1856</v>
      </c>
      <c r="B462" s="15">
        <v>45004</v>
      </c>
      <c r="C462" t="str">
        <f>TEXT(Table1[[#This Row],[Order Date]], "yyyy")</f>
        <v>2023</v>
      </c>
      <c r="D462" t="str">
        <f>TEXT(Table1[[#This Row],[Order Date]], "mmmm")</f>
        <v>March</v>
      </c>
      <c r="E462" s="16">
        <f>Table1[[#This Row],[Order Quantity]]*Table1[[#This Row],[Unit Price]]</f>
        <v>1463.52</v>
      </c>
      <c r="F462">
        <v>24</v>
      </c>
      <c r="G462" s="16">
        <v>60.98</v>
      </c>
      <c r="H462" t="s">
        <v>8</v>
      </c>
      <c r="I462" t="s">
        <v>182</v>
      </c>
      <c r="J462" t="s">
        <v>20</v>
      </c>
      <c r="K462" t="s">
        <v>11</v>
      </c>
    </row>
    <row r="463" spans="1:11" x14ac:dyDescent="0.45">
      <c r="A463">
        <v>1856</v>
      </c>
      <c r="B463" s="15">
        <v>45004</v>
      </c>
      <c r="C463" t="str">
        <f>TEXT(Table1[[#This Row],[Order Date]], "yyyy")</f>
        <v>2023</v>
      </c>
      <c r="D463" t="str">
        <f>TEXT(Table1[[#This Row],[Order Date]], "mmmm")</f>
        <v>March</v>
      </c>
      <c r="E463" s="16">
        <f>Table1[[#This Row],[Order Quantity]]*Table1[[#This Row],[Unit Price]]</f>
        <v>5417.57</v>
      </c>
      <c r="F463">
        <v>43</v>
      </c>
      <c r="G463" s="16">
        <v>125.99</v>
      </c>
      <c r="H463" t="s">
        <v>8</v>
      </c>
      <c r="I463" t="s">
        <v>182</v>
      </c>
      <c r="J463" t="s">
        <v>20</v>
      </c>
      <c r="K463" t="s">
        <v>17</v>
      </c>
    </row>
    <row r="464" spans="1:11" x14ac:dyDescent="0.45">
      <c r="A464">
        <v>1856</v>
      </c>
      <c r="B464" s="15">
        <v>45004</v>
      </c>
      <c r="C464" t="str">
        <f>TEXT(Table1[[#This Row],[Order Date]], "yyyy")</f>
        <v>2023</v>
      </c>
      <c r="D464" t="str">
        <f>TEXT(Table1[[#This Row],[Order Date]], "mmmm")</f>
        <v>March</v>
      </c>
      <c r="E464" s="16">
        <f>Table1[[#This Row],[Order Quantity]]*Table1[[#This Row],[Unit Price]]</f>
        <v>5543.5599999999995</v>
      </c>
      <c r="F464">
        <v>44</v>
      </c>
      <c r="G464" s="16">
        <v>125.99</v>
      </c>
      <c r="H464" t="s">
        <v>8</v>
      </c>
      <c r="I464" t="s">
        <v>182</v>
      </c>
      <c r="J464" t="s">
        <v>20</v>
      </c>
      <c r="K464" t="s">
        <v>17</v>
      </c>
    </row>
    <row r="465" spans="1:11" x14ac:dyDescent="0.45">
      <c r="A465">
        <v>1857</v>
      </c>
      <c r="B465" s="15">
        <v>44208</v>
      </c>
      <c r="C465" t="str">
        <f>TEXT(Table1[[#This Row],[Order Date]], "yyyy")</f>
        <v>2021</v>
      </c>
      <c r="D465" t="str">
        <f>TEXT(Table1[[#This Row],[Order Date]], "mmmm")</f>
        <v>January</v>
      </c>
      <c r="E465" s="16">
        <f>Table1[[#This Row],[Order Quantity]]*Table1[[#This Row],[Unit Price]]</f>
        <v>206.46</v>
      </c>
      <c r="F465">
        <v>37</v>
      </c>
      <c r="G465" s="16">
        <v>5.58</v>
      </c>
      <c r="H465" t="s">
        <v>8</v>
      </c>
      <c r="I465" t="s">
        <v>183</v>
      </c>
      <c r="J465" t="s">
        <v>23</v>
      </c>
      <c r="K465" t="s">
        <v>11</v>
      </c>
    </row>
    <row r="466" spans="1:11" x14ac:dyDescent="0.45">
      <c r="A466">
        <v>1888</v>
      </c>
      <c r="B466" s="15">
        <v>44499</v>
      </c>
      <c r="C466" t="str">
        <f>TEXT(Table1[[#This Row],[Order Date]], "yyyy")</f>
        <v>2021</v>
      </c>
      <c r="D466" t="str">
        <f>TEXT(Table1[[#This Row],[Order Date]], "mmmm")</f>
        <v>October</v>
      </c>
      <c r="E466" s="16">
        <f>Table1[[#This Row],[Order Quantity]]*Table1[[#This Row],[Unit Price]]</f>
        <v>159.95000000000002</v>
      </c>
      <c r="F466">
        <v>35</v>
      </c>
      <c r="G466" s="16">
        <v>4.57</v>
      </c>
      <c r="H466" t="s">
        <v>8</v>
      </c>
      <c r="I466" t="s">
        <v>185</v>
      </c>
      <c r="J466" t="s">
        <v>13</v>
      </c>
      <c r="K466" t="s">
        <v>11</v>
      </c>
    </row>
    <row r="467" spans="1:11" x14ac:dyDescent="0.45">
      <c r="A467">
        <v>1891</v>
      </c>
      <c r="B467" s="15">
        <v>44179</v>
      </c>
      <c r="C467" t="str">
        <f>TEXT(Table1[[#This Row],[Order Date]], "yyyy")</f>
        <v>2020</v>
      </c>
      <c r="D467" t="str">
        <f>TEXT(Table1[[#This Row],[Order Date]], "mmmm")</f>
        <v>December</v>
      </c>
      <c r="E467" s="16">
        <f>Table1[[#This Row],[Order Quantity]]*Table1[[#This Row],[Unit Price]]</f>
        <v>322.59000000000003</v>
      </c>
      <c r="F467">
        <v>3</v>
      </c>
      <c r="G467" s="16">
        <v>107.53</v>
      </c>
      <c r="H467" t="s">
        <v>8</v>
      </c>
      <c r="I467" t="s">
        <v>186</v>
      </c>
      <c r="J467" t="s">
        <v>10</v>
      </c>
      <c r="K467" t="s">
        <v>15</v>
      </c>
    </row>
    <row r="468" spans="1:11" x14ac:dyDescent="0.45">
      <c r="A468">
        <v>1892</v>
      </c>
      <c r="B468" s="15">
        <v>43915</v>
      </c>
      <c r="C468" t="str">
        <f>TEXT(Table1[[#This Row],[Order Date]], "yyyy")</f>
        <v>2020</v>
      </c>
      <c r="D468" t="str">
        <f>TEXT(Table1[[#This Row],[Order Date]], "mmmm")</f>
        <v>March</v>
      </c>
      <c r="E468" s="16">
        <f>Table1[[#This Row],[Order Quantity]]*Table1[[#This Row],[Unit Price]]</f>
        <v>187.06</v>
      </c>
      <c r="F468">
        <v>47</v>
      </c>
      <c r="G468" s="16">
        <v>3.98</v>
      </c>
      <c r="H468" t="s">
        <v>8</v>
      </c>
      <c r="I468" t="s">
        <v>187</v>
      </c>
      <c r="J468" t="s">
        <v>10</v>
      </c>
      <c r="K468" t="s">
        <v>11</v>
      </c>
    </row>
    <row r="469" spans="1:11" x14ac:dyDescent="0.45">
      <c r="A469">
        <v>1892</v>
      </c>
      <c r="B469" s="15">
        <v>43915</v>
      </c>
      <c r="C469" t="str">
        <f>TEXT(Table1[[#This Row],[Order Date]], "yyyy")</f>
        <v>2020</v>
      </c>
      <c r="D469" t="str">
        <f>TEXT(Table1[[#This Row],[Order Date]], "mmmm")</f>
        <v>March</v>
      </c>
      <c r="E469" s="16">
        <f>Table1[[#This Row],[Order Quantity]]*Table1[[#This Row],[Unit Price]]</f>
        <v>58.320000000000007</v>
      </c>
      <c r="F469">
        <v>9</v>
      </c>
      <c r="G469" s="16">
        <v>6.48</v>
      </c>
      <c r="H469" t="s">
        <v>8</v>
      </c>
      <c r="I469" t="s">
        <v>187</v>
      </c>
      <c r="J469" t="s">
        <v>10</v>
      </c>
      <c r="K469" t="s">
        <v>11</v>
      </c>
    </row>
    <row r="470" spans="1:11" x14ac:dyDescent="0.45">
      <c r="A470">
        <v>1895</v>
      </c>
      <c r="B470" s="15">
        <v>43980</v>
      </c>
      <c r="C470" t="str">
        <f>TEXT(Table1[[#This Row],[Order Date]], "yyyy")</f>
        <v>2020</v>
      </c>
      <c r="D470" t="str">
        <f>TEXT(Table1[[#This Row],[Order Date]], "mmmm")</f>
        <v>May</v>
      </c>
      <c r="E470" s="16">
        <f>Table1[[#This Row],[Order Quantity]]*Table1[[#This Row],[Unit Price]]</f>
        <v>32.400000000000006</v>
      </c>
      <c r="F470">
        <v>5</v>
      </c>
      <c r="G470" s="16">
        <v>6.48</v>
      </c>
      <c r="H470" t="s">
        <v>8</v>
      </c>
      <c r="I470" t="s">
        <v>142</v>
      </c>
      <c r="J470" t="s">
        <v>13</v>
      </c>
      <c r="K470" t="s">
        <v>11</v>
      </c>
    </row>
    <row r="471" spans="1:11" x14ac:dyDescent="0.45">
      <c r="A471">
        <v>1925</v>
      </c>
      <c r="B471" s="15">
        <v>44989</v>
      </c>
      <c r="C471" t="str">
        <f>TEXT(Table1[[#This Row],[Order Date]], "yyyy")</f>
        <v>2023</v>
      </c>
      <c r="D471" t="str">
        <f>TEXT(Table1[[#This Row],[Order Date]], "mmmm")</f>
        <v>March</v>
      </c>
      <c r="E471" s="16">
        <f>Table1[[#This Row],[Order Quantity]]*Table1[[#This Row],[Unit Price]]</f>
        <v>919.2</v>
      </c>
      <c r="F471">
        <v>40</v>
      </c>
      <c r="G471" s="16">
        <v>22.98</v>
      </c>
      <c r="H471" t="s">
        <v>8</v>
      </c>
      <c r="I471" t="s">
        <v>189</v>
      </c>
      <c r="J471" t="s">
        <v>13</v>
      </c>
      <c r="K471" t="s">
        <v>17</v>
      </c>
    </row>
    <row r="472" spans="1:11" x14ac:dyDescent="0.45">
      <c r="A472">
        <v>1925</v>
      </c>
      <c r="B472" s="15">
        <v>44989</v>
      </c>
      <c r="C472" t="str">
        <f>TEXT(Table1[[#This Row],[Order Date]], "yyyy")</f>
        <v>2023</v>
      </c>
      <c r="D472" t="str">
        <f>TEXT(Table1[[#This Row],[Order Date]], "mmmm")</f>
        <v>March</v>
      </c>
      <c r="E472" s="16">
        <f>Table1[[#This Row],[Order Quantity]]*Table1[[#This Row],[Unit Price]]</f>
        <v>1933.3999999999999</v>
      </c>
      <c r="F472">
        <v>7</v>
      </c>
      <c r="G472" s="16">
        <v>276.2</v>
      </c>
      <c r="H472" t="s">
        <v>8</v>
      </c>
      <c r="I472" t="s">
        <v>189</v>
      </c>
      <c r="J472" t="s">
        <v>13</v>
      </c>
      <c r="K472" t="s">
        <v>15</v>
      </c>
    </row>
    <row r="473" spans="1:11" x14ac:dyDescent="0.45">
      <c r="A473">
        <v>1953</v>
      </c>
      <c r="B473" s="15">
        <v>44529</v>
      </c>
      <c r="C473" t="str">
        <f>TEXT(Table1[[#This Row],[Order Date]], "yyyy")</f>
        <v>2021</v>
      </c>
      <c r="D473" t="str">
        <f>TEXT(Table1[[#This Row],[Order Date]], "mmmm")</f>
        <v>November</v>
      </c>
      <c r="E473" s="16">
        <f>Table1[[#This Row],[Order Quantity]]*Table1[[#This Row],[Unit Price]]</f>
        <v>141.83000000000001</v>
      </c>
      <c r="F473">
        <v>13</v>
      </c>
      <c r="G473" s="16">
        <v>10.91</v>
      </c>
      <c r="H473" t="s">
        <v>8</v>
      </c>
      <c r="I473" t="s">
        <v>191</v>
      </c>
      <c r="J473" t="s">
        <v>10</v>
      </c>
      <c r="K473" t="s">
        <v>11</v>
      </c>
    </row>
    <row r="474" spans="1:11" x14ac:dyDescent="0.45">
      <c r="A474">
        <v>1985</v>
      </c>
      <c r="B474" s="15">
        <v>44075</v>
      </c>
      <c r="C474" t="str">
        <f>TEXT(Table1[[#This Row],[Order Date]], "yyyy")</f>
        <v>2020</v>
      </c>
      <c r="D474" t="str">
        <f>TEXT(Table1[[#This Row],[Order Date]], "mmmm")</f>
        <v>September</v>
      </c>
      <c r="E474" s="16">
        <f>Table1[[#This Row],[Order Quantity]]*Table1[[#This Row],[Unit Price]]</f>
        <v>5.78</v>
      </c>
      <c r="F474">
        <v>1</v>
      </c>
      <c r="G474" s="16">
        <v>5.78</v>
      </c>
      <c r="H474" t="s">
        <v>8</v>
      </c>
      <c r="I474" t="s">
        <v>192</v>
      </c>
      <c r="J474" t="s">
        <v>20</v>
      </c>
      <c r="K474" t="s">
        <v>11</v>
      </c>
    </row>
    <row r="475" spans="1:11" x14ac:dyDescent="0.45">
      <c r="A475">
        <v>1988</v>
      </c>
      <c r="B475" s="15">
        <v>44839</v>
      </c>
      <c r="C475" t="str">
        <f>TEXT(Table1[[#This Row],[Order Date]], "yyyy")</f>
        <v>2022</v>
      </c>
      <c r="D475" t="str">
        <f>TEXT(Table1[[#This Row],[Order Date]], "mmmm")</f>
        <v>October</v>
      </c>
      <c r="E475" s="16">
        <f>Table1[[#This Row],[Order Quantity]]*Table1[[#This Row],[Unit Price]]</f>
        <v>121.32000000000001</v>
      </c>
      <c r="F475">
        <v>9</v>
      </c>
      <c r="G475" s="16">
        <v>13.48</v>
      </c>
      <c r="H475" t="s">
        <v>8</v>
      </c>
      <c r="I475" t="s">
        <v>193</v>
      </c>
      <c r="J475" t="s">
        <v>13</v>
      </c>
      <c r="K475" t="s">
        <v>11</v>
      </c>
    </row>
    <row r="476" spans="1:11" x14ac:dyDescent="0.45">
      <c r="A476">
        <v>1991</v>
      </c>
      <c r="B476" s="15">
        <v>45175</v>
      </c>
      <c r="C476" t="str">
        <f>TEXT(Table1[[#This Row],[Order Date]], "yyyy")</f>
        <v>2023</v>
      </c>
      <c r="D476" t="str">
        <f>TEXT(Table1[[#This Row],[Order Date]], "mmmm")</f>
        <v>September</v>
      </c>
      <c r="E476" s="16">
        <f>Table1[[#This Row],[Order Quantity]]*Table1[[#This Row],[Unit Price]]</f>
        <v>3698.4599999999996</v>
      </c>
      <c r="F476">
        <v>27</v>
      </c>
      <c r="G476" s="16">
        <v>136.97999999999999</v>
      </c>
      <c r="H476" t="s">
        <v>8</v>
      </c>
      <c r="I476" t="s">
        <v>194</v>
      </c>
      <c r="J476" t="s">
        <v>13</v>
      </c>
      <c r="K476" t="s">
        <v>15</v>
      </c>
    </row>
    <row r="477" spans="1:11" x14ac:dyDescent="0.45">
      <c r="A477">
        <v>2020</v>
      </c>
      <c r="B477" s="15">
        <v>44367</v>
      </c>
      <c r="C477" t="str">
        <f>TEXT(Table1[[#This Row],[Order Date]], "yyyy")</f>
        <v>2021</v>
      </c>
      <c r="D477" t="str">
        <f>TEXT(Table1[[#This Row],[Order Date]], "mmmm")</f>
        <v>June</v>
      </c>
      <c r="E477" s="16">
        <f>Table1[[#This Row],[Order Quantity]]*Table1[[#This Row],[Unit Price]]</f>
        <v>210.83999999999997</v>
      </c>
      <c r="F477">
        <v>42</v>
      </c>
      <c r="G477" s="16">
        <v>5.0199999999999996</v>
      </c>
      <c r="H477" t="s">
        <v>8</v>
      </c>
      <c r="I477" t="s">
        <v>195</v>
      </c>
      <c r="J477" t="s">
        <v>20</v>
      </c>
      <c r="K477" t="s">
        <v>17</v>
      </c>
    </row>
    <row r="478" spans="1:11" x14ac:dyDescent="0.45">
      <c r="A478">
        <v>2022</v>
      </c>
      <c r="B478" s="15">
        <v>44999</v>
      </c>
      <c r="C478" t="str">
        <f>TEXT(Table1[[#This Row],[Order Date]], "yyyy")</f>
        <v>2023</v>
      </c>
      <c r="D478" t="str">
        <f>TEXT(Table1[[#This Row],[Order Date]], "mmmm")</f>
        <v>March</v>
      </c>
      <c r="E478" s="16">
        <f>Table1[[#This Row],[Order Quantity]]*Table1[[#This Row],[Unit Price]]</f>
        <v>177.75</v>
      </c>
      <c r="F478">
        <v>45</v>
      </c>
      <c r="G478" s="16">
        <v>3.95</v>
      </c>
      <c r="H478" t="s">
        <v>8</v>
      </c>
      <c r="I478" t="s">
        <v>196</v>
      </c>
      <c r="J478" t="s">
        <v>13</v>
      </c>
      <c r="K478" t="s">
        <v>11</v>
      </c>
    </row>
    <row r="479" spans="1:11" x14ac:dyDescent="0.45">
      <c r="A479">
        <v>2023</v>
      </c>
      <c r="B479" s="15">
        <v>45051</v>
      </c>
      <c r="C479" t="str">
        <f>TEXT(Table1[[#This Row],[Order Date]], "yyyy")</f>
        <v>2023</v>
      </c>
      <c r="D479" t="str">
        <f>TEXT(Table1[[#This Row],[Order Date]], "mmmm")</f>
        <v>May</v>
      </c>
      <c r="E479" s="16">
        <f>Table1[[#This Row],[Order Quantity]]*Table1[[#This Row],[Unit Price]]</f>
        <v>295.92</v>
      </c>
      <c r="F479">
        <v>4</v>
      </c>
      <c r="G479" s="16">
        <v>73.98</v>
      </c>
      <c r="H479" t="s">
        <v>8</v>
      </c>
      <c r="I479" t="s">
        <v>71</v>
      </c>
      <c r="J479" t="s">
        <v>20</v>
      </c>
      <c r="K479" t="s">
        <v>17</v>
      </c>
    </row>
    <row r="480" spans="1:11" x14ac:dyDescent="0.45">
      <c r="A480">
        <v>2023</v>
      </c>
      <c r="B480" s="15">
        <v>45051</v>
      </c>
      <c r="C480" t="str">
        <f>TEXT(Table1[[#This Row],[Order Date]], "yyyy")</f>
        <v>2023</v>
      </c>
      <c r="D480" t="str">
        <f>TEXT(Table1[[#This Row],[Order Date]], "mmmm")</f>
        <v>May</v>
      </c>
      <c r="E480" s="16">
        <f>Table1[[#This Row],[Order Quantity]]*Table1[[#This Row],[Unit Price]]</f>
        <v>249.00000000000003</v>
      </c>
      <c r="F480">
        <v>50</v>
      </c>
      <c r="G480" s="16">
        <v>4.9800000000000004</v>
      </c>
      <c r="H480" t="s">
        <v>8</v>
      </c>
      <c r="I480" t="s">
        <v>71</v>
      </c>
      <c r="J480" t="s">
        <v>20</v>
      </c>
      <c r="K480" t="s">
        <v>11</v>
      </c>
    </row>
    <row r="481" spans="1:11" x14ac:dyDescent="0.45">
      <c r="A481">
        <v>2050</v>
      </c>
      <c r="B481" s="15">
        <v>43983</v>
      </c>
      <c r="C481" t="str">
        <f>TEXT(Table1[[#This Row],[Order Date]], "yyyy")</f>
        <v>2020</v>
      </c>
      <c r="D481" t="str">
        <f>TEXT(Table1[[#This Row],[Order Date]], "mmmm")</f>
        <v>June</v>
      </c>
      <c r="E481" s="16">
        <f>Table1[[#This Row],[Order Quantity]]*Table1[[#This Row],[Unit Price]]</f>
        <v>46.24</v>
      </c>
      <c r="F481">
        <v>16</v>
      </c>
      <c r="G481" s="16">
        <v>2.89</v>
      </c>
      <c r="H481" t="s">
        <v>8</v>
      </c>
      <c r="I481" t="s">
        <v>197</v>
      </c>
      <c r="J481" t="s">
        <v>23</v>
      </c>
      <c r="K481" t="s">
        <v>11</v>
      </c>
    </row>
    <row r="482" spans="1:11" x14ac:dyDescent="0.45">
      <c r="A482">
        <v>2050</v>
      </c>
      <c r="B482" s="15">
        <v>43983</v>
      </c>
      <c r="C482" t="str">
        <f>TEXT(Table1[[#This Row],[Order Date]], "yyyy")</f>
        <v>2020</v>
      </c>
      <c r="D482" t="str">
        <f>TEXT(Table1[[#This Row],[Order Date]], "mmmm")</f>
        <v>June</v>
      </c>
      <c r="E482" s="16">
        <f>Table1[[#This Row],[Order Quantity]]*Table1[[#This Row],[Unit Price]]</f>
        <v>571</v>
      </c>
      <c r="F482">
        <v>25</v>
      </c>
      <c r="G482" s="16">
        <v>22.84</v>
      </c>
      <c r="H482" t="s">
        <v>8</v>
      </c>
      <c r="I482" t="s">
        <v>197</v>
      </c>
      <c r="J482" t="s">
        <v>23</v>
      </c>
      <c r="K482" t="s">
        <v>11</v>
      </c>
    </row>
    <row r="483" spans="1:11" x14ac:dyDescent="0.45">
      <c r="A483">
        <v>2052</v>
      </c>
      <c r="B483" s="15">
        <v>45028</v>
      </c>
      <c r="C483" t="str">
        <f>TEXT(Table1[[#This Row],[Order Date]], "yyyy")</f>
        <v>2023</v>
      </c>
      <c r="D483" t="str">
        <f>TEXT(Table1[[#This Row],[Order Date]], "mmmm")</f>
        <v>April</v>
      </c>
      <c r="E483" s="16">
        <f>Table1[[#This Row],[Order Quantity]]*Table1[[#This Row],[Unit Price]]</f>
        <v>94.99</v>
      </c>
      <c r="F483">
        <v>23</v>
      </c>
      <c r="G483" s="16">
        <v>4.13</v>
      </c>
      <c r="H483" t="s">
        <v>8</v>
      </c>
      <c r="I483" t="s">
        <v>198</v>
      </c>
      <c r="J483" t="s">
        <v>10</v>
      </c>
      <c r="K483" t="s">
        <v>11</v>
      </c>
    </row>
    <row r="484" spans="1:11" x14ac:dyDescent="0.45">
      <c r="A484">
        <v>2053</v>
      </c>
      <c r="B484" s="15">
        <v>44598</v>
      </c>
      <c r="C484" t="str">
        <f>TEXT(Table1[[#This Row],[Order Date]], "yyyy")</f>
        <v>2022</v>
      </c>
      <c r="D484" t="str">
        <f>TEXT(Table1[[#This Row],[Order Date]], "mmmm")</f>
        <v>February</v>
      </c>
      <c r="E484" s="16">
        <f>Table1[[#This Row],[Order Quantity]]*Table1[[#This Row],[Unit Price]]</f>
        <v>986.93000000000006</v>
      </c>
      <c r="F484">
        <v>7</v>
      </c>
      <c r="G484" s="16">
        <v>140.99</v>
      </c>
      <c r="H484" t="s">
        <v>8</v>
      </c>
      <c r="I484" t="s">
        <v>199</v>
      </c>
      <c r="J484" t="s">
        <v>23</v>
      </c>
      <c r="K484" t="s">
        <v>17</v>
      </c>
    </row>
    <row r="485" spans="1:11" x14ac:dyDescent="0.45">
      <c r="A485">
        <v>2054</v>
      </c>
      <c r="B485" s="15">
        <v>45084</v>
      </c>
      <c r="C485" t="str">
        <f>TEXT(Table1[[#This Row],[Order Date]], "yyyy")</f>
        <v>2023</v>
      </c>
      <c r="D485" t="str">
        <f>TEXT(Table1[[#This Row],[Order Date]], "mmmm")</f>
        <v>June</v>
      </c>
      <c r="E485" s="16">
        <f>Table1[[#This Row],[Order Quantity]]*Table1[[#This Row],[Unit Price]]</f>
        <v>363.25</v>
      </c>
      <c r="F485">
        <v>1</v>
      </c>
      <c r="G485" s="16">
        <v>363.25</v>
      </c>
      <c r="H485" t="s">
        <v>8</v>
      </c>
      <c r="I485" t="s">
        <v>200</v>
      </c>
      <c r="J485" t="s">
        <v>23</v>
      </c>
      <c r="K485" t="s">
        <v>11</v>
      </c>
    </row>
    <row r="486" spans="1:11" x14ac:dyDescent="0.45">
      <c r="A486">
        <v>2054</v>
      </c>
      <c r="B486" s="15">
        <v>45084</v>
      </c>
      <c r="C486" t="str">
        <f>TEXT(Table1[[#This Row],[Order Date]], "yyyy")</f>
        <v>2023</v>
      </c>
      <c r="D486" t="str">
        <f>TEXT(Table1[[#This Row],[Order Date]], "mmmm")</f>
        <v>June</v>
      </c>
      <c r="E486" s="16">
        <f>Table1[[#This Row],[Order Quantity]]*Table1[[#This Row],[Unit Price]]</f>
        <v>781.32</v>
      </c>
      <c r="F486">
        <v>34</v>
      </c>
      <c r="G486" s="16">
        <v>22.98</v>
      </c>
      <c r="H486" t="s">
        <v>8</v>
      </c>
      <c r="I486" t="s">
        <v>200</v>
      </c>
      <c r="J486" t="s">
        <v>23</v>
      </c>
      <c r="K486" t="s">
        <v>15</v>
      </c>
    </row>
    <row r="487" spans="1:11" x14ac:dyDescent="0.45">
      <c r="A487">
        <v>2055</v>
      </c>
      <c r="B487" s="15">
        <v>44442</v>
      </c>
      <c r="C487" t="str">
        <f>TEXT(Table1[[#This Row],[Order Date]], "yyyy")</f>
        <v>2021</v>
      </c>
      <c r="D487" t="str">
        <f>TEXT(Table1[[#This Row],[Order Date]], "mmmm")</f>
        <v>September</v>
      </c>
      <c r="E487" s="16">
        <f>Table1[[#This Row],[Order Quantity]]*Table1[[#This Row],[Unit Price]]</f>
        <v>61.18</v>
      </c>
      <c r="F487">
        <v>7</v>
      </c>
      <c r="G487" s="16">
        <v>8.74</v>
      </c>
      <c r="H487" t="s">
        <v>8</v>
      </c>
      <c r="I487" t="s">
        <v>201</v>
      </c>
      <c r="J487" t="s">
        <v>10</v>
      </c>
      <c r="K487" t="s">
        <v>11</v>
      </c>
    </row>
    <row r="488" spans="1:11" x14ac:dyDescent="0.45">
      <c r="A488">
        <v>2084</v>
      </c>
      <c r="B488" s="15">
        <v>44271</v>
      </c>
      <c r="C488" t="str">
        <f>TEXT(Table1[[#This Row],[Order Date]], "yyyy")</f>
        <v>2021</v>
      </c>
      <c r="D488" t="str">
        <f>TEXT(Table1[[#This Row],[Order Date]], "mmmm")</f>
        <v>March</v>
      </c>
      <c r="E488" s="16">
        <f>Table1[[#This Row],[Order Quantity]]*Table1[[#This Row],[Unit Price]]</f>
        <v>655.84</v>
      </c>
      <c r="F488">
        <v>16</v>
      </c>
      <c r="G488" s="16">
        <v>40.99</v>
      </c>
      <c r="H488" t="s">
        <v>8</v>
      </c>
      <c r="I488" t="s">
        <v>202</v>
      </c>
      <c r="J488" t="s">
        <v>13</v>
      </c>
      <c r="K488" t="s">
        <v>11</v>
      </c>
    </row>
    <row r="489" spans="1:11" x14ac:dyDescent="0.45">
      <c r="A489">
        <v>2086</v>
      </c>
      <c r="B489" s="15">
        <v>44122</v>
      </c>
      <c r="C489" t="str">
        <f>TEXT(Table1[[#This Row],[Order Date]], "yyyy")</f>
        <v>2020</v>
      </c>
      <c r="D489" t="str">
        <f>TEXT(Table1[[#This Row],[Order Date]], "mmmm")</f>
        <v>October</v>
      </c>
      <c r="E489" s="16">
        <f>Table1[[#This Row],[Order Quantity]]*Table1[[#This Row],[Unit Price]]</f>
        <v>2507.62</v>
      </c>
      <c r="F489">
        <v>38</v>
      </c>
      <c r="G489" s="16">
        <v>65.989999999999995</v>
      </c>
      <c r="H489" t="s">
        <v>8</v>
      </c>
      <c r="I489" t="s">
        <v>189</v>
      </c>
      <c r="J489" t="s">
        <v>13</v>
      </c>
      <c r="K489" t="s">
        <v>17</v>
      </c>
    </row>
    <row r="490" spans="1:11" x14ac:dyDescent="0.45">
      <c r="A490">
        <v>2086</v>
      </c>
      <c r="B490" s="15">
        <v>44122</v>
      </c>
      <c r="C490" t="str">
        <f>TEXT(Table1[[#This Row],[Order Date]], "yyyy")</f>
        <v>2020</v>
      </c>
      <c r="D490" t="str">
        <f>TEXT(Table1[[#This Row],[Order Date]], "mmmm")</f>
        <v>October</v>
      </c>
      <c r="E490" s="16">
        <f>Table1[[#This Row],[Order Quantity]]*Table1[[#This Row],[Unit Price]]</f>
        <v>1154.1600000000001</v>
      </c>
      <c r="F490">
        <v>9</v>
      </c>
      <c r="G490" s="16">
        <v>128.24</v>
      </c>
      <c r="H490" t="s">
        <v>8</v>
      </c>
      <c r="I490" t="s">
        <v>189</v>
      </c>
      <c r="J490" t="s">
        <v>13</v>
      </c>
      <c r="K490" t="s">
        <v>15</v>
      </c>
    </row>
    <row r="491" spans="1:11" x14ac:dyDescent="0.45">
      <c r="A491">
        <v>2144</v>
      </c>
      <c r="B491" s="15">
        <v>43918</v>
      </c>
      <c r="C491" t="str">
        <f>TEXT(Table1[[#This Row],[Order Date]], "yyyy")</f>
        <v>2020</v>
      </c>
      <c r="D491" t="str">
        <f>TEXT(Table1[[#This Row],[Order Date]], "mmmm")</f>
        <v>March</v>
      </c>
      <c r="E491" s="16">
        <f>Table1[[#This Row],[Order Quantity]]*Table1[[#This Row],[Unit Price]]</f>
        <v>7039.6</v>
      </c>
      <c r="F491">
        <v>40</v>
      </c>
      <c r="G491" s="16">
        <v>175.99</v>
      </c>
      <c r="H491" t="s">
        <v>8</v>
      </c>
      <c r="I491" t="s">
        <v>24</v>
      </c>
      <c r="J491" t="s">
        <v>13</v>
      </c>
      <c r="K491" t="s">
        <v>17</v>
      </c>
    </row>
    <row r="492" spans="1:11" x14ac:dyDescent="0.45">
      <c r="A492">
        <v>2146</v>
      </c>
      <c r="B492" s="15">
        <v>45182</v>
      </c>
      <c r="C492" t="str">
        <f>TEXT(Table1[[#This Row],[Order Date]], "yyyy")</f>
        <v>2023</v>
      </c>
      <c r="D492" t="str">
        <f>TEXT(Table1[[#This Row],[Order Date]], "mmmm")</f>
        <v>September</v>
      </c>
      <c r="E492" s="16">
        <f>Table1[[#This Row],[Order Quantity]]*Table1[[#This Row],[Unit Price]]</f>
        <v>7215.59</v>
      </c>
      <c r="F492">
        <v>41</v>
      </c>
      <c r="G492" s="16">
        <v>175.99</v>
      </c>
      <c r="H492" t="s">
        <v>8</v>
      </c>
      <c r="I492" t="s">
        <v>199</v>
      </c>
      <c r="J492" t="s">
        <v>10</v>
      </c>
      <c r="K492" t="s">
        <v>17</v>
      </c>
    </row>
    <row r="493" spans="1:11" x14ac:dyDescent="0.45">
      <c r="A493">
        <v>2146</v>
      </c>
      <c r="B493" s="15">
        <v>45182</v>
      </c>
      <c r="C493" t="str">
        <f>TEXT(Table1[[#This Row],[Order Date]], "yyyy")</f>
        <v>2023</v>
      </c>
      <c r="D493" t="str">
        <f>TEXT(Table1[[#This Row],[Order Date]], "mmmm")</f>
        <v>September</v>
      </c>
      <c r="E493" s="16">
        <f>Table1[[#This Row],[Order Quantity]]*Table1[[#This Row],[Unit Price]]</f>
        <v>114.83999999999999</v>
      </c>
      <c r="F493">
        <v>44</v>
      </c>
      <c r="G493" s="16">
        <v>2.61</v>
      </c>
      <c r="H493" t="s">
        <v>8</v>
      </c>
      <c r="I493" t="s">
        <v>199</v>
      </c>
      <c r="J493" t="s">
        <v>10</v>
      </c>
      <c r="K493" t="s">
        <v>11</v>
      </c>
    </row>
    <row r="494" spans="1:11" x14ac:dyDescent="0.45">
      <c r="A494">
        <v>2149</v>
      </c>
      <c r="B494" s="15">
        <v>44267</v>
      </c>
      <c r="C494" t="str">
        <f>TEXT(Table1[[#This Row],[Order Date]], "yyyy")</f>
        <v>2021</v>
      </c>
      <c r="D494" t="str">
        <f>TEXT(Table1[[#This Row],[Order Date]], "mmmm")</f>
        <v>March</v>
      </c>
      <c r="E494" s="16">
        <f>Table1[[#This Row],[Order Quantity]]*Table1[[#This Row],[Unit Price]]</f>
        <v>37.520000000000003</v>
      </c>
      <c r="F494">
        <v>4</v>
      </c>
      <c r="G494" s="16">
        <v>9.3800000000000008</v>
      </c>
      <c r="H494" t="s">
        <v>8</v>
      </c>
      <c r="I494" t="s">
        <v>203</v>
      </c>
      <c r="J494" t="s">
        <v>23</v>
      </c>
      <c r="K494" t="s">
        <v>15</v>
      </c>
    </row>
    <row r="495" spans="1:11" x14ac:dyDescent="0.45">
      <c r="A495">
        <v>2181</v>
      </c>
      <c r="B495" s="15">
        <v>44816</v>
      </c>
      <c r="C495" t="str">
        <f>TEXT(Table1[[#This Row],[Order Date]], "yyyy")</f>
        <v>2022</v>
      </c>
      <c r="D495" t="str">
        <f>TEXT(Table1[[#This Row],[Order Date]], "mmmm")</f>
        <v>September</v>
      </c>
      <c r="E495" s="16">
        <f>Table1[[#This Row],[Order Quantity]]*Table1[[#This Row],[Unit Price]]</f>
        <v>104.39999999999999</v>
      </c>
      <c r="F495">
        <v>40</v>
      </c>
      <c r="G495" s="16">
        <v>2.61</v>
      </c>
      <c r="H495" t="s">
        <v>8</v>
      </c>
      <c r="I495" t="s">
        <v>119</v>
      </c>
      <c r="J495" t="s">
        <v>20</v>
      </c>
      <c r="K495" t="s">
        <v>11</v>
      </c>
    </row>
    <row r="496" spans="1:11" x14ac:dyDescent="0.45">
      <c r="A496">
        <v>2208</v>
      </c>
      <c r="B496" s="15">
        <v>44681</v>
      </c>
      <c r="C496" t="str">
        <f>TEXT(Table1[[#This Row],[Order Date]], "yyyy")</f>
        <v>2022</v>
      </c>
      <c r="D496" t="str">
        <f>TEXT(Table1[[#This Row],[Order Date]], "mmmm")</f>
        <v>April</v>
      </c>
      <c r="E496" s="16">
        <f>Table1[[#This Row],[Order Quantity]]*Table1[[#This Row],[Unit Price]]</f>
        <v>80.5</v>
      </c>
      <c r="F496">
        <v>7</v>
      </c>
      <c r="G496" s="16">
        <v>11.5</v>
      </c>
      <c r="H496" t="s">
        <v>8</v>
      </c>
      <c r="I496" t="s">
        <v>205</v>
      </c>
      <c r="J496" t="s">
        <v>20</v>
      </c>
      <c r="K496" t="s">
        <v>11</v>
      </c>
    </row>
    <row r="497" spans="1:11" x14ac:dyDescent="0.45">
      <c r="A497">
        <v>2208</v>
      </c>
      <c r="B497" s="15">
        <v>44681</v>
      </c>
      <c r="C497" t="str">
        <f>TEXT(Table1[[#This Row],[Order Date]], "yyyy")</f>
        <v>2022</v>
      </c>
      <c r="D497" t="str">
        <f>TEXT(Table1[[#This Row],[Order Date]], "mmmm")</f>
        <v>April</v>
      </c>
      <c r="E497" s="16">
        <f>Table1[[#This Row],[Order Quantity]]*Table1[[#This Row],[Unit Price]]</f>
        <v>24599.59</v>
      </c>
      <c r="F497">
        <v>41</v>
      </c>
      <c r="G497" s="16">
        <v>599.99</v>
      </c>
      <c r="H497" t="s">
        <v>8</v>
      </c>
      <c r="I497" t="s">
        <v>205</v>
      </c>
      <c r="J497" t="s">
        <v>20</v>
      </c>
      <c r="K497" t="s">
        <v>17</v>
      </c>
    </row>
    <row r="498" spans="1:11" x14ac:dyDescent="0.45">
      <c r="A498">
        <v>2209</v>
      </c>
      <c r="B498" s="15">
        <v>45116</v>
      </c>
      <c r="C498" t="str">
        <f>TEXT(Table1[[#This Row],[Order Date]], "yyyy")</f>
        <v>2023</v>
      </c>
      <c r="D498" t="str">
        <f>TEXT(Table1[[#This Row],[Order Date]], "mmmm")</f>
        <v>July</v>
      </c>
      <c r="E498" s="16">
        <f>Table1[[#This Row],[Order Quantity]]*Table1[[#This Row],[Unit Price]]</f>
        <v>4.76</v>
      </c>
      <c r="F498">
        <v>1</v>
      </c>
      <c r="G498" s="16">
        <v>4.76</v>
      </c>
      <c r="H498" t="s">
        <v>8</v>
      </c>
      <c r="I498" t="s">
        <v>206</v>
      </c>
      <c r="J498" t="s">
        <v>23</v>
      </c>
      <c r="K498" t="s">
        <v>11</v>
      </c>
    </row>
    <row r="499" spans="1:11" x14ac:dyDescent="0.45">
      <c r="A499">
        <v>2209</v>
      </c>
      <c r="B499" s="15">
        <v>45116</v>
      </c>
      <c r="C499" t="str">
        <f>TEXT(Table1[[#This Row],[Order Date]], "yyyy")</f>
        <v>2023</v>
      </c>
      <c r="D499" t="str">
        <f>TEXT(Table1[[#This Row],[Order Date]], "mmmm")</f>
        <v>July</v>
      </c>
      <c r="E499" s="16">
        <f>Table1[[#This Row],[Order Quantity]]*Table1[[#This Row],[Unit Price]]</f>
        <v>179.76000000000002</v>
      </c>
      <c r="F499">
        <v>42</v>
      </c>
      <c r="G499" s="16">
        <v>4.28</v>
      </c>
      <c r="H499" t="s">
        <v>8</v>
      </c>
      <c r="I499" t="s">
        <v>206</v>
      </c>
      <c r="J499" t="s">
        <v>23</v>
      </c>
      <c r="K499" t="s">
        <v>11</v>
      </c>
    </row>
    <row r="500" spans="1:11" x14ac:dyDescent="0.45">
      <c r="A500">
        <v>2209</v>
      </c>
      <c r="B500" s="15">
        <v>45116</v>
      </c>
      <c r="C500" t="str">
        <f>TEXT(Table1[[#This Row],[Order Date]], "yyyy")</f>
        <v>2023</v>
      </c>
      <c r="D500" t="str">
        <f>TEXT(Table1[[#This Row],[Order Date]], "mmmm")</f>
        <v>July</v>
      </c>
      <c r="E500" s="16">
        <f>Table1[[#This Row],[Order Quantity]]*Table1[[#This Row],[Unit Price]]</f>
        <v>1637.87</v>
      </c>
      <c r="F500">
        <v>13</v>
      </c>
      <c r="G500" s="16">
        <v>125.99</v>
      </c>
      <c r="H500" t="s">
        <v>8</v>
      </c>
      <c r="I500" t="s">
        <v>206</v>
      </c>
      <c r="J500" t="s">
        <v>23</v>
      </c>
      <c r="K500" t="s">
        <v>17</v>
      </c>
    </row>
    <row r="501" spans="1:11" x14ac:dyDescent="0.45">
      <c r="A501">
        <v>2211</v>
      </c>
      <c r="B501" s="15">
        <v>44011</v>
      </c>
      <c r="C501" t="str">
        <f>TEXT(Table1[[#This Row],[Order Date]], "yyyy")</f>
        <v>2020</v>
      </c>
      <c r="D501" t="str">
        <f>TEXT(Table1[[#This Row],[Order Date]], "mmmm")</f>
        <v>June</v>
      </c>
      <c r="E501" s="16">
        <f>Table1[[#This Row],[Order Quantity]]*Table1[[#This Row],[Unit Price]]</f>
        <v>1627.5600000000002</v>
      </c>
      <c r="F501">
        <v>22</v>
      </c>
      <c r="G501" s="16">
        <v>73.98</v>
      </c>
      <c r="H501" t="s">
        <v>8</v>
      </c>
      <c r="I501" t="s">
        <v>204</v>
      </c>
      <c r="J501" t="s">
        <v>20</v>
      </c>
      <c r="K501" t="s">
        <v>17</v>
      </c>
    </row>
    <row r="502" spans="1:11" x14ac:dyDescent="0.45">
      <c r="A502">
        <v>2211</v>
      </c>
      <c r="B502" s="15">
        <v>44011</v>
      </c>
      <c r="C502" t="str">
        <f>TEXT(Table1[[#This Row],[Order Date]], "yyyy")</f>
        <v>2020</v>
      </c>
      <c r="D502" t="str">
        <f>TEXT(Table1[[#This Row],[Order Date]], "mmmm")</f>
        <v>June</v>
      </c>
      <c r="E502" s="16">
        <f>Table1[[#This Row],[Order Quantity]]*Table1[[#This Row],[Unit Price]]</f>
        <v>83.72</v>
      </c>
      <c r="F502">
        <v>14</v>
      </c>
      <c r="G502" s="16">
        <v>5.98</v>
      </c>
      <c r="H502" t="s">
        <v>8</v>
      </c>
      <c r="I502" t="s">
        <v>204</v>
      </c>
      <c r="J502" t="s">
        <v>20</v>
      </c>
      <c r="K502" t="s">
        <v>11</v>
      </c>
    </row>
    <row r="503" spans="1:11" x14ac:dyDescent="0.45">
      <c r="A503">
        <v>2211</v>
      </c>
      <c r="B503" s="15">
        <v>44011</v>
      </c>
      <c r="C503" t="str">
        <f>TEXT(Table1[[#This Row],[Order Date]], "yyyy")</f>
        <v>2020</v>
      </c>
      <c r="D503" t="str">
        <f>TEXT(Table1[[#This Row],[Order Date]], "mmmm")</f>
        <v>June</v>
      </c>
      <c r="E503" s="16">
        <f>Table1[[#This Row],[Order Quantity]]*Table1[[#This Row],[Unit Price]]</f>
        <v>82.11</v>
      </c>
      <c r="F503">
        <v>23</v>
      </c>
      <c r="G503" s="16">
        <v>3.57</v>
      </c>
      <c r="H503" t="s">
        <v>8</v>
      </c>
      <c r="I503" t="s">
        <v>204</v>
      </c>
      <c r="J503" t="s">
        <v>20</v>
      </c>
      <c r="K503" t="s">
        <v>11</v>
      </c>
    </row>
    <row r="504" spans="1:11" x14ac:dyDescent="0.45">
      <c r="A504">
        <v>2213</v>
      </c>
      <c r="B504" s="15">
        <v>44210</v>
      </c>
      <c r="C504" t="str">
        <f>TEXT(Table1[[#This Row],[Order Date]], "yyyy")</f>
        <v>2021</v>
      </c>
      <c r="D504" t="str">
        <f>TEXT(Table1[[#This Row],[Order Date]], "mmmm")</f>
        <v>January</v>
      </c>
      <c r="E504" s="16">
        <f>Table1[[#This Row],[Order Quantity]]*Table1[[#This Row],[Unit Price]]</f>
        <v>34.68</v>
      </c>
      <c r="F504">
        <v>6</v>
      </c>
      <c r="G504" s="16">
        <v>5.78</v>
      </c>
      <c r="H504" t="s">
        <v>8</v>
      </c>
      <c r="I504" t="s">
        <v>191</v>
      </c>
      <c r="J504" t="s">
        <v>10</v>
      </c>
      <c r="K504" t="s">
        <v>11</v>
      </c>
    </row>
    <row r="505" spans="1:11" x14ac:dyDescent="0.45">
      <c r="A505">
        <v>2240</v>
      </c>
      <c r="B505" s="15">
        <v>44990</v>
      </c>
      <c r="C505" t="str">
        <f>TEXT(Table1[[#This Row],[Order Date]], "yyyy")</f>
        <v>2023</v>
      </c>
      <c r="D505" t="str">
        <f>TEXT(Table1[[#This Row],[Order Date]], "mmmm")</f>
        <v>March</v>
      </c>
      <c r="E505" s="16">
        <f>Table1[[#This Row],[Order Quantity]]*Table1[[#This Row],[Unit Price]]</f>
        <v>180.88</v>
      </c>
      <c r="F505">
        <v>17</v>
      </c>
      <c r="G505" s="16">
        <v>10.64</v>
      </c>
      <c r="H505" t="s">
        <v>8</v>
      </c>
      <c r="I505" t="s">
        <v>207</v>
      </c>
      <c r="J505" t="s">
        <v>23</v>
      </c>
      <c r="K505" t="s">
        <v>15</v>
      </c>
    </row>
    <row r="506" spans="1:11" x14ac:dyDescent="0.45">
      <c r="A506">
        <v>2240</v>
      </c>
      <c r="B506" s="15">
        <v>44990</v>
      </c>
      <c r="C506" t="str">
        <f>TEXT(Table1[[#This Row],[Order Date]], "yyyy")</f>
        <v>2023</v>
      </c>
      <c r="D506" t="str">
        <f>TEXT(Table1[[#This Row],[Order Date]], "mmmm")</f>
        <v>March</v>
      </c>
      <c r="E506" s="16">
        <f>Table1[[#This Row],[Order Quantity]]*Table1[[#This Row],[Unit Price]]</f>
        <v>140.75</v>
      </c>
      <c r="F506">
        <v>5</v>
      </c>
      <c r="G506" s="16">
        <v>28.15</v>
      </c>
      <c r="H506" t="s">
        <v>8</v>
      </c>
      <c r="I506" t="s">
        <v>207</v>
      </c>
      <c r="J506" t="s">
        <v>23</v>
      </c>
      <c r="K506" t="s">
        <v>11</v>
      </c>
    </row>
    <row r="507" spans="1:11" x14ac:dyDescent="0.45">
      <c r="A507">
        <v>2241</v>
      </c>
      <c r="B507" s="15">
        <v>44326</v>
      </c>
      <c r="C507" t="str">
        <f>TEXT(Table1[[#This Row],[Order Date]], "yyyy")</f>
        <v>2021</v>
      </c>
      <c r="D507" t="str">
        <f>TEXT(Table1[[#This Row],[Order Date]], "mmmm")</f>
        <v>May</v>
      </c>
      <c r="E507" s="16">
        <f>Table1[[#This Row],[Order Quantity]]*Table1[[#This Row],[Unit Price]]</f>
        <v>948.1</v>
      </c>
      <c r="F507">
        <v>38</v>
      </c>
      <c r="G507" s="16">
        <v>24.95</v>
      </c>
      <c r="H507" t="s">
        <v>8</v>
      </c>
      <c r="I507" t="s">
        <v>207</v>
      </c>
      <c r="J507" t="s">
        <v>23</v>
      </c>
      <c r="K507" t="s">
        <v>11</v>
      </c>
    </row>
    <row r="508" spans="1:11" x14ac:dyDescent="0.45">
      <c r="A508">
        <v>2275</v>
      </c>
      <c r="B508" s="15">
        <v>45220</v>
      </c>
      <c r="C508" t="str">
        <f>TEXT(Table1[[#This Row],[Order Date]], "yyyy")</f>
        <v>2023</v>
      </c>
      <c r="D508" t="str">
        <f>TEXT(Table1[[#This Row],[Order Date]], "mmmm")</f>
        <v>October</v>
      </c>
      <c r="E508" s="16">
        <f>Table1[[#This Row],[Order Quantity]]*Table1[[#This Row],[Unit Price]]</f>
        <v>297.92</v>
      </c>
      <c r="F508">
        <v>49</v>
      </c>
      <c r="G508" s="16">
        <v>6.08</v>
      </c>
      <c r="H508" t="s">
        <v>8</v>
      </c>
      <c r="I508" t="s">
        <v>211</v>
      </c>
      <c r="J508" t="s">
        <v>10</v>
      </c>
      <c r="K508" t="s">
        <v>11</v>
      </c>
    </row>
    <row r="509" spans="1:11" x14ac:dyDescent="0.45">
      <c r="A509">
        <v>2277</v>
      </c>
      <c r="B509" s="15">
        <v>44562</v>
      </c>
      <c r="C509" t="str">
        <f>TEXT(Table1[[#This Row],[Order Date]], "yyyy")</f>
        <v>2022</v>
      </c>
      <c r="D509" t="str">
        <f>TEXT(Table1[[#This Row],[Order Date]], "mmmm")</f>
        <v>January</v>
      </c>
      <c r="E509" s="16">
        <f>Table1[[#This Row],[Order Quantity]]*Table1[[#This Row],[Unit Price]]</f>
        <v>59.800000000000004</v>
      </c>
      <c r="F509">
        <v>10</v>
      </c>
      <c r="G509" s="16">
        <v>5.98</v>
      </c>
      <c r="H509" t="s">
        <v>8</v>
      </c>
      <c r="I509" t="s">
        <v>161</v>
      </c>
      <c r="J509" t="s">
        <v>20</v>
      </c>
      <c r="K509" t="s">
        <v>17</v>
      </c>
    </row>
    <row r="510" spans="1:11" x14ac:dyDescent="0.45">
      <c r="A510">
        <v>2277</v>
      </c>
      <c r="B510" s="15">
        <v>44562</v>
      </c>
      <c r="C510" t="str">
        <f>TEXT(Table1[[#This Row],[Order Date]], "yyyy")</f>
        <v>2022</v>
      </c>
      <c r="D510" t="str">
        <f>TEXT(Table1[[#This Row],[Order Date]], "mmmm")</f>
        <v>January</v>
      </c>
      <c r="E510" s="16">
        <f>Table1[[#This Row],[Order Quantity]]*Table1[[#This Row],[Unit Price]]</f>
        <v>860.79000000000008</v>
      </c>
      <c r="F510">
        <v>21</v>
      </c>
      <c r="G510" s="16">
        <v>40.99</v>
      </c>
      <c r="H510" t="s">
        <v>8</v>
      </c>
      <c r="I510" t="s">
        <v>161</v>
      </c>
      <c r="J510" t="s">
        <v>20</v>
      </c>
      <c r="K510" t="s">
        <v>11</v>
      </c>
    </row>
    <row r="511" spans="1:11" x14ac:dyDescent="0.45">
      <c r="A511">
        <v>2279</v>
      </c>
      <c r="B511" s="15">
        <v>44249</v>
      </c>
      <c r="C511" t="str">
        <f>TEXT(Table1[[#This Row],[Order Date]], "yyyy")</f>
        <v>2021</v>
      </c>
      <c r="D511" t="str">
        <f>TEXT(Table1[[#This Row],[Order Date]], "mmmm")</f>
        <v>February</v>
      </c>
      <c r="E511" s="16">
        <f>Table1[[#This Row],[Order Quantity]]*Table1[[#This Row],[Unit Price]]</f>
        <v>818.22</v>
      </c>
      <c r="F511">
        <v>39</v>
      </c>
      <c r="G511" s="16">
        <v>20.98</v>
      </c>
      <c r="H511" t="s">
        <v>8</v>
      </c>
      <c r="I511" t="s">
        <v>212</v>
      </c>
      <c r="J511" t="s">
        <v>13</v>
      </c>
      <c r="K511" t="s">
        <v>11</v>
      </c>
    </row>
    <row r="512" spans="1:11" x14ac:dyDescent="0.45">
      <c r="A512">
        <v>2305</v>
      </c>
      <c r="B512" s="15">
        <v>44221</v>
      </c>
      <c r="C512" t="str">
        <f>TEXT(Table1[[#This Row],[Order Date]], "yyyy")</f>
        <v>2021</v>
      </c>
      <c r="D512" t="str">
        <f>TEXT(Table1[[#This Row],[Order Date]], "mmmm")</f>
        <v>January</v>
      </c>
      <c r="E512" s="16">
        <f>Table1[[#This Row],[Order Quantity]]*Table1[[#This Row],[Unit Price]]</f>
        <v>6.68</v>
      </c>
      <c r="F512">
        <v>1</v>
      </c>
      <c r="G512" s="16">
        <v>6.68</v>
      </c>
      <c r="H512" t="s">
        <v>8</v>
      </c>
      <c r="I512" t="s">
        <v>213</v>
      </c>
      <c r="J512" t="s">
        <v>20</v>
      </c>
      <c r="K512" t="s">
        <v>11</v>
      </c>
    </row>
    <row r="513" spans="1:11" x14ac:dyDescent="0.45">
      <c r="A513">
        <v>2305</v>
      </c>
      <c r="B513" s="15">
        <v>44221</v>
      </c>
      <c r="C513" t="str">
        <f>TEXT(Table1[[#This Row],[Order Date]], "yyyy")</f>
        <v>2021</v>
      </c>
      <c r="D513" t="str">
        <f>TEXT(Table1[[#This Row],[Order Date]], "mmmm")</f>
        <v>January</v>
      </c>
      <c r="E513" s="16">
        <f>Table1[[#This Row],[Order Quantity]]*Table1[[#This Row],[Unit Price]]</f>
        <v>1323.6299999999999</v>
      </c>
      <c r="F513">
        <v>11</v>
      </c>
      <c r="G513" s="16">
        <v>120.33</v>
      </c>
      <c r="H513" t="s">
        <v>8</v>
      </c>
      <c r="I513" t="s">
        <v>213</v>
      </c>
      <c r="J513" t="s">
        <v>20</v>
      </c>
      <c r="K513" t="s">
        <v>11</v>
      </c>
    </row>
    <row r="514" spans="1:11" x14ac:dyDescent="0.45">
      <c r="A514">
        <v>2306</v>
      </c>
      <c r="B514" s="15">
        <v>44767</v>
      </c>
      <c r="C514" t="str">
        <f>TEXT(Table1[[#This Row],[Order Date]], "yyyy")</f>
        <v>2022</v>
      </c>
      <c r="D514" t="str">
        <f>TEXT(Table1[[#This Row],[Order Date]], "mmmm")</f>
        <v>July</v>
      </c>
      <c r="E514" s="16">
        <f>Table1[[#This Row],[Order Quantity]]*Table1[[#This Row],[Unit Price]]</f>
        <v>111.75</v>
      </c>
      <c r="F514">
        <v>15</v>
      </c>
      <c r="G514" s="16">
        <v>7.45</v>
      </c>
      <c r="H514" t="s">
        <v>8</v>
      </c>
      <c r="I514" t="s">
        <v>214</v>
      </c>
      <c r="J514" t="s">
        <v>13</v>
      </c>
      <c r="K514" t="s">
        <v>11</v>
      </c>
    </row>
    <row r="515" spans="1:11" x14ac:dyDescent="0.45">
      <c r="A515">
        <v>2307</v>
      </c>
      <c r="B515" s="15">
        <v>44375</v>
      </c>
      <c r="C515" t="str">
        <f>TEXT(Table1[[#This Row],[Order Date]], "yyyy")</f>
        <v>2021</v>
      </c>
      <c r="D515" t="str">
        <f>TEXT(Table1[[#This Row],[Order Date]], "mmmm")</f>
        <v>June</v>
      </c>
      <c r="E515" s="16">
        <f>Table1[[#This Row],[Order Quantity]]*Table1[[#This Row],[Unit Price]]</f>
        <v>191.36</v>
      </c>
      <c r="F515">
        <v>32</v>
      </c>
      <c r="G515" s="16">
        <v>5.98</v>
      </c>
      <c r="H515" t="s">
        <v>8</v>
      </c>
      <c r="I515" t="s">
        <v>215</v>
      </c>
      <c r="J515" t="s">
        <v>13</v>
      </c>
      <c r="K515" t="s">
        <v>11</v>
      </c>
    </row>
    <row r="516" spans="1:11" x14ac:dyDescent="0.45">
      <c r="A516">
        <v>2309</v>
      </c>
      <c r="B516" s="15">
        <v>44807</v>
      </c>
      <c r="C516" t="str">
        <f>TEXT(Table1[[#This Row],[Order Date]], "yyyy")</f>
        <v>2022</v>
      </c>
      <c r="D516" t="str">
        <f>TEXT(Table1[[#This Row],[Order Date]], "mmmm")</f>
        <v>September</v>
      </c>
      <c r="E516" s="16">
        <f>Table1[[#This Row],[Order Quantity]]*Table1[[#This Row],[Unit Price]]</f>
        <v>26.599999999999998</v>
      </c>
      <c r="F516">
        <v>7</v>
      </c>
      <c r="G516" s="16">
        <v>3.8</v>
      </c>
      <c r="H516" t="s">
        <v>8</v>
      </c>
      <c r="I516" t="s">
        <v>216</v>
      </c>
      <c r="J516" t="s">
        <v>23</v>
      </c>
      <c r="K516" t="s">
        <v>11</v>
      </c>
    </row>
    <row r="517" spans="1:11" x14ac:dyDescent="0.45">
      <c r="A517">
        <v>2311</v>
      </c>
      <c r="B517" s="15">
        <v>44682</v>
      </c>
      <c r="C517" t="str">
        <f>TEXT(Table1[[#This Row],[Order Date]], "yyyy")</f>
        <v>2022</v>
      </c>
      <c r="D517" t="str">
        <f>TEXT(Table1[[#This Row],[Order Date]], "mmmm")</f>
        <v>May</v>
      </c>
      <c r="E517" s="16">
        <f>Table1[[#This Row],[Order Quantity]]*Table1[[#This Row],[Unit Price]]</f>
        <v>1267.5899999999999</v>
      </c>
      <c r="F517">
        <v>31</v>
      </c>
      <c r="G517" s="16">
        <v>40.89</v>
      </c>
      <c r="H517" t="s">
        <v>8</v>
      </c>
      <c r="I517" t="s">
        <v>217</v>
      </c>
      <c r="J517" t="s">
        <v>20</v>
      </c>
      <c r="K517" t="s">
        <v>15</v>
      </c>
    </row>
    <row r="518" spans="1:11" x14ac:dyDescent="0.45">
      <c r="A518">
        <v>2339</v>
      </c>
      <c r="B518" s="15">
        <v>44544</v>
      </c>
      <c r="C518" t="str">
        <f>TEXT(Table1[[#This Row],[Order Date]], "yyyy")</f>
        <v>2021</v>
      </c>
      <c r="D518" t="str">
        <f>TEXT(Table1[[#This Row],[Order Date]], "mmmm")</f>
        <v>December</v>
      </c>
      <c r="E518" s="16">
        <f>Table1[[#This Row],[Order Quantity]]*Table1[[#This Row],[Unit Price]]</f>
        <v>1690.1999999999998</v>
      </c>
      <c r="F518">
        <v>12</v>
      </c>
      <c r="G518" s="16">
        <v>140.85</v>
      </c>
      <c r="H518" t="s">
        <v>8</v>
      </c>
      <c r="I518" t="s">
        <v>218</v>
      </c>
      <c r="J518" t="s">
        <v>10</v>
      </c>
      <c r="K518" t="s">
        <v>11</v>
      </c>
    </row>
    <row r="519" spans="1:11" x14ac:dyDescent="0.45">
      <c r="A519">
        <v>2341</v>
      </c>
      <c r="B519" s="15">
        <v>44345</v>
      </c>
      <c r="C519" t="str">
        <f>TEXT(Table1[[#This Row],[Order Date]], "yyyy")</f>
        <v>2021</v>
      </c>
      <c r="D519" t="str">
        <f>TEXT(Table1[[#This Row],[Order Date]], "mmmm")</f>
        <v>May</v>
      </c>
      <c r="E519" s="16">
        <f>Table1[[#This Row],[Order Quantity]]*Table1[[#This Row],[Unit Price]]</f>
        <v>167.62</v>
      </c>
      <c r="F519">
        <v>29</v>
      </c>
      <c r="G519" s="16">
        <v>5.78</v>
      </c>
      <c r="H519" t="s">
        <v>8</v>
      </c>
      <c r="I519" t="s">
        <v>219</v>
      </c>
      <c r="J519" t="s">
        <v>10</v>
      </c>
      <c r="K519" t="s">
        <v>11</v>
      </c>
    </row>
    <row r="520" spans="1:11" x14ac:dyDescent="0.45">
      <c r="A520">
        <v>2368</v>
      </c>
      <c r="B520" s="15">
        <v>44427</v>
      </c>
      <c r="C520" t="str">
        <f>TEXT(Table1[[#This Row],[Order Date]], "yyyy")</f>
        <v>2021</v>
      </c>
      <c r="D520" t="str">
        <f>TEXT(Table1[[#This Row],[Order Date]], "mmmm")</f>
        <v>August</v>
      </c>
      <c r="E520" s="16">
        <f>Table1[[#This Row],[Order Quantity]]*Table1[[#This Row],[Unit Price]]</f>
        <v>533.16</v>
      </c>
      <c r="F520">
        <v>36</v>
      </c>
      <c r="G520" s="16">
        <v>14.81</v>
      </c>
      <c r="H520" t="s">
        <v>8</v>
      </c>
      <c r="I520" t="s">
        <v>220</v>
      </c>
      <c r="J520" t="s">
        <v>23</v>
      </c>
      <c r="K520" t="s">
        <v>11</v>
      </c>
    </row>
    <row r="521" spans="1:11" x14ac:dyDescent="0.45">
      <c r="A521">
        <v>2370</v>
      </c>
      <c r="B521" s="15">
        <v>43846</v>
      </c>
      <c r="C521" t="str">
        <f>TEXT(Table1[[#This Row],[Order Date]], "yyyy")</f>
        <v>2020</v>
      </c>
      <c r="D521" t="str">
        <f>TEXT(Table1[[#This Row],[Order Date]], "mmmm")</f>
        <v>January</v>
      </c>
      <c r="E521" s="16">
        <f>Table1[[#This Row],[Order Quantity]]*Table1[[#This Row],[Unit Price]]</f>
        <v>665.88</v>
      </c>
      <c r="F521">
        <v>6</v>
      </c>
      <c r="G521" s="16">
        <v>110.98</v>
      </c>
      <c r="H521" t="s">
        <v>8</v>
      </c>
      <c r="I521" t="s">
        <v>107</v>
      </c>
      <c r="J521" t="s">
        <v>23</v>
      </c>
      <c r="K521" t="s">
        <v>15</v>
      </c>
    </row>
    <row r="522" spans="1:11" x14ac:dyDescent="0.45">
      <c r="A522">
        <v>2370</v>
      </c>
      <c r="B522" s="15">
        <v>43846</v>
      </c>
      <c r="C522" t="str">
        <f>TEXT(Table1[[#This Row],[Order Date]], "yyyy")</f>
        <v>2020</v>
      </c>
      <c r="D522" t="str">
        <f>TEXT(Table1[[#This Row],[Order Date]], "mmmm")</f>
        <v>January</v>
      </c>
      <c r="E522" s="16">
        <f>Table1[[#This Row],[Order Quantity]]*Table1[[#This Row],[Unit Price]]</f>
        <v>240.29999999999998</v>
      </c>
      <c r="F522">
        <v>30</v>
      </c>
      <c r="G522" s="16">
        <v>8.01</v>
      </c>
      <c r="H522" t="s">
        <v>8</v>
      </c>
      <c r="I522" t="s">
        <v>107</v>
      </c>
      <c r="J522" t="s">
        <v>23</v>
      </c>
      <c r="K522" t="s">
        <v>11</v>
      </c>
    </row>
    <row r="523" spans="1:11" x14ac:dyDescent="0.45">
      <c r="A523">
        <v>2373</v>
      </c>
      <c r="B523" s="15">
        <v>43901</v>
      </c>
      <c r="C523" t="str">
        <f>TEXT(Table1[[#This Row],[Order Date]], "yyyy")</f>
        <v>2020</v>
      </c>
      <c r="D523" t="str">
        <f>TEXT(Table1[[#This Row],[Order Date]], "mmmm")</f>
        <v>March</v>
      </c>
      <c r="E523" s="16">
        <f>Table1[[#This Row],[Order Quantity]]*Table1[[#This Row],[Unit Price]]</f>
        <v>309.59999999999997</v>
      </c>
      <c r="F523">
        <v>36</v>
      </c>
      <c r="G523" s="16">
        <v>8.6</v>
      </c>
      <c r="H523" t="s">
        <v>8</v>
      </c>
      <c r="I523" t="s">
        <v>135</v>
      </c>
      <c r="J523" t="s">
        <v>13</v>
      </c>
      <c r="K523" t="s">
        <v>11</v>
      </c>
    </row>
    <row r="524" spans="1:11" x14ac:dyDescent="0.45">
      <c r="A524">
        <v>2438</v>
      </c>
      <c r="B524" s="15">
        <v>44391</v>
      </c>
      <c r="C524" t="str">
        <f>TEXT(Table1[[#This Row],[Order Date]], "yyyy")</f>
        <v>2021</v>
      </c>
      <c r="D524" t="str">
        <f>TEXT(Table1[[#This Row],[Order Date]], "mmmm")</f>
        <v>July</v>
      </c>
      <c r="E524" s="16">
        <f>Table1[[#This Row],[Order Quantity]]*Table1[[#This Row],[Unit Price]]</f>
        <v>289.60000000000002</v>
      </c>
      <c r="F524">
        <v>20</v>
      </c>
      <c r="G524" s="16">
        <v>14.48</v>
      </c>
      <c r="H524" t="s">
        <v>8</v>
      </c>
      <c r="I524" t="s">
        <v>223</v>
      </c>
      <c r="J524" t="s">
        <v>13</v>
      </c>
      <c r="K524" t="s">
        <v>11</v>
      </c>
    </row>
    <row r="525" spans="1:11" x14ac:dyDescent="0.45">
      <c r="A525">
        <v>2438</v>
      </c>
      <c r="B525" s="15">
        <v>44391</v>
      </c>
      <c r="C525" t="str">
        <f>TEXT(Table1[[#This Row],[Order Date]], "yyyy")</f>
        <v>2021</v>
      </c>
      <c r="D525" t="str">
        <f>TEXT(Table1[[#This Row],[Order Date]], "mmmm")</f>
        <v>July</v>
      </c>
      <c r="E525" s="16">
        <f>Table1[[#This Row],[Order Quantity]]*Table1[[#This Row],[Unit Price]]</f>
        <v>827.7700000000001</v>
      </c>
      <c r="F525">
        <v>23</v>
      </c>
      <c r="G525" s="16">
        <v>35.99</v>
      </c>
      <c r="H525" t="s">
        <v>8</v>
      </c>
      <c r="I525" t="s">
        <v>223</v>
      </c>
      <c r="J525" t="s">
        <v>13</v>
      </c>
      <c r="K525" t="s">
        <v>17</v>
      </c>
    </row>
    <row r="526" spans="1:11" x14ac:dyDescent="0.45">
      <c r="A526">
        <v>2465</v>
      </c>
      <c r="B526" s="15">
        <v>44735</v>
      </c>
      <c r="C526" t="str">
        <f>TEXT(Table1[[#This Row],[Order Date]], "yyyy")</f>
        <v>2022</v>
      </c>
      <c r="D526" t="str">
        <f>TEXT(Table1[[#This Row],[Order Date]], "mmmm")</f>
        <v>June</v>
      </c>
      <c r="E526" s="16">
        <f>Table1[[#This Row],[Order Quantity]]*Table1[[#This Row],[Unit Price]]</f>
        <v>1105.4399999999998</v>
      </c>
      <c r="F526">
        <v>28</v>
      </c>
      <c r="G526" s="16">
        <v>39.479999999999997</v>
      </c>
      <c r="H526" t="s">
        <v>8</v>
      </c>
      <c r="I526" t="s">
        <v>212</v>
      </c>
      <c r="J526" t="s">
        <v>23</v>
      </c>
      <c r="K526" t="s">
        <v>17</v>
      </c>
    </row>
    <row r="527" spans="1:11" x14ac:dyDescent="0.45">
      <c r="A527">
        <v>2466</v>
      </c>
      <c r="B527" s="15">
        <v>43895</v>
      </c>
      <c r="C527" t="str">
        <f>TEXT(Table1[[#This Row],[Order Date]], "yyyy")</f>
        <v>2020</v>
      </c>
      <c r="D527" t="str">
        <f>TEXT(Table1[[#This Row],[Order Date]], "mmmm")</f>
        <v>March</v>
      </c>
      <c r="E527" s="16">
        <f>Table1[[#This Row],[Order Quantity]]*Table1[[#This Row],[Unit Price]]</f>
        <v>2688.25</v>
      </c>
      <c r="F527">
        <v>25</v>
      </c>
      <c r="G527" s="16">
        <v>107.53</v>
      </c>
      <c r="H527" t="s">
        <v>8</v>
      </c>
      <c r="I527" t="s">
        <v>224</v>
      </c>
      <c r="J527" t="s">
        <v>20</v>
      </c>
      <c r="K527" t="s">
        <v>15</v>
      </c>
    </row>
    <row r="528" spans="1:11" x14ac:dyDescent="0.45">
      <c r="A528">
        <v>2497</v>
      </c>
      <c r="B528" s="15">
        <v>45164</v>
      </c>
      <c r="C528" t="str">
        <f>TEXT(Table1[[#This Row],[Order Date]], "yyyy")</f>
        <v>2023</v>
      </c>
      <c r="D528" t="str">
        <f>TEXT(Table1[[#This Row],[Order Date]], "mmmm")</f>
        <v>August</v>
      </c>
      <c r="E528" s="16">
        <f>Table1[[#This Row],[Order Quantity]]*Table1[[#This Row],[Unit Price]]</f>
        <v>4325.79</v>
      </c>
      <c r="F528">
        <v>21</v>
      </c>
      <c r="G528" s="16">
        <v>205.99</v>
      </c>
      <c r="H528" t="s">
        <v>8</v>
      </c>
      <c r="I528" t="s">
        <v>225</v>
      </c>
      <c r="J528" t="s">
        <v>13</v>
      </c>
      <c r="K528" t="s">
        <v>17</v>
      </c>
    </row>
    <row r="529" spans="1:11" x14ac:dyDescent="0.45">
      <c r="A529">
        <v>2500</v>
      </c>
      <c r="B529" s="15">
        <v>45152</v>
      </c>
      <c r="C529" t="str">
        <f>TEXT(Table1[[#This Row],[Order Date]], "yyyy")</f>
        <v>2023</v>
      </c>
      <c r="D529" t="str">
        <f>TEXT(Table1[[#This Row],[Order Date]], "mmmm")</f>
        <v>August</v>
      </c>
      <c r="E529" s="16">
        <f>Table1[[#This Row],[Order Quantity]]*Table1[[#This Row],[Unit Price]]</f>
        <v>16.8</v>
      </c>
      <c r="F529">
        <v>5</v>
      </c>
      <c r="G529" s="16">
        <v>3.36</v>
      </c>
      <c r="H529" t="s">
        <v>8</v>
      </c>
      <c r="I529" t="s">
        <v>226</v>
      </c>
      <c r="J529" t="s">
        <v>10</v>
      </c>
      <c r="K529" t="s">
        <v>11</v>
      </c>
    </row>
    <row r="530" spans="1:11" x14ac:dyDescent="0.45">
      <c r="A530">
        <v>2503</v>
      </c>
      <c r="B530" s="15">
        <v>44366</v>
      </c>
      <c r="C530" t="str">
        <f>TEXT(Table1[[#This Row],[Order Date]], "yyyy")</f>
        <v>2021</v>
      </c>
      <c r="D530" t="str">
        <f>TEXT(Table1[[#This Row],[Order Date]], "mmmm")</f>
        <v>June</v>
      </c>
      <c r="E530" s="16">
        <f>Table1[[#This Row],[Order Quantity]]*Table1[[#This Row],[Unit Price]]</f>
        <v>86.73</v>
      </c>
      <c r="F530">
        <v>21</v>
      </c>
      <c r="G530" s="16">
        <v>4.13</v>
      </c>
      <c r="H530" t="s">
        <v>8</v>
      </c>
      <c r="I530" t="s">
        <v>36</v>
      </c>
      <c r="J530" t="s">
        <v>13</v>
      </c>
      <c r="K530" t="s">
        <v>11</v>
      </c>
    </row>
    <row r="531" spans="1:11" x14ac:dyDescent="0.45">
      <c r="A531">
        <v>2503</v>
      </c>
      <c r="B531" s="15">
        <v>44366</v>
      </c>
      <c r="C531" t="str">
        <f>TEXT(Table1[[#This Row],[Order Date]], "yyyy")</f>
        <v>2021</v>
      </c>
      <c r="D531" t="str">
        <f>TEXT(Table1[[#This Row],[Order Date]], "mmmm")</f>
        <v>June</v>
      </c>
      <c r="E531" s="16">
        <f>Table1[[#This Row],[Order Quantity]]*Table1[[#This Row],[Unit Price]]</f>
        <v>189.98</v>
      </c>
      <c r="F531">
        <v>46</v>
      </c>
      <c r="G531" s="16">
        <v>4.13</v>
      </c>
      <c r="H531" t="s">
        <v>8</v>
      </c>
      <c r="I531" t="s">
        <v>36</v>
      </c>
      <c r="J531" t="s">
        <v>13</v>
      </c>
      <c r="K531" t="s">
        <v>11</v>
      </c>
    </row>
    <row r="532" spans="1:11" x14ac:dyDescent="0.45">
      <c r="A532">
        <v>2503</v>
      </c>
      <c r="B532" s="15">
        <v>44366</v>
      </c>
      <c r="C532" t="str">
        <f>TEXT(Table1[[#This Row],[Order Date]], "yyyy")</f>
        <v>2021</v>
      </c>
      <c r="D532" t="str">
        <f>TEXT(Table1[[#This Row],[Order Date]], "mmmm")</f>
        <v>June</v>
      </c>
      <c r="E532" s="16">
        <f>Table1[[#This Row],[Order Quantity]]*Table1[[#This Row],[Unit Price]]</f>
        <v>188.91</v>
      </c>
      <c r="F532">
        <v>9</v>
      </c>
      <c r="G532" s="16">
        <v>20.99</v>
      </c>
      <c r="H532" t="s">
        <v>8</v>
      </c>
      <c r="I532" t="s">
        <v>36</v>
      </c>
      <c r="J532" t="s">
        <v>13</v>
      </c>
      <c r="K532" t="s">
        <v>17</v>
      </c>
    </row>
    <row r="533" spans="1:11" x14ac:dyDescent="0.45">
      <c r="A533">
        <v>2530</v>
      </c>
      <c r="B533" s="15">
        <v>43910</v>
      </c>
      <c r="C533" t="str">
        <f>TEXT(Table1[[#This Row],[Order Date]], "yyyy")</f>
        <v>2020</v>
      </c>
      <c r="D533" t="str">
        <f>TEXT(Table1[[#This Row],[Order Date]], "mmmm")</f>
        <v>March</v>
      </c>
      <c r="E533" s="16">
        <f>Table1[[#This Row],[Order Quantity]]*Table1[[#This Row],[Unit Price]]</f>
        <v>23.49</v>
      </c>
      <c r="F533">
        <v>9</v>
      </c>
      <c r="G533" s="16">
        <v>2.61</v>
      </c>
      <c r="H533" t="s">
        <v>8</v>
      </c>
      <c r="I533" t="s">
        <v>212</v>
      </c>
      <c r="J533" t="s">
        <v>13</v>
      </c>
      <c r="K533" t="s">
        <v>11</v>
      </c>
    </row>
    <row r="534" spans="1:11" x14ac:dyDescent="0.45">
      <c r="A534">
        <v>2532</v>
      </c>
      <c r="B534" s="15">
        <v>44844</v>
      </c>
      <c r="C534" t="str">
        <f>TEXT(Table1[[#This Row],[Order Date]], "yyyy")</f>
        <v>2022</v>
      </c>
      <c r="D534" t="str">
        <f>TEXT(Table1[[#This Row],[Order Date]], "mmmm")</f>
        <v>October</v>
      </c>
      <c r="E534" s="16">
        <f>Table1[[#This Row],[Order Quantity]]*Table1[[#This Row],[Unit Price]]</f>
        <v>285.08999999999997</v>
      </c>
      <c r="F534">
        <v>39</v>
      </c>
      <c r="G534" s="16">
        <v>7.31</v>
      </c>
      <c r="H534" t="s">
        <v>8</v>
      </c>
      <c r="I534" t="s">
        <v>227</v>
      </c>
      <c r="J534" t="s">
        <v>13</v>
      </c>
      <c r="K534" t="s">
        <v>11</v>
      </c>
    </row>
    <row r="535" spans="1:11" x14ac:dyDescent="0.45">
      <c r="A535">
        <v>2532</v>
      </c>
      <c r="B535" s="15">
        <v>44844</v>
      </c>
      <c r="C535" t="str">
        <f>TEXT(Table1[[#This Row],[Order Date]], "yyyy")</f>
        <v>2022</v>
      </c>
      <c r="D535" t="str">
        <f>TEXT(Table1[[#This Row],[Order Date]], "mmmm")</f>
        <v>October</v>
      </c>
      <c r="E535" s="16">
        <f>Table1[[#This Row],[Order Quantity]]*Table1[[#This Row],[Unit Price]]</f>
        <v>503.76</v>
      </c>
      <c r="F535">
        <v>24</v>
      </c>
      <c r="G535" s="16">
        <v>20.99</v>
      </c>
      <c r="H535" t="s">
        <v>8</v>
      </c>
      <c r="I535" t="s">
        <v>227</v>
      </c>
      <c r="J535" t="s">
        <v>13</v>
      </c>
      <c r="K535" t="s">
        <v>17</v>
      </c>
    </row>
    <row r="536" spans="1:11" x14ac:dyDescent="0.45">
      <c r="A536">
        <v>2535</v>
      </c>
      <c r="B536" s="15">
        <v>44340</v>
      </c>
      <c r="C536" t="str">
        <f>TEXT(Table1[[#This Row],[Order Date]], "yyyy")</f>
        <v>2021</v>
      </c>
      <c r="D536" t="str">
        <f>TEXT(Table1[[#This Row],[Order Date]], "mmmm")</f>
        <v>May</v>
      </c>
      <c r="E536" s="16">
        <f>Table1[[#This Row],[Order Quantity]]*Table1[[#This Row],[Unit Price]]</f>
        <v>86.88</v>
      </c>
      <c r="F536">
        <v>6</v>
      </c>
      <c r="G536" s="16">
        <v>14.48</v>
      </c>
      <c r="H536" t="s">
        <v>8</v>
      </c>
      <c r="I536" t="s">
        <v>228</v>
      </c>
      <c r="J536" t="s">
        <v>13</v>
      </c>
      <c r="K536" t="s">
        <v>17</v>
      </c>
    </row>
    <row r="537" spans="1:11" x14ac:dyDescent="0.45">
      <c r="A537">
        <v>2560</v>
      </c>
      <c r="B537" s="15">
        <v>45173</v>
      </c>
      <c r="C537" t="str">
        <f>TEXT(Table1[[#This Row],[Order Date]], "yyyy")</f>
        <v>2023</v>
      </c>
      <c r="D537" t="str">
        <f>TEXT(Table1[[#This Row],[Order Date]], "mmmm")</f>
        <v>September</v>
      </c>
      <c r="E537" s="16">
        <f>Table1[[#This Row],[Order Quantity]]*Table1[[#This Row],[Unit Price]]</f>
        <v>671.04</v>
      </c>
      <c r="F537">
        <v>32</v>
      </c>
      <c r="G537" s="16">
        <v>20.97</v>
      </c>
      <c r="H537" t="s">
        <v>8</v>
      </c>
      <c r="I537" t="s">
        <v>157</v>
      </c>
      <c r="J537" t="s">
        <v>20</v>
      </c>
      <c r="K537" t="s">
        <v>17</v>
      </c>
    </row>
    <row r="538" spans="1:11" x14ac:dyDescent="0.45">
      <c r="A538">
        <v>2560</v>
      </c>
      <c r="B538" s="15">
        <v>45173</v>
      </c>
      <c r="C538" t="str">
        <f>TEXT(Table1[[#This Row],[Order Date]], "yyyy")</f>
        <v>2023</v>
      </c>
      <c r="D538" t="str">
        <f>TEXT(Table1[[#This Row],[Order Date]], "mmmm")</f>
        <v>September</v>
      </c>
      <c r="E538" s="16">
        <f>Table1[[#This Row],[Order Quantity]]*Table1[[#This Row],[Unit Price]]</f>
        <v>114.54</v>
      </c>
      <c r="F538">
        <v>23</v>
      </c>
      <c r="G538" s="16">
        <v>4.9800000000000004</v>
      </c>
      <c r="H538" t="s">
        <v>8</v>
      </c>
      <c r="I538" t="s">
        <v>157</v>
      </c>
      <c r="J538" t="s">
        <v>20</v>
      </c>
      <c r="K538" t="s">
        <v>11</v>
      </c>
    </row>
    <row r="539" spans="1:11" x14ac:dyDescent="0.45">
      <c r="A539">
        <v>2562</v>
      </c>
      <c r="B539" s="15">
        <v>45138</v>
      </c>
      <c r="C539" t="str">
        <f>TEXT(Table1[[#This Row],[Order Date]], "yyyy")</f>
        <v>2023</v>
      </c>
      <c r="D539" t="str">
        <f>TEXT(Table1[[#This Row],[Order Date]], "mmmm")</f>
        <v>July</v>
      </c>
      <c r="E539" s="16">
        <f>Table1[[#This Row],[Order Quantity]]*Table1[[#This Row],[Unit Price]]</f>
        <v>59.36</v>
      </c>
      <c r="F539">
        <v>28</v>
      </c>
      <c r="G539" s="16">
        <v>2.12</v>
      </c>
      <c r="H539" t="s">
        <v>8</v>
      </c>
      <c r="I539" t="s">
        <v>229</v>
      </c>
      <c r="J539" t="s">
        <v>23</v>
      </c>
      <c r="K539" t="s">
        <v>17</v>
      </c>
    </row>
    <row r="540" spans="1:11" x14ac:dyDescent="0.45">
      <c r="A540">
        <v>2562</v>
      </c>
      <c r="B540" s="15">
        <v>45138</v>
      </c>
      <c r="C540" t="str">
        <f>TEXT(Table1[[#This Row],[Order Date]], "yyyy")</f>
        <v>2023</v>
      </c>
      <c r="D540" t="str">
        <f>TEXT(Table1[[#This Row],[Order Date]], "mmmm")</f>
        <v>July</v>
      </c>
      <c r="E540" s="16">
        <f>Table1[[#This Row],[Order Quantity]]*Table1[[#This Row],[Unit Price]]</f>
        <v>68.039999999999992</v>
      </c>
      <c r="F540">
        <v>6</v>
      </c>
      <c r="G540" s="16">
        <v>11.34</v>
      </c>
      <c r="H540" t="s">
        <v>8</v>
      </c>
      <c r="I540" t="s">
        <v>229</v>
      </c>
      <c r="J540" t="s">
        <v>23</v>
      </c>
      <c r="K540" t="s">
        <v>11</v>
      </c>
    </row>
    <row r="541" spans="1:11" x14ac:dyDescent="0.45">
      <c r="A541">
        <v>2563</v>
      </c>
      <c r="B541" s="15">
        <v>44518</v>
      </c>
      <c r="C541" t="str">
        <f>TEXT(Table1[[#This Row],[Order Date]], "yyyy")</f>
        <v>2021</v>
      </c>
      <c r="D541" t="str">
        <f>TEXT(Table1[[#This Row],[Order Date]], "mmmm")</f>
        <v>November</v>
      </c>
      <c r="E541" s="16">
        <f>Table1[[#This Row],[Order Quantity]]*Table1[[#This Row],[Unit Price]]</f>
        <v>31.32</v>
      </c>
      <c r="F541">
        <v>12</v>
      </c>
      <c r="G541" s="16">
        <v>2.61</v>
      </c>
      <c r="H541" t="s">
        <v>8</v>
      </c>
      <c r="I541" t="s">
        <v>230</v>
      </c>
      <c r="J541" t="s">
        <v>10</v>
      </c>
      <c r="K541" t="s">
        <v>11</v>
      </c>
    </row>
    <row r="542" spans="1:11" x14ac:dyDescent="0.45">
      <c r="A542">
        <v>2563</v>
      </c>
      <c r="B542" s="15">
        <v>44518</v>
      </c>
      <c r="C542" t="str">
        <f>TEXT(Table1[[#This Row],[Order Date]], "yyyy")</f>
        <v>2021</v>
      </c>
      <c r="D542" t="str">
        <f>TEXT(Table1[[#This Row],[Order Date]], "mmmm")</f>
        <v>November</v>
      </c>
      <c r="E542" s="16">
        <f>Table1[[#This Row],[Order Quantity]]*Table1[[#This Row],[Unit Price]]</f>
        <v>197.34</v>
      </c>
      <c r="F542">
        <v>33</v>
      </c>
      <c r="G542" s="16">
        <v>5.98</v>
      </c>
      <c r="H542" t="s">
        <v>8</v>
      </c>
      <c r="I542" t="s">
        <v>230</v>
      </c>
      <c r="J542" t="s">
        <v>10</v>
      </c>
      <c r="K542" t="s">
        <v>11</v>
      </c>
    </row>
    <row r="543" spans="1:11" x14ac:dyDescent="0.45">
      <c r="A543">
        <v>2595</v>
      </c>
      <c r="B543" s="15">
        <v>44908</v>
      </c>
      <c r="C543" t="str">
        <f>TEXT(Table1[[#This Row],[Order Date]], "yyyy")</f>
        <v>2022</v>
      </c>
      <c r="D543" t="str">
        <f>TEXT(Table1[[#This Row],[Order Date]], "mmmm")</f>
        <v>December</v>
      </c>
      <c r="E543" s="16">
        <f>Table1[[#This Row],[Order Quantity]]*Table1[[#This Row],[Unit Price]]</f>
        <v>21.88</v>
      </c>
      <c r="F543">
        <v>4</v>
      </c>
      <c r="G543" s="16">
        <v>5.47</v>
      </c>
      <c r="H543" t="s">
        <v>8</v>
      </c>
      <c r="I543" t="s">
        <v>232</v>
      </c>
      <c r="J543" t="s">
        <v>13</v>
      </c>
      <c r="K543" t="s">
        <v>15</v>
      </c>
    </row>
    <row r="544" spans="1:11" x14ac:dyDescent="0.45">
      <c r="A544">
        <v>2626</v>
      </c>
      <c r="B544" s="15">
        <v>44811</v>
      </c>
      <c r="C544" t="str">
        <f>TEXT(Table1[[#This Row],[Order Date]], "yyyy")</f>
        <v>2022</v>
      </c>
      <c r="D544" t="str">
        <f>TEXT(Table1[[#This Row],[Order Date]], "mmmm")</f>
        <v>September</v>
      </c>
      <c r="E544" s="16">
        <f>Table1[[#This Row],[Order Quantity]]*Table1[[#This Row],[Unit Price]]</f>
        <v>46.08</v>
      </c>
      <c r="F544">
        <v>16</v>
      </c>
      <c r="G544" s="16">
        <v>2.88</v>
      </c>
      <c r="H544" t="s">
        <v>8</v>
      </c>
      <c r="I544" t="s">
        <v>233</v>
      </c>
      <c r="J544" t="s">
        <v>10</v>
      </c>
      <c r="K544" t="s">
        <v>11</v>
      </c>
    </row>
    <row r="545" spans="1:11" x14ac:dyDescent="0.45">
      <c r="A545">
        <v>2628</v>
      </c>
      <c r="B545" s="15">
        <v>44490</v>
      </c>
      <c r="C545" t="str">
        <f>TEXT(Table1[[#This Row],[Order Date]], "yyyy")</f>
        <v>2021</v>
      </c>
      <c r="D545" t="str">
        <f>TEXT(Table1[[#This Row],[Order Date]], "mmmm")</f>
        <v>October</v>
      </c>
      <c r="E545" s="16">
        <f>Table1[[#This Row],[Order Quantity]]*Table1[[#This Row],[Unit Price]]</f>
        <v>30.520000000000003</v>
      </c>
      <c r="F545">
        <v>14</v>
      </c>
      <c r="G545" s="16">
        <v>2.1800000000000002</v>
      </c>
      <c r="H545" t="s">
        <v>8</v>
      </c>
      <c r="I545" t="s">
        <v>234</v>
      </c>
      <c r="J545" t="s">
        <v>23</v>
      </c>
      <c r="K545" t="s">
        <v>11</v>
      </c>
    </row>
    <row r="546" spans="1:11" x14ac:dyDescent="0.45">
      <c r="A546">
        <v>2630</v>
      </c>
      <c r="B546" s="15">
        <v>45222</v>
      </c>
      <c r="C546" t="str">
        <f>TEXT(Table1[[#This Row],[Order Date]], "yyyy")</f>
        <v>2023</v>
      </c>
      <c r="D546" t="str">
        <f>TEXT(Table1[[#This Row],[Order Date]], "mmmm")</f>
        <v>October</v>
      </c>
      <c r="E546" s="16">
        <f>Table1[[#This Row],[Order Quantity]]*Table1[[#This Row],[Unit Price]]</f>
        <v>146.63000000000002</v>
      </c>
      <c r="F546">
        <v>31</v>
      </c>
      <c r="G546" s="16">
        <v>4.7300000000000004</v>
      </c>
      <c r="H546" t="s">
        <v>8</v>
      </c>
      <c r="I546" t="s">
        <v>235</v>
      </c>
      <c r="J546" t="s">
        <v>13</v>
      </c>
      <c r="K546" t="s">
        <v>11</v>
      </c>
    </row>
    <row r="547" spans="1:11" x14ac:dyDescent="0.45">
      <c r="A547">
        <v>2631</v>
      </c>
      <c r="B547" s="15">
        <v>44462</v>
      </c>
      <c r="C547" t="str">
        <f>TEXT(Table1[[#This Row],[Order Date]], "yyyy")</f>
        <v>2021</v>
      </c>
      <c r="D547" t="str">
        <f>TEXT(Table1[[#This Row],[Order Date]], "mmmm")</f>
        <v>September</v>
      </c>
      <c r="E547" s="16">
        <f>Table1[[#This Row],[Order Quantity]]*Table1[[#This Row],[Unit Price]]</f>
        <v>1105.92</v>
      </c>
      <c r="F547">
        <v>27</v>
      </c>
      <c r="G547" s="16">
        <v>40.96</v>
      </c>
      <c r="H547" t="s">
        <v>8</v>
      </c>
      <c r="I547" t="s">
        <v>236</v>
      </c>
      <c r="J547" t="s">
        <v>13</v>
      </c>
      <c r="K547" t="s">
        <v>17</v>
      </c>
    </row>
    <row r="548" spans="1:11" x14ac:dyDescent="0.45">
      <c r="A548">
        <v>2656</v>
      </c>
      <c r="B548" s="15">
        <v>44319</v>
      </c>
      <c r="C548" t="str">
        <f>TEXT(Table1[[#This Row],[Order Date]], "yyyy")</f>
        <v>2021</v>
      </c>
      <c r="D548" t="str">
        <f>TEXT(Table1[[#This Row],[Order Date]], "mmmm")</f>
        <v>May</v>
      </c>
      <c r="E548" s="16">
        <f>Table1[[#This Row],[Order Quantity]]*Table1[[#This Row],[Unit Price]]</f>
        <v>1043.71</v>
      </c>
      <c r="F548">
        <v>29</v>
      </c>
      <c r="G548" s="16">
        <v>35.99</v>
      </c>
      <c r="H548" t="s">
        <v>8</v>
      </c>
      <c r="I548" t="s">
        <v>237</v>
      </c>
      <c r="J548" t="s">
        <v>23</v>
      </c>
      <c r="K548" t="s">
        <v>17</v>
      </c>
    </row>
    <row r="549" spans="1:11" x14ac:dyDescent="0.45">
      <c r="A549">
        <v>2657</v>
      </c>
      <c r="B549" s="15">
        <v>44850</v>
      </c>
      <c r="C549" t="str">
        <f>TEXT(Table1[[#This Row],[Order Date]], "yyyy")</f>
        <v>2022</v>
      </c>
      <c r="D549" t="str">
        <f>TEXT(Table1[[#This Row],[Order Date]], "mmmm")</f>
        <v>October</v>
      </c>
      <c r="E549" s="16">
        <f>Table1[[#This Row],[Order Quantity]]*Table1[[#This Row],[Unit Price]]</f>
        <v>2441.6299999999997</v>
      </c>
      <c r="F549">
        <v>37</v>
      </c>
      <c r="G549" s="16">
        <v>65.989999999999995</v>
      </c>
      <c r="H549" t="s">
        <v>8</v>
      </c>
      <c r="I549" t="s">
        <v>238</v>
      </c>
      <c r="J549" t="s">
        <v>20</v>
      </c>
      <c r="K549" t="s">
        <v>17</v>
      </c>
    </row>
    <row r="550" spans="1:11" x14ac:dyDescent="0.45">
      <c r="A550">
        <v>2658</v>
      </c>
      <c r="B550" s="15">
        <v>44826</v>
      </c>
      <c r="C550" t="str">
        <f>TEXT(Table1[[#This Row],[Order Date]], "yyyy")</f>
        <v>2022</v>
      </c>
      <c r="D550" t="str">
        <f>TEXT(Table1[[#This Row],[Order Date]], "mmmm")</f>
        <v>September</v>
      </c>
      <c r="E550" s="16">
        <f>Table1[[#This Row],[Order Quantity]]*Table1[[#This Row],[Unit Price]]</f>
        <v>220.32000000000002</v>
      </c>
      <c r="F550">
        <v>34</v>
      </c>
      <c r="G550" s="16">
        <v>6.48</v>
      </c>
      <c r="H550" t="s">
        <v>8</v>
      </c>
      <c r="I550" t="s">
        <v>239</v>
      </c>
      <c r="J550" t="s">
        <v>10</v>
      </c>
      <c r="K550" t="s">
        <v>11</v>
      </c>
    </row>
    <row r="551" spans="1:11" x14ac:dyDescent="0.45">
      <c r="A551">
        <v>2659</v>
      </c>
      <c r="B551" s="15">
        <v>44547</v>
      </c>
      <c r="C551" t="str">
        <f>TEXT(Table1[[#This Row],[Order Date]], "yyyy")</f>
        <v>2021</v>
      </c>
      <c r="D551" t="str">
        <f>TEXT(Table1[[#This Row],[Order Date]], "mmmm")</f>
        <v>December</v>
      </c>
      <c r="E551" s="16">
        <f>Table1[[#This Row],[Order Quantity]]*Table1[[#This Row],[Unit Price]]</f>
        <v>948.5</v>
      </c>
      <c r="F551">
        <v>50</v>
      </c>
      <c r="G551" s="16">
        <v>18.97</v>
      </c>
      <c r="H551" t="s">
        <v>8</v>
      </c>
      <c r="I551" t="s">
        <v>100</v>
      </c>
      <c r="J551" t="s">
        <v>13</v>
      </c>
      <c r="K551" t="s">
        <v>11</v>
      </c>
    </row>
    <row r="552" spans="1:11" x14ac:dyDescent="0.45">
      <c r="A552">
        <v>2688</v>
      </c>
      <c r="B552" s="15">
        <v>44949</v>
      </c>
      <c r="C552" t="str">
        <f>TEXT(Table1[[#This Row],[Order Date]], "yyyy")</f>
        <v>2023</v>
      </c>
      <c r="D552" t="str">
        <f>TEXT(Table1[[#This Row],[Order Date]], "mmmm")</f>
        <v>January</v>
      </c>
      <c r="E552" s="16">
        <f>Table1[[#This Row],[Order Quantity]]*Table1[[#This Row],[Unit Price]]</f>
        <v>2665.69</v>
      </c>
      <c r="F552">
        <v>31</v>
      </c>
      <c r="G552" s="16">
        <v>85.99</v>
      </c>
      <c r="H552" t="s">
        <v>8</v>
      </c>
      <c r="I552" t="s">
        <v>96</v>
      </c>
      <c r="J552" t="s">
        <v>10</v>
      </c>
      <c r="K552" t="s">
        <v>17</v>
      </c>
    </row>
    <row r="553" spans="1:11" x14ac:dyDescent="0.45">
      <c r="A553">
        <v>2688</v>
      </c>
      <c r="B553" s="15">
        <v>44949</v>
      </c>
      <c r="C553" t="str">
        <f>TEXT(Table1[[#This Row],[Order Date]], "yyyy")</f>
        <v>2023</v>
      </c>
      <c r="D553" t="str">
        <f>TEXT(Table1[[#This Row],[Order Date]], "mmmm")</f>
        <v>January</v>
      </c>
      <c r="E553" s="16">
        <f>Table1[[#This Row],[Order Quantity]]*Table1[[#This Row],[Unit Price]]</f>
        <v>146.79</v>
      </c>
      <c r="F553">
        <v>7</v>
      </c>
      <c r="G553" s="16">
        <v>20.97</v>
      </c>
      <c r="H553" t="s">
        <v>8</v>
      </c>
      <c r="I553" t="s">
        <v>96</v>
      </c>
      <c r="J553" t="s">
        <v>10</v>
      </c>
      <c r="K553" t="s">
        <v>17</v>
      </c>
    </row>
    <row r="554" spans="1:11" x14ac:dyDescent="0.45">
      <c r="A554">
        <v>2688</v>
      </c>
      <c r="B554" s="15">
        <v>44949</v>
      </c>
      <c r="C554" t="str">
        <f>TEXT(Table1[[#This Row],[Order Date]], "yyyy")</f>
        <v>2023</v>
      </c>
      <c r="D554" t="str">
        <f>TEXT(Table1[[#This Row],[Order Date]], "mmmm")</f>
        <v>January</v>
      </c>
      <c r="E554" s="16">
        <f>Table1[[#This Row],[Order Quantity]]*Table1[[#This Row],[Unit Price]]</f>
        <v>1715.89</v>
      </c>
      <c r="F554">
        <v>11</v>
      </c>
      <c r="G554" s="16">
        <v>155.99</v>
      </c>
      <c r="H554" t="s">
        <v>8</v>
      </c>
      <c r="I554" t="s">
        <v>96</v>
      </c>
      <c r="J554" t="s">
        <v>10</v>
      </c>
      <c r="K554" t="s">
        <v>17</v>
      </c>
    </row>
    <row r="555" spans="1:11" x14ac:dyDescent="0.45">
      <c r="A555">
        <v>2722</v>
      </c>
      <c r="B555" s="15">
        <v>43929</v>
      </c>
      <c r="C555" t="str">
        <f>TEXT(Table1[[#This Row],[Order Date]], "yyyy")</f>
        <v>2020</v>
      </c>
      <c r="D555" t="str">
        <f>TEXT(Table1[[#This Row],[Order Date]], "mmmm")</f>
        <v>April</v>
      </c>
      <c r="E555" s="16">
        <f>Table1[[#This Row],[Order Quantity]]*Table1[[#This Row],[Unit Price]]</f>
        <v>1884.62</v>
      </c>
      <c r="F555">
        <v>46</v>
      </c>
      <c r="G555" s="16">
        <v>40.97</v>
      </c>
      <c r="H555" t="s">
        <v>8</v>
      </c>
      <c r="I555" t="s">
        <v>241</v>
      </c>
      <c r="J555" t="s">
        <v>23</v>
      </c>
      <c r="K555" t="s">
        <v>17</v>
      </c>
    </row>
    <row r="556" spans="1:11" x14ac:dyDescent="0.45">
      <c r="A556">
        <v>2752</v>
      </c>
      <c r="B556" s="15">
        <v>44518</v>
      </c>
      <c r="C556" t="str">
        <f>TEXT(Table1[[#This Row],[Order Date]], "yyyy")</f>
        <v>2021</v>
      </c>
      <c r="D556" t="str">
        <f>TEXT(Table1[[#This Row],[Order Date]], "mmmm")</f>
        <v>November</v>
      </c>
      <c r="E556" s="16">
        <f>Table1[[#This Row],[Order Quantity]]*Table1[[#This Row],[Unit Price]]</f>
        <v>689.4</v>
      </c>
      <c r="F556">
        <v>30</v>
      </c>
      <c r="G556" s="16">
        <v>22.98</v>
      </c>
      <c r="H556" t="s">
        <v>8</v>
      </c>
      <c r="I556" t="s">
        <v>199</v>
      </c>
      <c r="J556" t="s">
        <v>10</v>
      </c>
      <c r="K556" t="s">
        <v>17</v>
      </c>
    </row>
    <row r="557" spans="1:11" x14ac:dyDescent="0.45">
      <c r="A557">
        <v>2752</v>
      </c>
      <c r="B557" s="15">
        <v>44518</v>
      </c>
      <c r="C557" t="str">
        <f>TEXT(Table1[[#This Row],[Order Date]], "yyyy")</f>
        <v>2021</v>
      </c>
      <c r="D557" t="str">
        <f>TEXT(Table1[[#This Row],[Order Date]], "mmmm")</f>
        <v>November</v>
      </c>
      <c r="E557" s="16">
        <f>Table1[[#This Row],[Order Quantity]]*Table1[[#This Row],[Unit Price]]</f>
        <v>154.97999999999999</v>
      </c>
      <c r="F557">
        <v>41</v>
      </c>
      <c r="G557" s="16">
        <v>3.78</v>
      </c>
      <c r="H557" t="s">
        <v>8</v>
      </c>
      <c r="I557" t="s">
        <v>199</v>
      </c>
      <c r="J557" t="s">
        <v>10</v>
      </c>
      <c r="K557" t="s">
        <v>11</v>
      </c>
    </row>
    <row r="558" spans="1:11" x14ac:dyDescent="0.45">
      <c r="A558">
        <v>2752</v>
      </c>
      <c r="B558" s="15">
        <v>44518</v>
      </c>
      <c r="C558" t="str">
        <f>TEXT(Table1[[#This Row],[Order Date]], "yyyy")</f>
        <v>2021</v>
      </c>
      <c r="D558" t="str">
        <f>TEXT(Table1[[#This Row],[Order Date]], "mmmm")</f>
        <v>November</v>
      </c>
      <c r="E558" s="16">
        <f>Table1[[#This Row],[Order Quantity]]*Table1[[#This Row],[Unit Price]]</f>
        <v>347.59999999999997</v>
      </c>
      <c r="F558">
        <v>10</v>
      </c>
      <c r="G558" s="16">
        <v>34.76</v>
      </c>
      <c r="H558" t="s">
        <v>8</v>
      </c>
      <c r="I558" t="s">
        <v>199</v>
      </c>
      <c r="J558" t="s">
        <v>10</v>
      </c>
      <c r="K558" t="s">
        <v>11</v>
      </c>
    </row>
    <row r="559" spans="1:11" x14ac:dyDescent="0.45">
      <c r="A559">
        <v>2752</v>
      </c>
      <c r="B559" s="15">
        <v>44518</v>
      </c>
      <c r="C559" t="str">
        <f>TEXT(Table1[[#This Row],[Order Date]], "yyyy")</f>
        <v>2021</v>
      </c>
      <c r="D559" t="str">
        <f>TEXT(Table1[[#This Row],[Order Date]], "mmmm")</f>
        <v>November</v>
      </c>
      <c r="E559" s="16">
        <f>Table1[[#This Row],[Order Quantity]]*Table1[[#This Row],[Unit Price]]</f>
        <v>659.9</v>
      </c>
      <c r="F559">
        <v>10</v>
      </c>
      <c r="G559" s="16">
        <v>65.989999999999995</v>
      </c>
      <c r="H559" t="s">
        <v>8</v>
      </c>
      <c r="I559" t="s">
        <v>199</v>
      </c>
      <c r="J559" t="s">
        <v>10</v>
      </c>
      <c r="K559" t="s">
        <v>17</v>
      </c>
    </row>
    <row r="560" spans="1:11" x14ac:dyDescent="0.45">
      <c r="A560">
        <v>2754</v>
      </c>
      <c r="B560" s="15">
        <v>43923</v>
      </c>
      <c r="C560" t="str">
        <f>TEXT(Table1[[#This Row],[Order Date]], "yyyy")</f>
        <v>2020</v>
      </c>
      <c r="D560" t="str">
        <f>TEXT(Table1[[#This Row],[Order Date]], "mmmm")</f>
        <v>April</v>
      </c>
      <c r="E560" s="16">
        <f>Table1[[#This Row],[Order Quantity]]*Table1[[#This Row],[Unit Price]]</f>
        <v>1443.84</v>
      </c>
      <c r="F560">
        <v>16</v>
      </c>
      <c r="G560" s="16">
        <v>90.24</v>
      </c>
      <c r="H560" t="s">
        <v>8</v>
      </c>
      <c r="I560" t="s">
        <v>242</v>
      </c>
      <c r="J560" t="s">
        <v>20</v>
      </c>
      <c r="K560" t="s">
        <v>11</v>
      </c>
    </row>
    <row r="561" spans="1:11" x14ac:dyDescent="0.45">
      <c r="A561">
        <v>2755</v>
      </c>
      <c r="B561" s="15">
        <v>44963</v>
      </c>
      <c r="C561" t="str">
        <f>TEXT(Table1[[#This Row],[Order Date]], "yyyy")</f>
        <v>2023</v>
      </c>
      <c r="D561" t="str">
        <f>TEXT(Table1[[#This Row],[Order Date]], "mmmm")</f>
        <v>February</v>
      </c>
      <c r="E561" s="16">
        <f>Table1[[#This Row],[Order Quantity]]*Table1[[#This Row],[Unit Price]]</f>
        <v>748.5</v>
      </c>
      <c r="F561">
        <v>30</v>
      </c>
      <c r="G561" s="16">
        <v>24.95</v>
      </c>
      <c r="H561" t="s">
        <v>8</v>
      </c>
      <c r="I561" t="s">
        <v>243</v>
      </c>
      <c r="J561" t="s">
        <v>13</v>
      </c>
      <c r="K561" t="s">
        <v>11</v>
      </c>
    </row>
    <row r="562" spans="1:11" x14ac:dyDescent="0.45">
      <c r="A562">
        <v>2755</v>
      </c>
      <c r="B562" s="15">
        <v>44963</v>
      </c>
      <c r="C562" t="str">
        <f>TEXT(Table1[[#This Row],[Order Date]], "yyyy")</f>
        <v>2023</v>
      </c>
      <c r="D562" t="str">
        <f>TEXT(Table1[[#This Row],[Order Date]], "mmmm")</f>
        <v>February</v>
      </c>
      <c r="E562" s="16">
        <f>Table1[[#This Row],[Order Quantity]]*Table1[[#This Row],[Unit Price]]</f>
        <v>324</v>
      </c>
      <c r="F562">
        <v>50</v>
      </c>
      <c r="G562" s="16">
        <v>6.48</v>
      </c>
      <c r="H562" t="s">
        <v>8</v>
      </c>
      <c r="I562" t="s">
        <v>243</v>
      </c>
      <c r="J562" t="s">
        <v>13</v>
      </c>
      <c r="K562" t="s">
        <v>11</v>
      </c>
    </row>
    <row r="563" spans="1:11" x14ac:dyDescent="0.45">
      <c r="A563">
        <v>2756</v>
      </c>
      <c r="B563" s="15">
        <v>43938</v>
      </c>
      <c r="C563" t="str">
        <f>TEXT(Table1[[#This Row],[Order Date]], "yyyy")</f>
        <v>2020</v>
      </c>
      <c r="D563" t="str">
        <f>TEXT(Table1[[#This Row],[Order Date]], "mmmm")</f>
        <v>April</v>
      </c>
      <c r="E563" s="16">
        <f>Table1[[#This Row],[Order Quantity]]*Table1[[#This Row],[Unit Price]]</f>
        <v>1398.5</v>
      </c>
      <c r="F563">
        <v>25</v>
      </c>
      <c r="G563" s="16">
        <v>55.94</v>
      </c>
      <c r="H563" t="s">
        <v>8</v>
      </c>
      <c r="I563" t="s">
        <v>244</v>
      </c>
      <c r="J563" t="s">
        <v>10</v>
      </c>
      <c r="K563" t="s">
        <v>17</v>
      </c>
    </row>
    <row r="564" spans="1:11" x14ac:dyDescent="0.45">
      <c r="A564">
        <v>2756</v>
      </c>
      <c r="B564" s="15">
        <v>43938</v>
      </c>
      <c r="C564" t="str">
        <f>TEXT(Table1[[#This Row],[Order Date]], "yyyy")</f>
        <v>2020</v>
      </c>
      <c r="D564" t="str">
        <f>TEXT(Table1[[#This Row],[Order Date]], "mmmm")</f>
        <v>April</v>
      </c>
      <c r="E564" s="16">
        <f>Table1[[#This Row],[Order Quantity]]*Table1[[#This Row],[Unit Price]]</f>
        <v>264.59999999999997</v>
      </c>
      <c r="F564">
        <v>42</v>
      </c>
      <c r="G564" s="16">
        <v>6.3</v>
      </c>
      <c r="H564" t="s">
        <v>8</v>
      </c>
      <c r="I564" t="s">
        <v>244</v>
      </c>
      <c r="J564" t="s">
        <v>10</v>
      </c>
      <c r="K564" t="s">
        <v>11</v>
      </c>
    </row>
    <row r="565" spans="1:11" x14ac:dyDescent="0.45">
      <c r="A565">
        <v>2759</v>
      </c>
      <c r="B565" s="15">
        <v>44524</v>
      </c>
      <c r="C565" t="str">
        <f>TEXT(Table1[[#This Row],[Order Date]], "yyyy")</f>
        <v>2021</v>
      </c>
      <c r="D565" t="str">
        <f>TEXT(Table1[[#This Row],[Order Date]], "mmmm")</f>
        <v>November</v>
      </c>
      <c r="E565" s="16">
        <f>Table1[[#This Row],[Order Quantity]]*Table1[[#This Row],[Unit Price]]</f>
        <v>774.5</v>
      </c>
      <c r="F565">
        <v>25</v>
      </c>
      <c r="G565" s="16">
        <v>30.98</v>
      </c>
      <c r="H565" t="s">
        <v>8</v>
      </c>
      <c r="I565" t="s">
        <v>230</v>
      </c>
      <c r="J565" t="s">
        <v>10</v>
      </c>
      <c r="K565" t="s">
        <v>17</v>
      </c>
    </row>
    <row r="566" spans="1:11" x14ac:dyDescent="0.45">
      <c r="A566">
        <v>2790</v>
      </c>
      <c r="B566" s="15">
        <v>44061</v>
      </c>
      <c r="C566" t="str">
        <f>TEXT(Table1[[#This Row],[Order Date]], "yyyy")</f>
        <v>2020</v>
      </c>
      <c r="D566" t="str">
        <f>TEXT(Table1[[#This Row],[Order Date]], "mmmm")</f>
        <v>August</v>
      </c>
      <c r="E566" s="16">
        <f>Table1[[#This Row],[Order Quantity]]*Table1[[#This Row],[Unit Price]]</f>
        <v>38.080000000000005</v>
      </c>
      <c r="F566">
        <v>7</v>
      </c>
      <c r="G566" s="16">
        <v>5.44</v>
      </c>
      <c r="H566" t="s">
        <v>8</v>
      </c>
      <c r="I566" t="s">
        <v>213</v>
      </c>
      <c r="J566" t="s">
        <v>20</v>
      </c>
      <c r="K566" t="s">
        <v>11</v>
      </c>
    </row>
    <row r="567" spans="1:11" x14ac:dyDescent="0.45">
      <c r="A567">
        <v>2790</v>
      </c>
      <c r="B567" s="15">
        <v>44061</v>
      </c>
      <c r="C567" t="str">
        <f>TEXT(Table1[[#This Row],[Order Date]], "yyyy")</f>
        <v>2020</v>
      </c>
      <c r="D567" t="str">
        <f>TEXT(Table1[[#This Row],[Order Date]], "mmmm")</f>
        <v>August</v>
      </c>
      <c r="E567" s="16">
        <f>Table1[[#This Row],[Order Quantity]]*Table1[[#This Row],[Unit Price]]</f>
        <v>521.4</v>
      </c>
      <c r="F567">
        <v>15</v>
      </c>
      <c r="G567" s="16">
        <v>34.76</v>
      </c>
      <c r="H567" t="s">
        <v>8</v>
      </c>
      <c r="I567" t="s">
        <v>213</v>
      </c>
      <c r="J567" t="s">
        <v>20</v>
      </c>
      <c r="K567" t="s">
        <v>11</v>
      </c>
    </row>
    <row r="568" spans="1:11" x14ac:dyDescent="0.45">
      <c r="A568">
        <v>2791</v>
      </c>
      <c r="B568" s="15">
        <v>44113</v>
      </c>
      <c r="C568" t="str">
        <f>TEXT(Table1[[#This Row],[Order Date]], "yyyy")</f>
        <v>2020</v>
      </c>
      <c r="D568" t="str">
        <f>TEXT(Table1[[#This Row],[Order Date]], "mmmm")</f>
        <v>October</v>
      </c>
      <c r="E568" s="16">
        <f>Table1[[#This Row],[Order Quantity]]*Table1[[#This Row],[Unit Price]]</f>
        <v>182.83</v>
      </c>
      <c r="F568">
        <v>47</v>
      </c>
      <c r="G568" s="16">
        <v>3.89</v>
      </c>
      <c r="H568" t="s">
        <v>8</v>
      </c>
      <c r="I568" t="s">
        <v>247</v>
      </c>
      <c r="J568" t="s">
        <v>13</v>
      </c>
      <c r="K568" t="s">
        <v>11</v>
      </c>
    </row>
    <row r="569" spans="1:11" x14ac:dyDescent="0.45">
      <c r="A569">
        <v>2791</v>
      </c>
      <c r="B569" s="15">
        <v>44113</v>
      </c>
      <c r="C569" t="str">
        <f>TEXT(Table1[[#This Row],[Order Date]], "yyyy")</f>
        <v>2020</v>
      </c>
      <c r="D569" t="str">
        <f>TEXT(Table1[[#This Row],[Order Date]], "mmmm")</f>
        <v>October</v>
      </c>
      <c r="E569" s="16">
        <f>Table1[[#This Row],[Order Quantity]]*Table1[[#This Row],[Unit Price]]</f>
        <v>557.64</v>
      </c>
      <c r="F569">
        <v>18</v>
      </c>
      <c r="G569" s="16">
        <v>30.98</v>
      </c>
      <c r="H569" t="s">
        <v>8</v>
      </c>
      <c r="I569" t="s">
        <v>247</v>
      </c>
      <c r="J569" t="s">
        <v>13</v>
      </c>
      <c r="K569" t="s">
        <v>11</v>
      </c>
    </row>
    <row r="570" spans="1:11" x14ac:dyDescent="0.45">
      <c r="A570">
        <v>2816</v>
      </c>
      <c r="B570" s="15">
        <v>44093</v>
      </c>
      <c r="C570" t="str">
        <f>TEXT(Table1[[#This Row],[Order Date]], "yyyy")</f>
        <v>2020</v>
      </c>
      <c r="D570" t="str">
        <f>TEXT(Table1[[#This Row],[Order Date]], "mmmm")</f>
        <v>September</v>
      </c>
      <c r="E570" s="16">
        <f>Table1[[#This Row],[Order Quantity]]*Table1[[#This Row],[Unit Price]]</f>
        <v>769.30000000000007</v>
      </c>
      <c r="F570">
        <v>35</v>
      </c>
      <c r="G570" s="16">
        <v>21.98</v>
      </c>
      <c r="H570" t="s">
        <v>8</v>
      </c>
      <c r="I570" t="s">
        <v>248</v>
      </c>
      <c r="J570" t="s">
        <v>13</v>
      </c>
      <c r="K570" t="s">
        <v>11</v>
      </c>
    </row>
    <row r="571" spans="1:11" x14ac:dyDescent="0.45">
      <c r="A571">
        <v>2817</v>
      </c>
      <c r="B571" s="15">
        <v>43939</v>
      </c>
      <c r="C571" t="str">
        <f>TEXT(Table1[[#This Row],[Order Date]], "yyyy")</f>
        <v>2020</v>
      </c>
      <c r="D571" t="str">
        <f>TEXT(Table1[[#This Row],[Order Date]], "mmmm")</f>
        <v>April</v>
      </c>
      <c r="E571" s="16">
        <f>Table1[[#This Row],[Order Quantity]]*Table1[[#This Row],[Unit Price]]</f>
        <v>4213.58</v>
      </c>
      <c r="F571">
        <v>14</v>
      </c>
      <c r="G571" s="16">
        <v>300.97000000000003</v>
      </c>
      <c r="H571" t="s">
        <v>8</v>
      </c>
      <c r="I571" t="s">
        <v>249</v>
      </c>
      <c r="J571" t="s">
        <v>20</v>
      </c>
      <c r="K571" t="s">
        <v>17</v>
      </c>
    </row>
    <row r="572" spans="1:11" x14ac:dyDescent="0.45">
      <c r="A572">
        <v>2817</v>
      </c>
      <c r="B572" s="15">
        <v>43939</v>
      </c>
      <c r="C572" t="str">
        <f>TEXT(Table1[[#This Row],[Order Date]], "yyyy")</f>
        <v>2020</v>
      </c>
      <c r="D572" t="str">
        <f>TEXT(Table1[[#This Row],[Order Date]], "mmmm")</f>
        <v>April</v>
      </c>
      <c r="E572" s="16">
        <f>Table1[[#This Row],[Order Quantity]]*Table1[[#This Row],[Unit Price]]</f>
        <v>1595.6</v>
      </c>
      <c r="F572">
        <v>40</v>
      </c>
      <c r="G572" s="16">
        <v>39.89</v>
      </c>
      <c r="H572" t="s">
        <v>8</v>
      </c>
      <c r="I572" t="s">
        <v>249</v>
      </c>
      <c r="J572" t="s">
        <v>20</v>
      </c>
      <c r="K572" t="s">
        <v>15</v>
      </c>
    </row>
    <row r="573" spans="1:11" x14ac:dyDescent="0.45">
      <c r="A573">
        <v>2818</v>
      </c>
      <c r="B573" s="15">
        <v>44176</v>
      </c>
      <c r="C573" t="str">
        <f>TEXT(Table1[[#This Row],[Order Date]], "yyyy")</f>
        <v>2020</v>
      </c>
      <c r="D573" t="str">
        <f>TEXT(Table1[[#This Row],[Order Date]], "mmmm")</f>
        <v>December</v>
      </c>
      <c r="E573" s="16">
        <f>Table1[[#This Row],[Order Quantity]]*Table1[[#This Row],[Unit Price]]</f>
        <v>580.16</v>
      </c>
      <c r="F573">
        <v>37</v>
      </c>
      <c r="G573" s="16">
        <v>15.68</v>
      </c>
      <c r="H573" t="s">
        <v>8</v>
      </c>
      <c r="I573" t="s">
        <v>248</v>
      </c>
      <c r="J573" t="s">
        <v>13</v>
      </c>
      <c r="K573" t="s">
        <v>15</v>
      </c>
    </row>
    <row r="574" spans="1:11" x14ac:dyDescent="0.45">
      <c r="A574">
        <v>2818</v>
      </c>
      <c r="B574" s="15">
        <v>44176</v>
      </c>
      <c r="C574" t="str">
        <f>TEXT(Table1[[#This Row],[Order Date]], "yyyy")</f>
        <v>2020</v>
      </c>
      <c r="D574" t="str">
        <f>TEXT(Table1[[#This Row],[Order Date]], "mmmm")</f>
        <v>December</v>
      </c>
      <c r="E574" s="16">
        <f>Table1[[#This Row],[Order Quantity]]*Table1[[#This Row],[Unit Price]]</f>
        <v>584.22</v>
      </c>
      <c r="F574">
        <v>39</v>
      </c>
      <c r="G574" s="16">
        <v>14.98</v>
      </c>
      <c r="H574" t="s">
        <v>8</v>
      </c>
      <c r="I574" t="s">
        <v>248</v>
      </c>
      <c r="J574" t="s">
        <v>13</v>
      </c>
      <c r="K574" t="s">
        <v>15</v>
      </c>
    </row>
    <row r="575" spans="1:11" x14ac:dyDescent="0.45">
      <c r="A575">
        <v>2818</v>
      </c>
      <c r="B575" s="15">
        <v>44176</v>
      </c>
      <c r="C575" t="str">
        <f>TEXT(Table1[[#This Row],[Order Date]], "yyyy")</f>
        <v>2020</v>
      </c>
      <c r="D575" t="str">
        <f>TEXT(Table1[[#This Row],[Order Date]], "mmmm")</f>
        <v>December</v>
      </c>
      <c r="E575" s="16">
        <f>Table1[[#This Row],[Order Quantity]]*Table1[[#This Row],[Unit Price]]</f>
        <v>77.52</v>
      </c>
      <c r="F575">
        <v>2</v>
      </c>
      <c r="G575" s="16">
        <v>38.76</v>
      </c>
      <c r="H575" t="s">
        <v>8</v>
      </c>
      <c r="I575" t="s">
        <v>248</v>
      </c>
      <c r="J575" t="s">
        <v>13</v>
      </c>
      <c r="K575" t="s">
        <v>11</v>
      </c>
    </row>
    <row r="576" spans="1:11" x14ac:dyDescent="0.45">
      <c r="A576">
        <v>2823</v>
      </c>
      <c r="B576" s="15">
        <v>44812</v>
      </c>
      <c r="C576" t="str">
        <f>TEXT(Table1[[#This Row],[Order Date]], "yyyy")</f>
        <v>2022</v>
      </c>
      <c r="D576" t="str">
        <f>TEXT(Table1[[#This Row],[Order Date]], "mmmm")</f>
        <v>September</v>
      </c>
      <c r="E576" s="16">
        <f>Table1[[#This Row],[Order Quantity]]*Table1[[#This Row],[Unit Price]]</f>
        <v>356.49</v>
      </c>
      <c r="F576">
        <v>17</v>
      </c>
      <c r="G576" s="16">
        <v>20.97</v>
      </c>
      <c r="H576" t="s">
        <v>8</v>
      </c>
      <c r="I576" t="s">
        <v>250</v>
      </c>
      <c r="J576" t="s">
        <v>20</v>
      </c>
      <c r="K576" t="s">
        <v>17</v>
      </c>
    </row>
    <row r="577" spans="1:11" x14ac:dyDescent="0.45">
      <c r="A577">
        <v>2848</v>
      </c>
      <c r="B577" s="15">
        <v>44994</v>
      </c>
      <c r="C577" t="str">
        <f>TEXT(Table1[[#This Row],[Order Date]], "yyyy")</f>
        <v>2023</v>
      </c>
      <c r="D577" t="str">
        <f>TEXT(Table1[[#This Row],[Order Date]], "mmmm")</f>
        <v>March</v>
      </c>
      <c r="E577" s="16">
        <f>Table1[[#This Row],[Order Quantity]]*Table1[[#This Row],[Unit Price]]</f>
        <v>1007.92</v>
      </c>
      <c r="F577">
        <v>8</v>
      </c>
      <c r="G577" s="16">
        <v>125.99</v>
      </c>
      <c r="H577" t="s">
        <v>8</v>
      </c>
      <c r="I577" t="s">
        <v>139</v>
      </c>
      <c r="J577" t="s">
        <v>20</v>
      </c>
      <c r="K577" t="s">
        <v>17</v>
      </c>
    </row>
    <row r="578" spans="1:11" x14ac:dyDescent="0.45">
      <c r="A578">
        <v>2852</v>
      </c>
      <c r="B578" s="15">
        <v>44211</v>
      </c>
      <c r="C578" t="str">
        <f>TEXT(Table1[[#This Row],[Order Date]], "yyyy")</f>
        <v>2021</v>
      </c>
      <c r="D578" t="str">
        <f>TEXT(Table1[[#This Row],[Order Date]], "mmmm")</f>
        <v>January</v>
      </c>
      <c r="E578" s="16">
        <f>Table1[[#This Row],[Order Quantity]]*Table1[[#This Row],[Unit Price]]</f>
        <v>64.800000000000011</v>
      </c>
      <c r="F578">
        <v>10</v>
      </c>
      <c r="G578" s="16">
        <v>6.48</v>
      </c>
      <c r="H578" t="s">
        <v>8</v>
      </c>
      <c r="I578" t="s">
        <v>249</v>
      </c>
      <c r="J578" t="s">
        <v>20</v>
      </c>
      <c r="K578" t="s">
        <v>11</v>
      </c>
    </row>
    <row r="579" spans="1:11" x14ac:dyDescent="0.45">
      <c r="A579">
        <v>2852</v>
      </c>
      <c r="B579" s="15">
        <v>44211</v>
      </c>
      <c r="C579" t="str">
        <f>TEXT(Table1[[#This Row],[Order Date]], "yyyy")</f>
        <v>2021</v>
      </c>
      <c r="D579" t="str">
        <f>TEXT(Table1[[#This Row],[Order Date]], "mmmm")</f>
        <v>January</v>
      </c>
      <c r="E579" s="16">
        <f>Table1[[#This Row],[Order Quantity]]*Table1[[#This Row],[Unit Price]]</f>
        <v>4871.58</v>
      </c>
      <c r="F579">
        <v>42</v>
      </c>
      <c r="G579" s="16">
        <v>115.99</v>
      </c>
      <c r="H579" t="s">
        <v>8</v>
      </c>
      <c r="I579" t="s">
        <v>249</v>
      </c>
      <c r="J579" t="s">
        <v>20</v>
      </c>
      <c r="K579" t="s">
        <v>17</v>
      </c>
    </row>
    <row r="580" spans="1:11" x14ac:dyDescent="0.45">
      <c r="A580">
        <v>2882</v>
      </c>
      <c r="B580" s="15">
        <v>44794</v>
      </c>
      <c r="C580" t="str">
        <f>TEXT(Table1[[#This Row],[Order Date]], "yyyy")</f>
        <v>2022</v>
      </c>
      <c r="D580" t="str">
        <f>TEXT(Table1[[#This Row],[Order Date]], "mmmm")</f>
        <v>August</v>
      </c>
      <c r="E580" s="16">
        <f>Table1[[#This Row],[Order Quantity]]*Table1[[#This Row],[Unit Price]]</f>
        <v>368.82</v>
      </c>
      <c r="F580">
        <v>9</v>
      </c>
      <c r="G580" s="16">
        <v>40.98</v>
      </c>
      <c r="H580" t="s">
        <v>8</v>
      </c>
      <c r="I580" t="s">
        <v>252</v>
      </c>
      <c r="J580" t="s">
        <v>23</v>
      </c>
      <c r="K580" t="s">
        <v>17</v>
      </c>
    </row>
    <row r="581" spans="1:11" x14ac:dyDescent="0.45">
      <c r="A581">
        <v>2883</v>
      </c>
      <c r="B581" s="15">
        <v>44583</v>
      </c>
      <c r="C581" t="str">
        <f>TEXT(Table1[[#This Row],[Order Date]], "yyyy")</f>
        <v>2022</v>
      </c>
      <c r="D581" t="str">
        <f>TEXT(Table1[[#This Row],[Order Date]], "mmmm")</f>
        <v>January</v>
      </c>
      <c r="E581" s="16">
        <f>Table1[[#This Row],[Order Quantity]]*Table1[[#This Row],[Unit Price]]</f>
        <v>2209.3200000000002</v>
      </c>
      <c r="F581">
        <v>34</v>
      </c>
      <c r="G581" s="16">
        <v>64.98</v>
      </c>
      <c r="H581" t="s">
        <v>8</v>
      </c>
      <c r="I581" t="s">
        <v>212</v>
      </c>
      <c r="J581" t="s">
        <v>23</v>
      </c>
      <c r="K581" t="s">
        <v>11</v>
      </c>
    </row>
    <row r="582" spans="1:11" x14ac:dyDescent="0.45">
      <c r="A582">
        <v>2885</v>
      </c>
      <c r="B582" s="15">
        <v>45187</v>
      </c>
      <c r="C582" t="str">
        <f>TEXT(Table1[[#This Row],[Order Date]], "yyyy")</f>
        <v>2023</v>
      </c>
      <c r="D582" t="str">
        <f>TEXT(Table1[[#This Row],[Order Date]], "mmmm")</f>
        <v>September</v>
      </c>
      <c r="E582" s="16">
        <f>Table1[[#This Row],[Order Quantity]]*Table1[[#This Row],[Unit Price]]</f>
        <v>187.92000000000002</v>
      </c>
      <c r="F582">
        <v>29</v>
      </c>
      <c r="G582" s="16">
        <v>6.48</v>
      </c>
      <c r="H582" t="s">
        <v>8</v>
      </c>
      <c r="I582" t="s">
        <v>253</v>
      </c>
      <c r="J582" t="s">
        <v>20</v>
      </c>
      <c r="K582" t="s">
        <v>11</v>
      </c>
    </row>
    <row r="583" spans="1:11" x14ac:dyDescent="0.45">
      <c r="A583">
        <v>2885</v>
      </c>
      <c r="B583" s="15">
        <v>45187</v>
      </c>
      <c r="C583" t="str">
        <f>TEXT(Table1[[#This Row],[Order Date]], "yyyy")</f>
        <v>2023</v>
      </c>
      <c r="D583" t="str">
        <f>TEXT(Table1[[#This Row],[Order Date]], "mmmm")</f>
        <v>September</v>
      </c>
      <c r="E583" s="16">
        <f>Table1[[#This Row],[Order Quantity]]*Table1[[#This Row],[Unit Price]]</f>
        <v>709.32</v>
      </c>
      <c r="F583">
        <v>46</v>
      </c>
      <c r="G583" s="16">
        <v>15.42</v>
      </c>
      <c r="H583" t="s">
        <v>8</v>
      </c>
      <c r="I583" t="s">
        <v>253</v>
      </c>
      <c r="J583" t="s">
        <v>20</v>
      </c>
      <c r="K583" t="s">
        <v>11</v>
      </c>
    </row>
    <row r="584" spans="1:11" x14ac:dyDescent="0.45">
      <c r="A584">
        <v>2914</v>
      </c>
      <c r="B584" s="15">
        <v>44257</v>
      </c>
      <c r="C584" t="str">
        <f>TEXT(Table1[[#This Row],[Order Date]], "yyyy")</f>
        <v>2021</v>
      </c>
      <c r="D584" t="str">
        <f>TEXT(Table1[[#This Row],[Order Date]], "mmmm")</f>
        <v>March</v>
      </c>
      <c r="E584" s="16">
        <f>Table1[[#This Row],[Order Quantity]]*Table1[[#This Row],[Unit Price]]</f>
        <v>56.91</v>
      </c>
      <c r="F584">
        <v>3</v>
      </c>
      <c r="G584" s="16">
        <v>18.97</v>
      </c>
      <c r="H584" t="s">
        <v>8</v>
      </c>
      <c r="I584" t="s">
        <v>118</v>
      </c>
      <c r="J584" t="s">
        <v>23</v>
      </c>
      <c r="K584" t="s">
        <v>11</v>
      </c>
    </row>
    <row r="585" spans="1:11" x14ac:dyDescent="0.45">
      <c r="A585">
        <v>2915</v>
      </c>
      <c r="B585" s="15">
        <v>43920</v>
      </c>
      <c r="C585" t="str">
        <f>TEXT(Table1[[#This Row],[Order Date]], "yyyy")</f>
        <v>2020</v>
      </c>
      <c r="D585" t="str">
        <f>TEXT(Table1[[#This Row],[Order Date]], "mmmm")</f>
        <v>March</v>
      </c>
      <c r="E585" s="16">
        <f>Table1[[#This Row],[Order Quantity]]*Table1[[#This Row],[Unit Price]]</f>
        <v>245.18</v>
      </c>
      <c r="F585">
        <v>41</v>
      </c>
      <c r="G585" s="16">
        <v>5.98</v>
      </c>
      <c r="H585" t="s">
        <v>8</v>
      </c>
      <c r="I585" t="s">
        <v>254</v>
      </c>
      <c r="J585" t="s">
        <v>23</v>
      </c>
      <c r="K585" t="s">
        <v>11</v>
      </c>
    </row>
    <row r="586" spans="1:11" x14ac:dyDescent="0.45">
      <c r="A586">
        <v>2915</v>
      </c>
      <c r="B586" s="15">
        <v>43920</v>
      </c>
      <c r="C586" t="str">
        <f>TEXT(Table1[[#This Row],[Order Date]], "yyyy")</f>
        <v>2020</v>
      </c>
      <c r="D586" t="str">
        <f>TEXT(Table1[[#This Row],[Order Date]], "mmmm")</f>
        <v>March</v>
      </c>
      <c r="E586" s="16">
        <f>Table1[[#This Row],[Order Quantity]]*Table1[[#This Row],[Unit Price]]</f>
        <v>919.54</v>
      </c>
      <c r="F586">
        <v>23</v>
      </c>
      <c r="G586" s="16">
        <v>39.979999999999997</v>
      </c>
      <c r="H586" t="s">
        <v>8</v>
      </c>
      <c r="I586" t="s">
        <v>254</v>
      </c>
      <c r="J586" t="s">
        <v>23</v>
      </c>
      <c r="K586" t="s">
        <v>17</v>
      </c>
    </row>
    <row r="587" spans="1:11" x14ac:dyDescent="0.45">
      <c r="A587">
        <v>2947</v>
      </c>
      <c r="B587" s="15">
        <v>44676</v>
      </c>
      <c r="C587" t="str">
        <f>TEXT(Table1[[#This Row],[Order Date]], "yyyy")</f>
        <v>2022</v>
      </c>
      <c r="D587" t="str">
        <f>TEXT(Table1[[#This Row],[Order Date]], "mmmm")</f>
        <v>April</v>
      </c>
      <c r="E587" s="16">
        <f>Table1[[#This Row],[Order Quantity]]*Table1[[#This Row],[Unit Price]]</f>
        <v>51.84</v>
      </c>
      <c r="F587">
        <v>8</v>
      </c>
      <c r="G587" s="16">
        <v>6.48</v>
      </c>
      <c r="H587" t="s">
        <v>8</v>
      </c>
      <c r="I587" t="s">
        <v>206</v>
      </c>
      <c r="J587" t="s">
        <v>23</v>
      </c>
      <c r="K587" t="s">
        <v>11</v>
      </c>
    </row>
    <row r="588" spans="1:11" x14ac:dyDescent="0.45">
      <c r="A588">
        <v>2978</v>
      </c>
      <c r="B588" s="15">
        <v>44683</v>
      </c>
      <c r="C588" t="str">
        <f>TEXT(Table1[[#This Row],[Order Date]], "yyyy")</f>
        <v>2022</v>
      </c>
      <c r="D588" t="str">
        <f>TEXT(Table1[[#This Row],[Order Date]], "mmmm")</f>
        <v>May</v>
      </c>
      <c r="E588" s="16">
        <f>Table1[[#This Row],[Order Quantity]]*Table1[[#This Row],[Unit Price]]</f>
        <v>7003.66</v>
      </c>
      <c r="F588">
        <v>34</v>
      </c>
      <c r="G588" s="16">
        <v>205.99</v>
      </c>
      <c r="H588" t="s">
        <v>8</v>
      </c>
      <c r="I588" t="s">
        <v>256</v>
      </c>
      <c r="J588" t="s">
        <v>13</v>
      </c>
      <c r="K588" t="s">
        <v>17</v>
      </c>
    </row>
    <row r="589" spans="1:11" x14ac:dyDescent="0.45">
      <c r="A589">
        <v>2978</v>
      </c>
      <c r="B589" s="15">
        <v>44683</v>
      </c>
      <c r="C589" t="str">
        <f>TEXT(Table1[[#This Row],[Order Date]], "yyyy")</f>
        <v>2022</v>
      </c>
      <c r="D589" t="str">
        <f>TEXT(Table1[[#This Row],[Order Date]], "mmmm")</f>
        <v>May</v>
      </c>
      <c r="E589" s="16">
        <f>Table1[[#This Row],[Order Quantity]]*Table1[[#This Row],[Unit Price]]</f>
        <v>5865.4800000000005</v>
      </c>
      <c r="F589">
        <v>36</v>
      </c>
      <c r="G589" s="16">
        <v>162.93</v>
      </c>
      <c r="H589" t="s">
        <v>8</v>
      </c>
      <c r="I589" t="s">
        <v>256</v>
      </c>
      <c r="J589" t="s">
        <v>13</v>
      </c>
      <c r="K589" t="s">
        <v>11</v>
      </c>
    </row>
    <row r="590" spans="1:11" x14ac:dyDescent="0.45">
      <c r="A590">
        <v>2978</v>
      </c>
      <c r="B590" s="15">
        <v>44683</v>
      </c>
      <c r="C590" t="str">
        <f>TEXT(Table1[[#This Row],[Order Date]], "yyyy")</f>
        <v>2022</v>
      </c>
      <c r="D590" t="str">
        <f>TEXT(Table1[[#This Row],[Order Date]], "mmmm")</f>
        <v>May</v>
      </c>
      <c r="E590" s="16">
        <f>Table1[[#This Row],[Order Quantity]]*Table1[[#This Row],[Unit Price]]</f>
        <v>5627.72</v>
      </c>
      <c r="F590">
        <v>28</v>
      </c>
      <c r="G590" s="16">
        <v>200.99</v>
      </c>
      <c r="H590" t="s">
        <v>8</v>
      </c>
      <c r="I590" t="s">
        <v>256</v>
      </c>
      <c r="J590" t="s">
        <v>13</v>
      </c>
      <c r="K590" t="s">
        <v>17</v>
      </c>
    </row>
    <row r="591" spans="1:11" x14ac:dyDescent="0.45">
      <c r="A591">
        <v>3008</v>
      </c>
      <c r="B591" s="15">
        <v>44872</v>
      </c>
      <c r="C591" t="str">
        <f>TEXT(Table1[[#This Row],[Order Date]], "yyyy")</f>
        <v>2022</v>
      </c>
      <c r="D591" t="str">
        <f>TEXT(Table1[[#This Row],[Order Date]], "mmmm")</f>
        <v>November</v>
      </c>
      <c r="E591" s="16">
        <f>Table1[[#This Row],[Order Quantity]]*Table1[[#This Row],[Unit Price]]</f>
        <v>6680.13</v>
      </c>
      <c r="F591">
        <v>41</v>
      </c>
      <c r="G591" s="16">
        <v>162.93</v>
      </c>
      <c r="H591" t="s">
        <v>8</v>
      </c>
      <c r="I591" t="s">
        <v>257</v>
      </c>
      <c r="J591" t="s">
        <v>23</v>
      </c>
      <c r="K591" t="s">
        <v>11</v>
      </c>
    </row>
    <row r="592" spans="1:11" x14ac:dyDescent="0.45">
      <c r="A592">
        <v>3012</v>
      </c>
      <c r="B592" s="15">
        <v>44320</v>
      </c>
      <c r="C592" t="str">
        <f>TEXT(Table1[[#This Row],[Order Date]], "yyyy")</f>
        <v>2021</v>
      </c>
      <c r="D592" t="str">
        <f>TEXT(Table1[[#This Row],[Order Date]], "mmmm")</f>
        <v>May</v>
      </c>
      <c r="E592" s="16">
        <f>Table1[[#This Row],[Order Quantity]]*Table1[[#This Row],[Unit Price]]</f>
        <v>113.97999999999999</v>
      </c>
      <c r="F592">
        <v>41</v>
      </c>
      <c r="G592" s="16">
        <v>2.78</v>
      </c>
      <c r="H592" t="s">
        <v>8</v>
      </c>
      <c r="I592" t="s">
        <v>258</v>
      </c>
      <c r="J592" t="s">
        <v>13</v>
      </c>
      <c r="K592" t="s">
        <v>11</v>
      </c>
    </row>
    <row r="593" spans="1:11" x14ac:dyDescent="0.45">
      <c r="A593">
        <v>3014</v>
      </c>
      <c r="B593" s="15">
        <v>45228</v>
      </c>
      <c r="C593" t="str">
        <f>TEXT(Table1[[#This Row],[Order Date]], "yyyy")</f>
        <v>2023</v>
      </c>
      <c r="D593" t="str">
        <f>TEXT(Table1[[#This Row],[Order Date]], "mmmm")</f>
        <v>October</v>
      </c>
      <c r="E593" s="16">
        <f>Table1[[#This Row],[Order Quantity]]*Table1[[#This Row],[Unit Price]]</f>
        <v>3964.87</v>
      </c>
      <c r="F593">
        <v>13</v>
      </c>
      <c r="G593" s="16">
        <v>304.99</v>
      </c>
      <c r="H593" t="s">
        <v>8</v>
      </c>
      <c r="I593" t="s">
        <v>92</v>
      </c>
      <c r="J593" t="s">
        <v>23</v>
      </c>
      <c r="K593" t="s">
        <v>11</v>
      </c>
    </row>
    <row r="594" spans="1:11" x14ac:dyDescent="0.45">
      <c r="A594">
        <v>3042</v>
      </c>
      <c r="B594" s="15">
        <v>44155</v>
      </c>
      <c r="C594" t="str">
        <f>TEXT(Table1[[#This Row],[Order Date]], "yyyy")</f>
        <v>2020</v>
      </c>
      <c r="D594" t="str">
        <f>TEXT(Table1[[#This Row],[Order Date]], "mmmm")</f>
        <v>November</v>
      </c>
      <c r="E594" s="16">
        <f>Table1[[#This Row],[Order Quantity]]*Table1[[#This Row],[Unit Price]]</f>
        <v>110.75999999999999</v>
      </c>
      <c r="F594">
        <v>26</v>
      </c>
      <c r="G594" s="16">
        <v>4.26</v>
      </c>
      <c r="H594" t="s">
        <v>8</v>
      </c>
      <c r="I594" t="s">
        <v>260</v>
      </c>
      <c r="J594" t="s">
        <v>23</v>
      </c>
      <c r="K594" t="s">
        <v>11</v>
      </c>
    </row>
    <row r="595" spans="1:11" x14ac:dyDescent="0.45">
      <c r="A595">
        <v>3046</v>
      </c>
      <c r="B595" s="15">
        <v>44894</v>
      </c>
      <c r="C595" t="str">
        <f>TEXT(Table1[[#This Row],[Order Date]], "yyyy")</f>
        <v>2022</v>
      </c>
      <c r="D595" t="str">
        <f>TEXT(Table1[[#This Row],[Order Date]], "mmmm")</f>
        <v>November</v>
      </c>
      <c r="E595" s="16">
        <f>Table1[[#This Row],[Order Quantity]]*Table1[[#This Row],[Unit Price]]</f>
        <v>10103.52</v>
      </c>
      <c r="F595">
        <v>24</v>
      </c>
      <c r="G595" s="16">
        <v>420.98</v>
      </c>
      <c r="H595" t="s">
        <v>8</v>
      </c>
      <c r="I595" t="s">
        <v>184</v>
      </c>
      <c r="J595" t="s">
        <v>10</v>
      </c>
      <c r="K595" t="s">
        <v>11</v>
      </c>
    </row>
    <row r="596" spans="1:11" x14ac:dyDescent="0.45">
      <c r="A596">
        <v>3073</v>
      </c>
      <c r="B596" s="15">
        <v>43837</v>
      </c>
      <c r="C596" t="str">
        <f>TEXT(Table1[[#This Row],[Order Date]], "yyyy")</f>
        <v>2020</v>
      </c>
      <c r="D596" t="str">
        <f>TEXT(Table1[[#This Row],[Order Date]], "mmmm")</f>
        <v>January</v>
      </c>
      <c r="E596" s="16">
        <f>Table1[[#This Row],[Order Quantity]]*Table1[[#This Row],[Unit Price]]</f>
        <v>5.9399999999999995</v>
      </c>
      <c r="F596">
        <v>3</v>
      </c>
      <c r="G596" s="16">
        <v>1.98</v>
      </c>
      <c r="H596" t="s">
        <v>8</v>
      </c>
      <c r="I596" t="s">
        <v>261</v>
      </c>
      <c r="J596" t="s">
        <v>20</v>
      </c>
      <c r="K596" t="s">
        <v>11</v>
      </c>
    </row>
    <row r="597" spans="1:11" x14ac:dyDescent="0.45">
      <c r="A597">
        <v>3073</v>
      </c>
      <c r="B597" s="15">
        <v>43837</v>
      </c>
      <c r="C597" t="str">
        <f>TEXT(Table1[[#This Row],[Order Date]], "yyyy")</f>
        <v>2020</v>
      </c>
      <c r="D597" t="str">
        <f>TEXT(Table1[[#This Row],[Order Date]], "mmmm")</f>
        <v>January</v>
      </c>
      <c r="E597" s="16">
        <f>Table1[[#This Row],[Order Quantity]]*Table1[[#This Row],[Unit Price]]</f>
        <v>47481.14</v>
      </c>
      <c r="F597">
        <v>7</v>
      </c>
      <c r="G597" s="16">
        <v>6783.02</v>
      </c>
      <c r="H597" t="s">
        <v>8</v>
      </c>
      <c r="I597" t="s">
        <v>261</v>
      </c>
      <c r="J597" t="s">
        <v>20</v>
      </c>
      <c r="K597" t="s">
        <v>17</v>
      </c>
    </row>
    <row r="598" spans="1:11" x14ac:dyDescent="0.45">
      <c r="A598">
        <v>3078</v>
      </c>
      <c r="B598" s="15">
        <v>44238</v>
      </c>
      <c r="C598" t="str">
        <f>TEXT(Table1[[#This Row],[Order Date]], "yyyy")</f>
        <v>2021</v>
      </c>
      <c r="D598" t="str">
        <f>TEXT(Table1[[#This Row],[Order Date]], "mmmm")</f>
        <v>February</v>
      </c>
      <c r="E598" s="16">
        <f>Table1[[#This Row],[Order Quantity]]*Table1[[#This Row],[Unit Price]]</f>
        <v>34.56</v>
      </c>
      <c r="F598">
        <v>12</v>
      </c>
      <c r="G598" s="16">
        <v>2.88</v>
      </c>
      <c r="H598" t="s">
        <v>8</v>
      </c>
      <c r="I598" t="s">
        <v>47</v>
      </c>
      <c r="J598" t="s">
        <v>13</v>
      </c>
      <c r="K598" t="s">
        <v>11</v>
      </c>
    </row>
    <row r="599" spans="1:11" x14ac:dyDescent="0.45">
      <c r="A599">
        <v>3104</v>
      </c>
      <c r="B599" s="15">
        <v>44454</v>
      </c>
      <c r="C599" t="str">
        <f>TEXT(Table1[[#This Row],[Order Date]], "yyyy")</f>
        <v>2021</v>
      </c>
      <c r="D599" t="str">
        <f>TEXT(Table1[[#This Row],[Order Date]], "mmmm")</f>
        <v>September</v>
      </c>
      <c r="E599" s="16">
        <f>Table1[[#This Row],[Order Quantity]]*Table1[[#This Row],[Unit Price]]</f>
        <v>324</v>
      </c>
      <c r="F599">
        <v>50</v>
      </c>
      <c r="G599" s="16">
        <v>6.48</v>
      </c>
      <c r="H599" t="s">
        <v>8</v>
      </c>
      <c r="I599" t="s">
        <v>262</v>
      </c>
      <c r="J599" t="s">
        <v>23</v>
      </c>
      <c r="K599" t="s">
        <v>11</v>
      </c>
    </row>
    <row r="600" spans="1:11" x14ac:dyDescent="0.45">
      <c r="A600">
        <v>3108</v>
      </c>
      <c r="B600" s="15">
        <v>44412</v>
      </c>
      <c r="C600" t="str">
        <f>TEXT(Table1[[#This Row],[Order Date]], "yyyy")</f>
        <v>2021</v>
      </c>
      <c r="D600" t="str">
        <f>TEXT(Table1[[#This Row],[Order Date]], "mmmm")</f>
        <v>August</v>
      </c>
      <c r="E600" s="16">
        <f>Table1[[#This Row],[Order Quantity]]*Table1[[#This Row],[Unit Price]]</f>
        <v>65.52</v>
      </c>
      <c r="F600">
        <v>36</v>
      </c>
      <c r="G600" s="16">
        <v>1.82</v>
      </c>
      <c r="H600" t="s">
        <v>8</v>
      </c>
      <c r="I600" t="s">
        <v>236</v>
      </c>
      <c r="J600" t="s">
        <v>13</v>
      </c>
      <c r="K600" t="s">
        <v>11</v>
      </c>
    </row>
    <row r="601" spans="1:11" x14ac:dyDescent="0.45">
      <c r="A601">
        <v>3109</v>
      </c>
      <c r="B601" s="15">
        <v>44400</v>
      </c>
      <c r="C601" t="str">
        <f>TEXT(Table1[[#This Row],[Order Date]], "yyyy")</f>
        <v>2021</v>
      </c>
      <c r="D601" t="str">
        <f>TEXT(Table1[[#This Row],[Order Date]], "mmmm")</f>
        <v>July</v>
      </c>
      <c r="E601" s="16">
        <f>Table1[[#This Row],[Order Quantity]]*Table1[[#This Row],[Unit Price]]</f>
        <v>1044.81</v>
      </c>
      <c r="F601">
        <v>47</v>
      </c>
      <c r="G601" s="16">
        <v>22.23</v>
      </c>
      <c r="H601" t="s">
        <v>8</v>
      </c>
      <c r="I601" t="s">
        <v>165</v>
      </c>
      <c r="J601" t="s">
        <v>13</v>
      </c>
      <c r="K601" t="s">
        <v>15</v>
      </c>
    </row>
    <row r="602" spans="1:11" x14ac:dyDescent="0.45">
      <c r="A602">
        <v>3109</v>
      </c>
      <c r="B602" s="15">
        <v>44400</v>
      </c>
      <c r="C602" t="str">
        <f>TEXT(Table1[[#This Row],[Order Date]], "yyyy")</f>
        <v>2021</v>
      </c>
      <c r="D602" t="str">
        <f>TEXT(Table1[[#This Row],[Order Date]], "mmmm")</f>
        <v>July</v>
      </c>
      <c r="E602" s="16">
        <f>Table1[[#This Row],[Order Quantity]]*Table1[[#This Row],[Unit Price]]</f>
        <v>7621.63</v>
      </c>
      <c r="F602">
        <v>37</v>
      </c>
      <c r="G602" s="16">
        <v>205.99</v>
      </c>
      <c r="H602" t="s">
        <v>8</v>
      </c>
      <c r="I602" t="s">
        <v>165</v>
      </c>
      <c r="J602" t="s">
        <v>13</v>
      </c>
      <c r="K602" t="s">
        <v>17</v>
      </c>
    </row>
    <row r="603" spans="1:11" x14ac:dyDescent="0.45">
      <c r="A603">
        <v>3136</v>
      </c>
      <c r="B603" s="15">
        <v>44052</v>
      </c>
      <c r="C603" t="str">
        <f>TEXT(Table1[[#This Row],[Order Date]], "yyyy")</f>
        <v>2020</v>
      </c>
      <c r="D603" t="str">
        <f>TEXT(Table1[[#This Row],[Order Date]], "mmmm")</f>
        <v>August</v>
      </c>
      <c r="E603" s="16">
        <f>Table1[[#This Row],[Order Quantity]]*Table1[[#This Row],[Unit Price]]</f>
        <v>247.84</v>
      </c>
      <c r="F603">
        <v>8</v>
      </c>
      <c r="G603" s="16">
        <v>30.98</v>
      </c>
      <c r="H603" t="s">
        <v>8</v>
      </c>
      <c r="I603" t="s">
        <v>264</v>
      </c>
      <c r="J603" t="s">
        <v>13</v>
      </c>
      <c r="K603" t="s">
        <v>11</v>
      </c>
    </row>
    <row r="604" spans="1:11" x14ac:dyDescent="0.45">
      <c r="A604">
        <v>3141</v>
      </c>
      <c r="B604" s="15">
        <v>44874</v>
      </c>
      <c r="C604" t="str">
        <f>TEXT(Table1[[#This Row],[Order Date]], "yyyy")</f>
        <v>2022</v>
      </c>
      <c r="D604" t="str">
        <f>TEXT(Table1[[#This Row],[Order Date]], "mmmm")</f>
        <v>November</v>
      </c>
      <c r="E604" s="16">
        <f>Table1[[#This Row],[Order Quantity]]*Table1[[#This Row],[Unit Price]]</f>
        <v>566.70000000000005</v>
      </c>
      <c r="F604">
        <v>30</v>
      </c>
      <c r="G604" s="16">
        <v>18.89</v>
      </c>
      <c r="H604" t="s">
        <v>8</v>
      </c>
      <c r="I604" t="s">
        <v>266</v>
      </c>
      <c r="J604" t="s">
        <v>20</v>
      </c>
      <c r="K604" t="s">
        <v>17</v>
      </c>
    </row>
    <row r="605" spans="1:11" x14ac:dyDescent="0.45">
      <c r="A605">
        <v>3168</v>
      </c>
      <c r="B605" s="15">
        <v>44955</v>
      </c>
      <c r="C605" t="str">
        <f>TEXT(Table1[[#This Row],[Order Date]], "yyyy")</f>
        <v>2023</v>
      </c>
      <c r="D605" t="str">
        <f>TEXT(Table1[[#This Row],[Order Date]], "mmmm")</f>
        <v>January</v>
      </c>
      <c r="E605" s="16">
        <f>Table1[[#This Row],[Order Quantity]]*Table1[[#This Row],[Unit Price]]</f>
        <v>73.92</v>
      </c>
      <c r="F605">
        <v>14</v>
      </c>
      <c r="G605" s="16">
        <v>5.28</v>
      </c>
      <c r="H605" t="s">
        <v>8</v>
      </c>
      <c r="I605" t="s">
        <v>261</v>
      </c>
      <c r="J605" t="s">
        <v>20</v>
      </c>
      <c r="K605" t="s">
        <v>15</v>
      </c>
    </row>
    <row r="606" spans="1:11" x14ac:dyDescent="0.45">
      <c r="A606">
        <v>3169</v>
      </c>
      <c r="B606" s="15">
        <v>44550</v>
      </c>
      <c r="C606" t="str">
        <f>TEXT(Table1[[#This Row],[Order Date]], "yyyy")</f>
        <v>2021</v>
      </c>
      <c r="D606" t="str">
        <f>TEXT(Table1[[#This Row],[Order Date]], "mmmm")</f>
        <v>December</v>
      </c>
      <c r="E606" s="16">
        <f>Table1[[#This Row],[Order Quantity]]*Table1[[#This Row],[Unit Price]]</f>
        <v>30.939999999999998</v>
      </c>
      <c r="F606">
        <v>7</v>
      </c>
      <c r="G606" s="16">
        <v>4.42</v>
      </c>
      <c r="H606" t="s">
        <v>8</v>
      </c>
      <c r="I606" t="s">
        <v>267</v>
      </c>
      <c r="J606" t="s">
        <v>13</v>
      </c>
      <c r="K606" t="s">
        <v>11</v>
      </c>
    </row>
    <row r="607" spans="1:11" x14ac:dyDescent="0.45">
      <c r="A607">
        <v>3172</v>
      </c>
      <c r="B607" s="15">
        <v>45079</v>
      </c>
      <c r="C607" t="str">
        <f>TEXT(Table1[[#This Row],[Order Date]], "yyyy")</f>
        <v>2023</v>
      </c>
      <c r="D607" t="str">
        <f>TEXT(Table1[[#This Row],[Order Date]], "mmmm")</f>
        <v>June</v>
      </c>
      <c r="E607" s="16">
        <f>Table1[[#This Row],[Order Quantity]]*Table1[[#This Row],[Unit Price]]</f>
        <v>692.67</v>
      </c>
      <c r="F607">
        <v>33</v>
      </c>
      <c r="G607" s="16">
        <v>20.99</v>
      </c>
      <c r="H607" t="s">
        <v>8</v>
      </c>
      <c r="I607" t="s">
        <v>268</v>
      </c>
      <c r="J607" t="s">
        <v>23</v>
      </c>
      <c r="K607" t="s">
        <v>17</v>
      </c>
    </row>
    <row r="608" spans="1:11" x14ac:dyDescent="0.45">
      <c r="A608">
        <v>3175</v>
      </c>
      <c r="B608" s="15">
        <v>44026</v>
      </c>
      <c r="C608" t="str">
        <f>TEXT(Table1[[#This Row],[Order Date]], "yyyy")</f>
        <v>2020</v>
      </c>
      <c r="D608" t="str">
        <f>TEXT(Table1[[#This Row],[Order Date]], "mmmm")</f>
        <v>July</v>
      </c>
      <c r="E608" s="16">
        <f>Table1[[#This Row],[Order Quantity]]*Table1[[#This Row],[Unit Price]]</f>
        <v>3799.6</v>
      </c>
      <c r="F608">
        <v>23</v>
      </c>
      <c r="G608" s="16">
        <v>165.2</v>
      </c>
      <c r="H608" t="s">
        <v>8</v>
      </c>
      <c r="I608" t="s">
        <v>269</v>
      </c>
      <c r="J608" t="s">
        <v>10</v>
      </c>
      <c r="K608" t="s">
        <v>11</v>
      </c>
    </row>
    <row r="609" spans="1:11" x14ac:dyDescent="0.45">
      <c r="A609">
        <v>3202</v>
      </c>
      <c r="B609" s="15">
        <v>45283</v>
      </c>
      <c r="C609" t="str">
        <f>TEXT(Table1[[#This Row],[Order Date]], "yyyy")</f>
        <v>2023</v>
      </c>
      <c r="D609" t="str">
        <f>TEXT(Table1[[#This Row],[Order Date]], "mmmm")</f>
        <v>December</v>
      </c>
      <c r="E609" s="16">
        <f>Table1[[#This Row],[Order Quantity]]*Table1[[#This Row],[Unit Price]]</f>
        <v>539.79999999999995</v>
      </c>
      <c r="F609">
        <v>10</v>
      </c>
      <c r="G609" s="16">
        <v>53.98</v>
      </c>
      <c r="H609" t="s">
        <v>8</v>
      </c>
      <c r="I609" t="s">
        <v>270</v>
      </c>
      <c r="J609" t="s">
        <v>23</v>
      </c>
      <c r="K609" t="s">
        <v>17</v>
      </c>
    </row>
    <row r="610" spans="1:11" x14ac:dyDescent="0.45">
      <c r="A610">
        <v>3205</v>
      </c>
      <c r="B610" s="15">
        <v>45026</v>
      </c>
      <c r="C610" t="str">
        <f>TEXT(Table1[[#This Row],[Order Date]], "yyyy")</f>
        <v>2023</v>
      </c>
      <c r="D610" t="str">
        <f>TEXT(Table1[[#This Row],[Order Date]], "mmmm")</f>
        <v>April</v>
      </c>
      <c r="E610" s="16">
        <f>Table1[[#This Row],[Order Quantity]]*Table1[[#This Row],[Unit Price]]</f>
        <v>125.44</v>
      </c>
      <c r="F610">
        <v>8</v>
      </c>
      <c r="G610" s="16">
        <v>15.68</v>
      </c>
      <c r="H610" t="s">
        <v>8</v>
      </c>
      <c r="I610" t="s">
        <v>271</v>
      </c>
      <c r="J610" t="s">
        <v>23</v>
      </c>
      <c r="K610" t="s">
        <v>15</v>
      </c>
    </row>
    <row r="611" spans="1:11" x14ac:dyDescent="0.45">
      <c r="A611">
        <v>3232</v>
      </c>
      <c r="B611" s="15">
        <v>45207</v>
      </c>
      <c r="C611" t="str">
        <f>TEXT(Table1[[#This Row],[Order Date]], "yyyy")</f>
        <v>2023</v>
      </c>
      <c r="D611" t="str">
        <f>TEXT(Table1[[#This Row],[Order Date]], "mmmm")</f>
        <v>October</v>
      </c>
      <c r="E611" s="16">
        <f>Table1[[#This Row],[Order Quantity]]*Table1[[#This Row],[Unit Price]]</f>
        <v>39.200000000000003</v>
      </c>
      <c r="F611">
        <v>5</v>
      </c>
      <c r="G611" s="16">
        <v>7.84</v>
      </c>
      <c r="H611" t="s">
        <v>8</v>
      </c>
      <c r="I611" t="s">
        <v>272</v>
      </c>
      <c r="J611" t="s">
        <v>10</v>
      </c>
      <c r="K611" t="s">
        <v>11</v>
      </c>
    </row>
    <row r="612" spans="1:11" x14ac:dyDescent="0.45">
      <c r="A612">
        <v>3266</v>
      </c>
      <c r="B612" s="15">
        <v>44636</v>
      </c>
      <c r="C612" t="str">
        <f>TEXT(Table1[[#This Row],[Order Date]], "yyyy")</f>
        <v>2022</v>
      </c>
      <c r="D612" t="str">
        <f>TEXT(Table1[[#This Row],[Order Date]], "mmmm")</f>
        <v>March</v>
      </c>
      <c r="E612" s="16">
        <f>Table1[[#This Row],[Order Quantity]]*Table1[[#This Row],[Unit Price]]</f>
        <v>15.2</v>
      </c>
      <c r="F612">
        <v>4</v>
      </c>
      <c r="G612" s="16">
        <v>3.8</v>
      </c>
      <c r="H612" t="s">
        <v>8</v>
      </c>
      <c r="I612" t="s">
        <v>274</v>
      </c>
      <c r="J612" t="s">
        <v>13</v>
      </c>
      <c r="K612" t="s">
        <v>11</v>
      </c>
    </row>
    <row r="613" spans="1:11" x14ac:dyDescent="0.45">
      <c r="A613">
        <v>3297</v>
      </c>
      <c r="B613" s="15">
        <v>45232</v>
      </c>
      <c r="C613" t="str">
        <f>TEXT(Table1[[#This Row],[Order Date]], "yyyy")</f>
        <v>2023</v>
      </c>
      <c r="D613" t="str">
        <f>TEXT(Table1[[#This Row],[Order Date]], "mmmm")</f>
        <v>November</v>
      </c>
      <c r="E613" s="16">
        <f>Table1[[#This Row],[Order Quantity]]*Table1[[#This Row],[Unit Price]]</f>
        <v>150</v>
      </c>
      <c r="F613">
        <v>40</v>
      </c>
      <c r="G613" s="16">
        <v>3.75</v>
      </c>
      <c r="H613" t="s">
        <v>8</v>
      </c>
      <c r="I613" t="s">
        <v>275</v>
      </c>
      <c r="J613" t="s">
        <v>23</v>
      </c>
      <c r="K613" t="s">
        <v>11</v>
      </c>
    </row>
    <row r="614" spans="1:11" x14ac:dyDescent="0.45">
      <c r="A614">
        <v>3300</v>
      </c>
      <c r="B614" s="15">
        <v>44756</v>
      </c>
      <c r="C614" t="str">
        <f>TEXT(Table1[[#This Row],[Order Date]], "yyyy")</f>
        <v>2022</v>
      </c>
      <c r="D614" t="str">
        <f>TEXT(Table1[[#This Row],[Order Date]], "mmmm")</f>
        <v>July</v>
      </c>
      <c r="E614" s="16">
        <f>Table1[[#This Row],[Order Quantity]]*Table1[[#This Row],[Unit Price]]</f>
        <v>95.88</v>
      </c>
      <c r="F614">
        <v>6</v>
      </c>
      <c r="G614" s="16">
        <v>15.98</v>
      </c>
      <c r="H614" t="s">
        <v>8</v>
      </c>
      <c r="I614" t="s">
        <v>276</v>
      </c>
      <c r="J614" t="s">
        <v>20</v>
      </c>
      <c r="K614" t="s">
        <v>17</v>
      </c>
    </row>
    <row r="615" spans="1:11" x14ac:dyDescent="0.45">
      <c r="A615">
        <v>3331</v>
      </c>
      <c r="B615" s="15">
        <v>44336</v>
      </c>
      <c r="C615" t="str">
        <f>TEXT(Table1[[#This Row],[Order Date]], "yyyy")</f>
        <v>2021</v>
      </c>
      <c r="D615" t="str">
        <f>TEXT(Table1[[#This Row],[Order Date]], "mmmm")</f>
        <v>May</v>
      </c>
      <c r="E615" s="16">
        <f>Table1[[#This Row],[Order Quantity]]*Table1[[#This Row],[Unit Price]]</f>
        <v>152.21</v>
      </c>
      <c r="F615">
        <v>31</v>
      </c>
      <c r="G615" s="16">
        <v>4.91</v>
      </c>
      <c r="H615" t="s">
        <v>8</v>
      </c>
      <c r="I615" t="s">
        <v>277</v>
      </c>
      <c r="J615" t="s">
        <v>13</v>
      </c>
      <c r="K615" t="s">
        <v>11</v>
      </c>
    </row>
    <row r="616" spans="1:11" x14ac:dyDescent="0.45">
      <c r="A616">
        <v>3332</v>
      </c>
      <c r="B616" s="15">
        <v>44139</v>
      </c>
      <c r="C616" t="str">
        <f>TEXT(Table1[[#This Row],[Order Date]], "yyyy")</f>
        <v>2020</v>
      </c>
      <c r="D616" t="str">
        <f>TEXT(Table1[[#This Row],[Order Date]], "mmmm")</f>
        <v>November</v>
      </c>
      <c r="E616" s="16">
        <f>Table1[[#This Row],[Order Quantity]]*Table1[[#This Row],[Unit Price]]</f>
        <v>19.559999999999999</v>
      </c>
      <c r="F616">
        <v>6</v>
      </c>
      <c r="G616" s="16">
        <v>3.26</v>
      </c>
      <c r="H616" t="s">
        <v>8</v>
      </c>
      <c r="I616" t="s">
        <v>278</v>
      </c>
      <c r="J616" t="s">
        <v>13</v>
      </c>
      <c r="K616" t="s">
        <v>11</v>
      </c>
    </row>
    <row r="617" spans="1:11" x14ac:dyDescent="0.45">
      <c r="A617">
        <v>3333</v>
      </c>
      <c r="B617" s="15">
        <v>45184</v>
      </c>
      <c r="C617" t="str">
        <f>TEXT(Table1[[#This Row],[Order Date]], "yyyy")</f>
        <v>2023</v>
      </c>
      <c r="D617" t="str">
        <f>TEXT(Table1[[#This Row],[Order Date]], "mmmm")</f>
        <v>September</v>
      </c>
      <c r="E617" s="16">
        <f>Table1[[#This Row],[Order Quantity]]*Table1[[#This Row],[Unit Price]]</f>
        <v>965.16</v>
      </c>
      <c r="F617">
        <v>42</v>
      </c>
      <c r="G617" s="16">
        <v>22.98</v>
      </c>
      <c r="H617" t="s">
        <v>8</v>
      </c>
      <c r="I617" t="s">
        <v>279</v>
      </c>
      <c r="J617" t="s">
        <v>20</v>
      </c>
      <c r="K617" t="s">
        <v>11</v>
      </c>
    </row>
    <row r="618" spans="1:11" x14ac:dyDescent="0.45">
      <c r="A618">
        <v>3333</v>
      </c>
      <c r="B618" s="15">
        <v>45184</v>
      </c>
      <c r="C618" t="str">
        <f>TEXT(Table1[[#This Row],[Order Date]], "yyyy")</f>
        <v>2023</v>
      </c>
      <c r="D618" t="str">
        <f>TEXT(Table1[[#This Row],[Order Date]], "mmmm")</f>
        <v>September</v>
      </c>
      <c r="E618" s="16">
        <f>Table1[[#This Row],[Order Quantity]]*Table1[[#This Row],[Unit Price]]</f>
        <v>58.320000000000007</v>
      </c>
      <c r="F618">
        <v>9</v>
      </c>
      <c r="G618" s="16">
        <v>6.48</v>
      </c>
      <c r="H618" t="s">
        <v>8</v>
      </c>
      <c r="I618" t="s">
        <v>279</v>
      </c>
      <c r="J618" t="s">
        <v>20</v>
      </c>
      <c r="K618" t="s">
        <v>11</v>
      </c>
    </row>
    <row r="619" spans="1:11" x14ac:dyDescent="0.45">
      <c r="A619">
        <v>3361</v>
      </c>
      <c r="B619" s="15">
        <v>45160</v>
      </c>
      <c r="C619" t="str">
        <f>TEXT(Table1[[#This Row],[Order Date]], "yyyy")</f>
        <v>2023</v>
      </c>
      <c r="D619" t="str">
        <f>TEXT(Table1[[#This Row],[Order Date]], "mmmm")</f>
        <v>August</v>
      </c>
      <c r="E619" s="16">
        <f>Table1[[#This Row],[Order Quantity]]*Table1[[#This Row],[Unit Price]]</f>
        <v>209.72</v>
      </c>
      <c r="F619">
        <v>49</v>
      </c>
      <c r="G619" s="16">
        <v>4.28</v>
      </c>
      <c r="H619" t="s">
        <v>8</v>
      </c>
      <c r="I619" t="s">
        <v>280</v>
      </c>
      <c r="J619" t="s">
        <v>13</v>
      </c>
      <c r="K619" t="s">
        <v>11</v>
      </c>
    </row>
    <row r="620" spans="1:11" x14ac:dyDescent="0.45">
      <c r="A620">
        <v>3361</v>
      </c>
      <c r="B620" s="15">
        <v>45160</v>
      </c>
      <c r="C620" t="str">
        <f>TEXT(Table1[[#This Row],[Order Date]], "yyyy")</f>
        <v>2023</v>
      </c>
      <c r="D620" t="str">
        <f>TEXT(Table1[[#This Row],[Order Date]], "mmmm")</f>
        <v>August</v>
      </c>
      <c r="E620" s="16">
        <f>Table1[[#This Row],[Order Quantity]]*Table1[[#This Row],[Unit Price]]</f>
        <v>134.54999999999998</v>
      </c>
      <c r="F620">
        <v>23</v>
      </c>
      <c r="G620" s="16">
        <v>5.85</v>
      </c>
      <c r="H620" t="s">
        <v>8</v>
      </c>
      <c r="I620" t="s">
        <v>280</v>
      </c>
      <c r="J620" t="s">
        <v>13</v>
      </c>
      <c r="K620" t="s">
        <v>11</v>
      </c>
    </row>
    <row r="621" spans="1:11" x14ac:dyDescent="0.45">
      <c r="A621">
        <v>3362</v>
      </c>
      <c r="B621" s="15">
        <v>44770</v>
      </c>
      <c r="C621" t="str">
        <f>TEXT(Table1[[#This Row],[Order Date]], "yyyy")</f>
        <v>2022</v>
      </c>
      <c r="D621" t="str">
        <f>TEXT(Table1[[#This Row],[Order Date]], "mmmm")</f>
        <v>July</v>
      </c>
      <c r="E621" s="16">
        <f>Table1[[#This Row],[Order Quantity]]*Table1[[#This Row],[Unit Price]]</f>
        <v>1639.1999999999998</v>
      </c>
      <c r="F621">
        <v>40</v>
      </c>
      <c r="G621" s="16">
        <v>40.98</v>
      </c>
      <c r="H621" t="s">
        <v>8</v>
      </c>
      <c r="I621" t="s">
        <v>281</v>
      </c>
      <c r="J621" t="s">
        <v>10</v>
      </c>
      <c r="K621" t="s">
        <v>17</v>
      </c>
    </row>
    <row r="622" spans="1:11" x14ac:dyDescent="0.45">
      <c r="A622">
        <v>3362</v>
      </c>
      <c r="B622" s="15">
        <v>44770</v>
      </c>
      <c r="C622" t="str">
        <f>TEXT(Table1[[#This Row],[Order Date]], "yyyy")</f>
        <v>2022</v>
      </c>
      <c r="D622" t="str">
        <f>TEXT(Table1[[#This Row],[Order Date]], "mmmm")</f>
        <v>July</v>
      </c>
      <c r="E622" s="16">
        <f>Table1[[#This Row],[Order Quantity]]*Table1[[#This Row],[Unit Price]]</f>
        <v>757</v>
      </c>
      <c r="F622">
        <v>50</v>
      </c>
      <c r="G622" s="16">
        <v>15.14</v>
      </c>
      <c r="H622" t="s">
        <v>8</v>
      </c>
      <c r="I622" t="s">
        <v>281</v>
      </c>
      <c r="J622" t="s">
        <v>10</v>
      </c>
      <c r="K622" t="s">
        <v>11</v>
      </c>
    </row>
    <row r="623" spans="1:11" x14ac:dyDescent="0.45">
      <c r="A623">
        <v>3363</v>
      </c>
      <c r="B623" s="15">
        <v>44826</v>
      </c>
      <c r="C623" t="str">
        <f>TEXT(Table1[[#This Row],[Order Date]], "yyyy")</f>
        <v>2022</v>
      </c>
      <c r="D623" t="str">
        <f>TEXT(Table1[[#This Row],[Order Date]], "mmmm")</f>
        <v>September</v>
      </c>
      <c r="E623" s="16">
        <f>Table1[[#This Row],[Order Quantity]]*Table1[[#This Row],[Unit Price]]</f>
        <v>8733.48</v>
      </c>
      <c r="F623">
        <v>21</v>
      </c>
      <c r="G623" s="16">
        <v>415.88</v>
      </c>
      <c r="H623" t="s">
        <v>8</v>
      </c>
      <c r="I623" t="s">
        <v>282</v>
      </c>
      <c r="J623" t="s">
        <v>20</v>
      </c>
      <c r="K623" t="s">
        <v>11</v>
      </c>
    </row>
    <row r="624" spans="1:11" x14ac:dyDescent="0.45">
      <c r="A624">
        <v>3393</v>
      </c>
      <c r="B624" s="15">
        <v>44745</v>
      </c>
      <c r="C624" t="str">
        <f>TEXT(Table1[[#This Row],[Order Date]], "yyyy")</f>
        <v>2022</v>
      </c>
      <c r="D624" t="str">
        <f>TEXT(Table1[[#This Row],[Order Date]], "mmmm")</f>
        <v>July</v>
      </c>
      <c r="E624" s="16">
        <f>Table1[[#This Row],[Order Quantity]]*Table1[[#This Row],[Unit Price]]</f>
        <v>312.84000000000003</v>
      </c>
      <c r="F624">
        <v>33</v>
      </c>
      <c r="G624" s="16">
        <v>9.48</v>
      </c>
      <c r="H624" t="s">
        <v>8</v>
      </c>
      <c r="I624" t="s">
        <v>283</v>
      </c>
      <c r="J624" t="s">
        <v>23</v>
      </c>
      <c r="K624" t="s">
        <v>15</v>
      </c>
    </row>
    <row r="625" spans="1:11" x14ac:dyDescent="0.45">
      <c r="A625">
        <v>3395</v>
      </c>
      <c r="B625" s="15">
        <v>44133</v>
      </c>
      <c r="C625" t="str">
        <f>TEXT(Table1[[#This Row],[Order Date]], "yyyy")</f>
        <v>2020</v>
      </c>
      <c r="D625" t="str">
        <f>TEXT(Table1[[#This Row],[Order Date]], "mmmm")</f>
        <v>October</v>
      </c>
      <c r="E625" s="16">
        <f>Table1[[#This Row],[Order Quantity]]*Table1[[#This Row],[Unit Price]]</f>
        <v>7.35</v>
      </c>
      <c r="F625">
        <v>1</v>
      </c>
      <c r="G625" s="16">
        <v>7.35</v>
      </c>
      <c r="H625" t="s">
        <v>8</v>
      </c>
      <c r="I625" t="s">
        <v>284</v>
      </c>
      <c r="J625" t="s">
        <v>23</v>
      </c>
      <c r="K625" t="s">
        <v>11</v>
      </c>
    </row>
    <row r="626" spans="1:11" x14ac:dyDescent="0.45">
      <c r="A626">
        <v>3395</v>
      </c>
      <c r="B626" s="15">
        <v>44133</v>
      </c>
      <c r="C626" t="str">
        <f>TEXT(Table1[[#This Row],[Order Date]], "yyyy")</f>
        <v>2020</v>
      </c>
      <c r="D626" t="str">
        <f>TEXT(Table1[[#This Row],[Order Date]], "mmmm")</f>
        <v>October</v>
      </c>
      <c r="E626" s="16">
        <f>Table1[[#This Row],[Order Quantity]]*Table1[[#This Row],[Unit Price]]</f>
        <v>108.99000000000001</v>
      </c>
      <c r="F626">
        <v>7</v>
      </c>
      <c r="G626" s="16">
        <v>15.57</v>
      </c>
      <c r="H626" t="s">
        <v>8</v>
      </c>
      <c r="I626" t="s">
        <v>284</v>
      </c>
      <c r="J626" t="s">
        <v>23</v>
      </c>
      <c r="K626" t="s">
        <v>11</v>
      </c>
    </row>
    <row r="627" spans="1:11" x14ac:dyDescent="0.45">
      <c r="A627">
        <v>3395</v>
      </c>
      <c r="B627" s="15">
        <v>44133</v>
      </c>
      <c r="C627" t="str">
        <f>TEXT(Table1[[#This Row],[Order Date]], "yyyy")</f>
        <v>2020</v>
      </c>
      <c r="D627" t="str">
        <f>TEXT(Table1[[#This Row],[Order Date]], "mmmm")</f>
        <v>October</v>
      </c>
      <c r="E627" s="16">
        <f>Table1[[#This Row],[Order Quantity]]*Table1[[#This Row],[Unit Price]]</f>
        <v>605.81000000000006</v>
      </c>
      <c r="F627">
        <v>29</v>
      </c>
      <c r="G627" s="16">
        <v>20.89</v>
      </c>
      <c r="H627" t="s">
        <v>8</v>
      </c>
      <c r="I627" t="s">
        <v>284</v>
      </c>
      <c r="J627" t="s">
        <v>23</v>
      </c>
      <c r="K627" t="s">
        <v>11</v>
      </c>
    </row>
    <row r="628" spans="1:11" x14ac:dyDescent="0.45">
      <c r="A628">
        <v>3397</v>
      </c>
      <c r="B628" s="15">
        <v>44004</v>
      </c>
      <c r="C628" t="str">
        <f>TEXT(Table1[[#This Row],[Order Date]], "yyyy")</f>
        <v>2020</v>
      </c>
      <c r="D628" t="str">
        <f>TEXT(Table1[[#This Row],[Order Date]], "mmmm")</f>
        <v>June</v>
      </c>
      <c r="E628" s="16">
        <f>Table1[[#This Row],[Order Quantity]]*Table1[[#This Row],[Unit Price]]</f>
        <v>859.14</v>
      </c>
      <c r="F628">
        <v>43</v>
      </c>
      <c r="G628" s="16">
        <v>19.98</v>
      </c>
      <c r="H628" t="s">
        <v>8</v>
      </c>
      <c r="I628" t="s">
        <v>285</v>
      </c>
      <c r="J628" t="s">
        <v>23</v>
      </c>
      <c r="K628" t="s">
        <v>17</v>
      </c>
    </row>
    <row r="629" spans="1:11" x14ac:dyDescent="0.45">
      <c r="A629">
        <v>3397</v>
      </c>
      <c r="B629" s="15">
        <v>44004</v>
      </c>
      <c r="C629" t="str">
        <f>TEXT(Table1[[#This Row],[Order Date]], "yyyy")</f>
        <v>2020</v>
      </c>
      <c r="D629" t="str">
        <f>TEXT(Table1[[#This Row],[Order Date]], "mmmm")</f>
        <v>June</v>
      </c>
      <c r="E629" s="16">
        <f>Table1[[#This Row],[Order Quantity]]*Table1[[#This Row],[Unit Price]]</f>
        <v>31.68</v>
      </c>
      <c r="F629">
        <v>11</v>
      </c>
      <c r="G629" s="16">
        <v>2.88</v>
      </c>
      <c r="H629" t="s">
        <v>8</v>
      </c>
      <c r="I629" t="s">
        <v>285</v>
      </c>
      <c r="J629" t="s">
        <v>23</v>
      </c>
      <c r="K629" t="s">
        <v>11</v>
      </c>
    </row>
    <row r="630" spans="1:11" x14ac:dyDescent="0.45">
      <c r="A630">
        <v>3458</v>
      </c>
      <c r="B630" s="15">
        <v>44186</v>
      </c>
      <c r="C630" t="str">
        <f>TEXT(Table1[[#This Row],[Order Date]], "yyyy")</f>
        <v>2020</v>
      </c>
      <c r="D630" t="str">
        <f>TEXT(Table1[[#This Row],[Order Date]], "mmmm")</f>
        <v>December</v>
      </c>
      <c r="E630" s="16">
        <f>Table1[[#This Row],[Order Quantity]]*Table1[[#This Row],[Unit Price]]</f>
        <v>626.48</v>
      </c>
      <c r="F630">
        <v>41</v>
      </c>
      <c r="G630" s="16">
        <v>15.28</v>
      </c>
      <c r="H630" t="s">
        <v>8</v>
      </c>
      <c r="I630" t="s">
        <v>287</v>
      </c>
      <c r="J630" t="s">
        <v>13</v>
      </c>
      <c r="K630" t="s">
        <v>17</v>
      </c>
    </row>
    <row r="631" spans="1:11" x14ac:dyDescent="0.45">
      <c r="A631">
        <v>3458</v>
      </c>
      <c r="B631" s="15">
        <v>44186</v>
      </c>
      <c r="C631" t="str">
        <f>TEXT(Table1[[#This Row],[Order Date]], "yyyy")</f>
        <v>2020</v>
      </c>
      <c r="D631" t="str">
        <f>TEXT(Table1[[#This Row],[Order Date]], "mmmm")</f>
        <v>December</v>
      </c>
      <c r="E631" s="16">
        <f>Table1[[#This Row],[Order Quantity]]*Table1[[#This Row],[Unit Price]]</f>
        <v>49.28</v>
      </c>
      <c r="F631">
        <v>28</v>
      </c>
      <c r="G631" s="16">
        <v>1.76</v>
      </c>
      <c r="H631" t="s">
        <v>8</v>
      </c>
      <c r="I631" t="s">
        <v>287</v>
      </c>
      <c r="J631" t="s">
        <v>13</v>
      </c>
      <c r="K631" t="s">
        <v>11</v>
      </c>
    </row>
    <row r="632" spans="1:11" x14ac:dyDescent="0.45">
      <c r="A632">
        <v>3460</v>
      </c>
      <c r="B632" s="15">
        <v>44836</v>
      </c>
      <c r="C632" t="str">
        <f>TEXT(Table1[[#This Row],[Order Date]], "yyyy")</f>
        <v>2022</v>
      </c>
      <c r="D632" t="str">
        <f>TEXT(Table1[[#This Row],[Order Date]], "mmmm")</f>
        <v>October</v>
      </c>
      <c r="E632" s="16">
        <f>Table1[[#This Row],[Order Quantity]]*Table1[[#This Row],[Unit Price]]</f>
        <v>161.46</v>
      </c>
      <c r="F632">
        <v>27</v>
      </c>
      <c r="G632" s="16">
        <v>5.98</v>
      </c>
      <c r="H632" t="s">
        <v>8</v>
      </c>
      <c r="I632" t="s">
        <v>289</v>
      </c>
      <c r="J632" t="s">
        <v>23</v>
      </c>
      <c r="K632" t="s">
        <v>11</v>
      </c>
    </row>
    <row r="633" spans="1:11" x14ac:dyDescent="0.45">
      <c r="A633">
        <v>3461</v>
      </c>
      <c r="B633" s="15">
        <v>44226</v>
      </c>
      <c r="C633" t="str">
        <f>TEXT(Table1[[#This Row],[Order Date]], "yyyy")</f>
        <v>2021</v>
      </c>
      <c r="D633" t="str">
        <f>TEXT(Table1[[#This Row],[Order Date]], "mmmm")</f>
        <v>January</v>
      </c>
      <c r="E633" s="16">
        <f>Table1[[#This Row],[Order Quantity]]*Table1[[#This Row],[Unit Price]]</f>
        <v>2631.53</v>
      </c>
      <c r="F633">
        <v>47</v>
      </c>
      <c r="G633" s="16">
        <v>55.99</v>
      </c>
      <c r="H633" t="s">
        <v>8</v>
      </c>
      <c r="I633" t="s">
        <v>290</v>
      </c>
      <c r="J633" t="s">
        <v>20</v>
      </c>
      <c r="K633" t="s">
        <v>17</v>
      </c>
    </row>
    <row r="634" spans="1:11" x14ac:dyDescent="0.45">
      <c r="A634">
        <v>3461</v>
      </c>
      <c r="B634" s="15">
        <v>44226</v>
      </c>
      <c r="C634" t="str">
        <f>TEXT(Table1[[#This Row],[Order Date]], "yyyy")</f>
        <v>2021</v>
      </c>
      <c r="D634" t="str">
        <f>TEXT(Table1[[#This Row],[Order Date]], "mmmm")</f>
        <v>January</v>
      </c>
      <c r="E634" s="16">
        <f>Table1[[#This Row],[Order Quantity]]*Table1[[#This Row],[Unit Price]]</f>
        <v>4059.6499999999996</v>
      </c>
      <c r="F634">
        <v>35</v>
      </c>
      <c r="G634" s="16">
        <v>115.99</v>
      </c>
      <c r="H634" t="s">
        <v>8</v>
      </c>
      <c r="I634" t="s">
        <v>290</v>
      </c>
      <c r="J634" t="s">
        <v>20</v>
      </c>
      <c r="K634" t="s">
        <v>17</v>
      </c>
    </row>
    <row r="635" spans="1:11" x14ac:dyDescent="0.45">
      <c r="A635">
        <v>3463</v>
      </c>
      <c r="B635" s="15">
        <v>44425</v>
      </c>
      <c r="C635" t="str">
        <f>TEXT(Table1[[#This Row],[Order Date]], "yyyy")</f>
        <v>2021</v>
      </c>
      <c r="D635" t="str">
        <f>TEXT(Table1[[#This Row],[Order Date]], "mmmm")</f>
        <v>August</v>
      </c>
      <c r="E635" s="16">
        <f>Table1[[#This Row],[Order Quantity]]*Table1[[#This Row],[Unit Price]]</f>
        <v>278.64000000000004</v>
      </c>
      <c r="F635">
        <v>43</v>
      </c>
      <c r="G635" s="16">
        <v>6.48</v>
      </c>
      <c r="H635" t="s">
        <v>8</v>
      </c>
      <c r="I635" t="s">
        <v>291</v>
      </c>
      <c r="J635" t="s">
        <v>23</v>
      </c>
      <c r="K635" t="s">
        <v>11</v>
      </c>
    </row>
    <row r="636" spans="1:11" x14ac:dyDescent="0.45">
      <c r="A636">
        <v>3488</v>
      </c>
      <c r="B636" s="15">
        <v>44568</v>
      </c>
      <c r="C636" t="str">
        <f>TEXT(Table1[[#This Row],[Order Date]], "yyyy")</f>
        <v>2022</v>
      </c>
      <c r="D636" t="str">
        <f>TEXT(Table1[[#This Row],[Order Date]], "mmmm")</f>
        <v>January</v>
      </c>
      <c r="E636" s="16">
        <f>Table1[[#This Row],[Order Quantity]]*Table1[[#This Row],[Unit Price]]</f>
        <v>131.88</v>
      </c>
      <c r="F636">
        <v>6</v>
      </c>
      <c r="G636" s="16">
        <v>21.98</v>
      </c>
      <c r="H636" t="s">
        <v>8</v>
      </c>
      <c r="I636" t="s">
        <v>292</v>
      </c>
      <c r="J636" t="s">
        <v>20</v>
      </c>
      <c r="K636" t="s">
        <v>11</v>
      </c>
    </row>
    <row r="637" spans="1:11" x14ac:dyDescent="0.45">
      <c r="A637">
        <v>3492</v>
      </c>
      <c r="B637" s="15">
        <v>44158</v>
      </c>
      <c r="C637" t="str">
        <f>TEXT(Table1[[#This Row],[Order Date]], "yyyy")</f>
        <v>2020</v>
      </c>
      <c r="D637" t="str">
        <f>TEXT(Table1[[#This Row],[Order Date]], "mmmm")</f>
        <v>November</v>
      </c>
      <c r="E637" s="16">
        <f>Table1[[#This Row],[Order Quantity]]*Table1[[#This Row],[Unit Price]]</f>
        <v>2354.8000000000002</v>
      </c>
      <c r="F637">
        <v>35</v>
      </c>
      <c r="G637" s="16">
        <v>67.28</v>
      </c>
      <c r="H637" t="s">
        <v>8</v>
      </c>
      <c r="I637" t="s">
        <v>293</v>
      </c>
      <c r="J637" t="s">
        <v>13</v>
      </c>
      <c r="K637" t="s">
        <v>11</v>
      </c>
    </row>
    <row r="638" spans="1:11" x14ac:dyDescent="0.45">
      <c r="A638">
        <v>3492</v>
      </c>
      <c r="B638" s="15">
        <v>44158</v>
      </c>
      <c r="C638" t="str">
        <f>TEXT(Table1[[#This Row],[Order Date]], "yyyy")</f>
        <v>2020</v>
      </c>
      <c r="D638" t="str">
        <f>TEXT(Table1[[#This Row],[Order Date]], "mmmm")</f>
        <v>November</v>
      </c>
      <c r="E638" s="16">
        <f>Table1[[#This Row],[Order Quantity]]*Table1[[#This Row],[Unit Price]]</f>
        <v>91.74</v>
      </c>
      <c r="F638">
        <v>33</v>
      </c>
      <c r="G638" s="16">
        <v>2.78</v>
      </c>
      <c r="H638" t="s">
        <v>8</v>
      </c>
      <c r="I638" t="s">
        <v>293</v>
      </c>
      <c r="J638" t="s">
        <v>13</v>
      </c>
      <c r="K638" t="s">
        <v>11</v>
      </c>
    </row>
    <row r="639" spans="1:11" x14ac:dyDescent="0.45">
      <c r="A639">
        <v>3493</v>
      </c>
      <c r="B639" s="15">
        <v>44431</v>
      </c>
      <c r="C639" t="str">
        <f>TEXT(Table1[[#This Row],[Order Date]], "yyyy")</f>
        <v>2021</v>
      </c>
      <c r="D639" t="str">
        <f>TEXT(Table1[[#This Row],[Order Date]], "mmmm")</f>
        <v>August</v>
      </c>
      <c r="E639" s="16">
        <f>Table1[[#This Row],[Order Quantity]]*Table1[[#This Row],[Unit Price]]</f>
        <v>7319.0399999999991</v>
      </c>
      <c r="F639">
        <v>48</v>
      </c>
      <c r="G639" s="16">
        <v>152.47999999999999</v>
      </c>
      <c r="H639" t="s">
        <v>8</v>
      </c>
      <c r="I639" t="s">
        <v>294</v>
      </c>
      <c r="J639" t="s">
        <v>20</v>
      </c>
      <c r="K639" t="s">
        <v>17</v>
      </c>
    </row>
    <row r="640" spans="1:11" x14ac:dyDescent="0.45">
      <c r="A640">
        <v>3521</v>
      </c>
      <c r="B640" s="15">
        <v>45224</v>
      </c>
      <c r="C640" t="str">
        <f>TEXT(Table1[[#This Row],[Order Date]], "yyyy")</f>
        <v>2023</v>
      </c>
      <c r="D640" t="str">
        <f>TEXT(Table1[[#This Row],[Order Date]], "mmmm")</f>
        <v>October</v>
      </c>
      <c r="E640" s="16">
        <f>Table1[[#This Row],[Order Quantity]]*Table1[[#This Row],[Unit Price]]</f>
        <v>214</v>
      </c>
      <c r="F640">
        <v>50</v>
      </c>
      <c r="G640" s="16">
        <v>4.28</v>
      </c>
      <c r="H640" t="s">
        <v>8</v>
      </c>
      <c r="I640" t="s">
        <v>295</v>
      </c>
      <c r="J640" t="s">
        <v>20</v>
      </c>
      <c r="K640" t="s">
        <v>11</v>
      </c>
    </row>
    <row r="641" spans="1:11" x14ac:dyDescent="0.45">
      <c r="A641">
        <v>3522</v>
      </c>
      <c r="B641" s="15">
        <v>44099</v>
      </c>
      <c r="C641" t="str">
        <f>TEXT(Table1[[#This Row],[Order Date]], "yyyy")</f>
        <v>2020</v>
      </c>
      <c r="D641" t="str">
        <f>TEXT(Table1[[#This Row],[Order Date]], "mmmm")</f>
        <v>September</v>
      </c>
      <c r="E641" s="16">
        <f>Table1[[#This Row],[Order Quantity]]*Table1[[#This Row],[Unit Price]]</f>
        <v>2012.34</v>
      </c>
      <c r="F641">
        <v>33</v>
      </c>
      <c r="G641" s="16">
        <v>60.98</v>
      </c>
      <c r="H641" t="s">
        <v>8</v>
      </c>
      <c r="I641" t="s">
        <v>197</v>
      </c>
      <c r="J641" t="s">
        <v>23</v>
      </c>
      <c r="K641" t="s">
        <v>11</v>
      </c>
    </row>
    <row r="642" spans="1:11" x14ac:dyDescent="0.45">
      <c r="A642">
        <v>3522</v>
      </c>
      <c r="B642" s="15">
        <v>44099</v>
      </c>
      <c r="C642" t="str">
        <f>TEXT(Table1[[#This Row],[Order Date]], "yyyy")</f>
        <v>2020</v>
      </c>
      <c r="D642" t="str">
        <f>TEXT(Table1[[#This Row],[Order Date]], "mmmm")</f>
        <v>September</v>
      </c>
      <c r="E642" s="16">
        <f>Table1[[#This Row],[Order Quantity]]*Table1[[#This Row],[Unit Price]]</f>
        <v>807.03</v>
      </c>
      <c r="F642">
        <v>27</v>
      </c>
      <c r="G642" s="16">
        <v>29.89</v>
      </c>
      <c r="H642" t="s">
        <v>8</v>
      </c>
      <c r="I642" t="s">
        <v>197</v>
      </c>
      <c r="J642" t="s">
        <v>23</v>
      </c>
      <c r="K642" t="s">
        <v>17</v>
      </c>
    </row>
    <row r="643" spans="1:11" x14ac:dyDescent="0.45">
      <c r="A643">
        <v>3524</v>
      </c>
      <c r="B643" s="15">
        <v>45048</v>
      </c>
      <c r="C643" t="str">
        <f>TEXT(Table1[[#This Row],[Order Date]], "yyyy")</f>
        <v>2023</v>
      </c>
      <c r="D643" t="str">
        <f>TEXT(Table1[[#This Row],[Order Date]], "mmmm")</f>
        <v>May</v>
      </c>
      <c r="E643" s="16">
        <f>Table1[[#This Row],[Order Quantity]]*Table1[[#This Row],[Unit Price]]</f>
        <v>398.37</v>
      </c>
      <c r="F643">
        <v>21</v>
      </c>
      <c r="G643" s="16">
        <v>18.97</v>
      </c>
      <c r="H643" t="s">
        <v>8</v>
      </c>
      <c r="I643" t="s">
        <v>296</v>
      </c>
      <c r="J643" t="s">
        <v>10</v>
      </c>
      <c r="K643" t="s">
        <v>11</v>
      </c>
    </row>
    <row r="644" spans="1:11" x14ac:dyDescent="0.45">
      <c r="A644">
        <v>3525</v>
      </c>
      <c r="B644" s="15">
        <v>44916</v>
      </c>
      <c r="C644" t="str">
        <f>TEXT(Table1[[#This Row],[Order Date]], "yyyy")</f>
        <v>2022</v>
      </c>
      <c r="D644" t="str">
        <f>TEXT(Table1[[#This Row],[Order Date]], "mmmm")</f>
        <v>December</v>
      </c>
      <c r="E644" s="16">
        <f>Table1[[#This Row],[Order Quantity]]*Table1[[#This Row],[Unit Price]]</f>
        <v>105.63999999999999</v>
      </c>
      <c r="F644">
        <v>38</v>
      </c>
      <c r="G644" s="16">
        <v>2.78</v>
      </c>
      <c r="H644" t="s">
        <v>8</v>
      </c>
      <c r="I644" t="s">
        <v>276</v>
      </c>
      <c r="J644" t="s">
        <v>20</v>
      </c>
      <c r="K644" t="s">
        <v>11</v>
      </c>
    </row>
    <row r="645" spans="1:11" x14ac:dyDescent="0.45">
      <c r="A645">
        <v>3526</v>
      </c>
      <c r="B645" s="15">
        <v>44635</v>
      </c>
      <c r="C645" t="str">
        <f>TEXT(Table1[[#This Row],[Order Date]], "yyyy")</f>
        <v>2022</v>
      </c>
      <c r="D645" t="str">
        <f>TEXT(Table1[[#This Row],[Order Date]], "mmmm")</f>
        <v>March</v>
      </c>
      <c r="E645" s="16">
        <f>Table1[[#This Row],[Order Quantity]]*Table1[[#This Row],[Unit Price]]</f>
        <v>241.4</v>
      </c>
      <c r="F645">
        <v>20</v>
      </c>
      <c r="G645" s="16">
        <v>12.07</v>
      </c>
      <c r="H645" t="s">
        <v>8</v>
      </c>
      <c r="I645" t="s">
        <v>297</v>
      </c>
      <c r="J645" t="s">
        <v>10</v>
      </c>
      <c r="K645" t="s">
        <v>15</v>
      </c>
    </row>
    <row r="646" spans="1:11" x14ac:dyDescent="0.45">
      <c r="A646">
        <v>3553</v>
      </c>
      <c r="B646" s="15">
        <v>43968</v>
      </c>
      <c r="C646" t="str">
        <f>TEXT(Table1[[#This Row],[Order Date]], "yyyy")</f>
        <v>2020</v>
      </c>
      <c r="D646" t="str">
        <f>TEXT(Table1[[#This Row],[Order Date]], "mmmm")</f>
        <v>May</v>
      </c>
      <c r="E646" s="16">
        <f>Table1[[#This Row],[Order Quantity]]*Table1[[#This Row],[Unit Price]]</f>
        <v>20.58</v>
      </c>
      <c r="F646">
        <v>7</v>
      </c>
      <c r="G646" s="16">
        <v>2.94</v>
      </c>
      <c r="H646" t="s">
        <v>8</v>
      </c>
      <c r="I646" t="s">
        <v>293</v>
      </c>
      <c r="J646" t="s">
        <v>13</v>
      </c>
      <c r="K646" t="s">
        <v>11</v>
      </c>
    </row>
    <row r="647" spans="1:11" x14ac:dyDescent="0.45">
      <c r="A647">
        <v>3554</v>
      </c>
      <c r="B647" s="15">
        <v>44728</v>
      </c>
      <c r="C647" t="str">
        <f>TEXT(Table1[[#This Row],[Order Date]], "yyyy")</f>
        <v>2022</v>
      </c>
      <c r="D647" t="str">
        <f>TEXT(Table1[[#This Row],[Order Date]], "mmmm")</f>
        <v>June</v>
      </c>
      <c r="E647" s="16">
        <f>Table1[[#This Row],[Order Quantity]]*Table1[[#This Row],[Unit Price]]</f>
        <v>307</v>
      </c>
      <c r="F647">
        <v>25</v>
      </c>
      <c r="G647" s="16">
        <v>12.28</v>
      </c>
      <c r="H647" t="s">
        <v>8</v>
      </c>
      <c r="I647" t="s">
        <v>298</v>
      </c>
      <c r="J647" t="s">
        <v>13</v>
      </c>
      <c r="K647" t="s">
        <v>11</v>
      </c>
    </row>
    <row r="648" spans="1:11" x14ac:dyDescent="0.45">
      <c r="A648">
        <v>3556</v>
      </c>
      <c r="B648" s="15">
        <v>45191</v>
      </c>
      <c r="C648" t="str">
        <f>TEXT(Table1[[#This Row],[Order Date]], "yyyy")</f>
        <v>2023</v>
      </c>
      <c r="D648" t="str">
        <f>TEXT(Table1[[#This Row],[Order Date]], "mmmm")</f>
        <v>September</v>
      </c>
      <c r="E648" s="16">
        <f>Table1[[#This Row],[Order Quantity]]*Table1[[#This Row],[Unit Price]]</f>
        <v>275.52</v>
      </c>
      <c r="F648">
        <v>48</v>
      </c>
      <c r="G648" s="16">
        <v>5.74</v>
      </c>
      <c r="H648" t="s">
        <v>8</v>
      </c>
      <c r="I648" t="s">
        <v>286</v>
      </c>
      <c r="J648" t="s">
        <v>20</v>
      </c>
      <c r="K648" t="s">
        <v>11</v>
      </c>
    </row>
    <row r="649" spans="1:11" x14ac:dyDescent="0.45">
      <c r="A649">
        <v>3556</v>
      </c>
      <c r="B649" s="15">
        <v>45191</v>
      </c>
      <c r="C649" t="str">
        <f>TEXT(Table1[[#This Row],[Order Date]], "yyyy")</f>
        <v>2023</v>
      </c>
      <c r="D649" t="str">
        <f>TEXT(Table1[[#This Row],[Order Date]], "mmmm")</f>
        <v>September</v>
      </c>
      <c r="E649" s="16">
        <f>Table1[[#This Row],[Order Quantity]]*Table1[[#This Row],[Unit Price]]</f>
        <v>5257.84</v>
      </c>
      <c r="F649">
        <v>41</v>
      </c>
      <c r="G649" s="16">
        <v>128.24</v>
      </c>
      <c r="H649" t="s">
        <v>8</v>
      </c>
      <c r="I649" t="s">
        <v>286</v>
      </c>
      <c r="J649" t="s">
        <v>20</v>
      </c>
      <c r="K649" t="s">
        <v>15</v>
      </c>
    </row>
    <row r="650" spans="1:11" x14ac:dyDescent="0.45">
      <c r="A650">
        <v>3585</v>
      </c>
      <c r="B650" s="15">
        <v>44157</v>
      </c>
      <c r="C650" t="str">
        <f>TEXT(Table1[[#This Row],[Order Date]], "yyyy")</f>
        <v>2020</v>
      </c>
      <c r="D650" t="str">
        <f>TEXT(Table1[[#This Row],[Order Date]], "mmmm")</f>
        <v>November</v>
      </c>
      <c r="E650" s="16">
        <f>Table1[[#This Row],[Order Quantity]]*Table1[[#This Row],[Unit Price]]</f>
        <v>271.62</v>
      </c>
      <c r="F650">
        <v>27</v>
      </c>
      <c r="G650" s="16">
        <v>10.06</v>
      </c>
      <c r="H650" t="s">
        <v>8</v>
      </c>
      <c r="I650" t="s">
        <v>300</v>
      </c>
      <c r="J650" t="s">
        <v>13</v>
      </c>
      <c r="K650" t="s">
        <v>11</v>
      </c>
    </row>
    <row r="651" spans="1:11" x14ac:dyDescent="0.45">
      <c r="A651">
        <v>3585</v>
      </c>
      <c r="B651" s="15">
        <v>44157</v>
      </c>
      <c r="C651" t="str">
        <f>TEXT(Table1[[#This Row],[Order Date]], "yyyy")</f>
        <v>2020</v>
      </c>
      <c r="D651" t="str">
        <f>TEXT(Table1[[#This Row],[Order Date]], "mmmm")</f>
        <v>November</v>
      </c>
      <c r="E651" s="16">
        <f>Table1[[#This Row],[Order Quantity]]*Table1[[#This Row],[Unit Price]]</f>
        <v>57.12</v>
      </c>
      <c r="F651">
        <v>34</v>
      </c>
      <c r="G651" s="16">
        <v>1.68</v>
      </c>
      <c r="H651" t="s">
        <v>8</v>
      </c>
      <c r="I651" t="s">
        <v>300</v>
      </c>
      <c r="J651" t="s">
        <v>13</v>
      </c>
      <c r="K651" t="s">
        <v>11</v>
      </c>
    </row>
    <row r="652" spans="1:11" x14ac:dyDescent="0.45">
      <c r="A652">
        <v>3586</v>
      </c>
      <c r="B652" s="15">
        <v>44534</v>
      </c>
      <c r="C652" t="str">
        <f>TEXT(Table1[[#This Row],[Order Date]], "yyyy")</f>
        <v>2021</v>
      </c>
      <c r="D652" t="str">
        <f>TEXT(Table1[[#This Row],[Order Date]], "mmmm")</f>
        <v>December</v>
      </c>
      <c r="E652" s="16">
        <f>Table1[[#This Row],[Order Quantity]]*Table1[[#This Row],[Unit Price]]</f>
        <v>402.56</v>
      </c>
      <c r="F652">
        <v>32</v>
      </c>
      <c r="G652" s="16">
        <v>12.58</v>
      </c>
      <c r="H652" t="s">
        <v>8</v>
      </c>
      <c r="I652" t="s">
        <v>301</v>
      </c>
      <c r="J652" t="s">
        <v>20</v>
      </c>
      <c r="K652" t="s">
        <v>15</v>
      </c>
    </row>
    <row r="653" spans="1:11" x14ac:dyDescent="0.45">
      <c r="A653">
        <v>3586</v>
      </c>
      <c r="B653" s="15">
        <v>44534</v>
      </c>
      <c r="C653" t="str">
        <f>TEXT(Table1[[#This Row],[Order Date]], "yyyy")</f>
        <v>2021</v>
      </c>
      <c r="D653" t="str">
        <f>TEXT(Table1[[#This Row],[Order Date]], "mmmm")</f>
        <v>December</v>
      </c>
      <c r="E653" s="16">
        <f>Table1[[#This Row],[Order Quantity]]*Table1[[#This Row],[Unit Price]]</f>
        <v>444.54</v>
      </c>
      <c r="F653">
        <v>31</v>
      </c>
      <c r="G653" s="16">
        <v>14.34</v>
      </c>
      <c r="H653" t="s">
        <v>8</v>
      </c>
      <c r="I653" t="s">
        <v>301</v>
      </c>
      <c r="J653" t="s">
        <v>20</v>
      </c>
      <c r="K653" t="s">
        <v>15</v>
      </c>
    </row>
    <row r="654" spans="1:11" x14ac:dyDescent="0.45">
      <c r="A654">
        <v>3588</v>
      </c>
      <c r="B654" s="15">
        <v>44638</v>
      </c>
      <c r="C654" t="str">
        <f>TEXT(Table1[[#This Row],[Order Date]], "yyyy")</f>
        <v>2022</v>
      </c>
      <c r="D654" t="str">
        <f>TEXT(Table1[[#This Row],[Order Date]], "mmmm")</f>
        <v>March</v>
      </c>
      <c r="E654" s="16">
        <f>Table1[[#This Row],[Order Quantity]]*Table1[[#This Row],[Unit Price]]</f>
        <v>364.14</v>
      </c>
      <c r="F654">
        <v>42</v>
      </c>
      <c r="G654" s="16">
        <v>8.67</v>
      </c>
      <c r="H654" t="s">
        <v>8</v>
      </c>
      <c r="I654" t="s">
        <v>294</v>
      </c>
      <c r="J654" t="s">
        <v>20</v>
      </c>
      <c r="K654" t="s">
        <v>11</v>
      </c>
    </row>
    <row r="655" spans="1:11" x14ac:dyDescent="0.45">
      <c r="A655">
        <v>3588</v>
      </c>
      <c r="B655" s="15">
        <v>44638</v>
      </c>
      <c r="C655" t="str">
        <f>TEXT(Table1[[#This Row],[Order Date]], "yyyy")</f>
        <v>2022</v>
      </c>
      <c r="D655" t="str">
        <f>TEXT(Table1[[#This Row],[Order Date]], "mmmm")</f>
        <v>March</v>
      </c>
      <c r="E655" s="16">
        <f>Table1[[#This Row],[Order Quantity]]*Table1[[#This Row],[Unit Price]]</f>
        <v>1553.5800000000002</v>
      </c>
      <c r="F655">
        <v>21</v>
      </c>
      <c r="G655" s="16">
        <v>73.98</v>
      </c>
      <c r="H655" t="s">
        <v>8</v>
      </c>
      <c r="I655" t="s">
        <v>294</v>
      </c>
      <c r="J655" t="s">
        <v>20</v>
      </c>
      <c r="K655" t="s">
        <v>17</v>
      </c>
    </row>
    <row r="656" spans="1:11" x14ac:dyDescent="0.45">
      <c r="A656">
        <v>3588</v>
      </c>
      <c r="B656" s="15">
        <v>44638</v>
      </c>
      <c r="C656" t="str">
        <f>TEXT(Table1[[#This Row],[Order Date]], "yyyy")</f>
        <v>2022</v>
      </c>
      <c r="D656" t="str">
        <f>TEXT(Table1[[#This Row],[Order Date]], "mmmm")</f>
        <v>March</v>
      </c>
      <c r="E656" s="16">
        <f>Table1[[#This Row],[Order Quantity]]*Table1[[#This Row],[Unit Price]]</f>
        <v>433.02</v>
      </c>
      <c r="F656">
        <v>14</v>
      </c>
      <c r="G656" s="16">
        <v>30.93</v>
      </c>
      <c r="H656" t="s">
        <v>8</v>
      </c>
      <c r="I656" t="s">
        <v>294</v>
      </c>
      <c r="J656" t="s">
        <v>20</v>
      </c>
      <c r="K656" t="s">
        <v>15</v>
      </c>
    </row>
    <row r="657" spans="1:11" x14ac:dyDescent="0.45">
      <c r="A657">
        <v>3589</v>
      </c>
      <c r="B657" s="15">
        <v>43976</v>
      </c>
      <c r="C657" t="str">
        <f>TEXT(Table1[[#This Row],[Order Date]], "yyyy")</f>
        <v>2020</v>
      </c>
      <c r="D657" t="str">
        <f>TEXT(Table1[[#This Row],[Order Date]], "mmmm")</f>
        <v>May</v>
      </c>
      <c r="E657" s="16">
        <f>Table1[[#This Row],[Order Quantity]]*Table1[[#This Row],[Unit Price]]</f>
        <v>72.45</v>
      </c>
      <c r="F657">
        <v>23</v>
      </c>
      <c r="G657" s="16">
        <v>3.15</v>
      </c>
      <c r="H657" t="s">
        <v>8</v>
      </c>
      <c r="I657" t="s">
        <v>302</v>
      </c>
      <c r="J657" t="s">
        <v>20</v>
      </c>
      <c r="K657" t="s">
        <v>11</v>
      </c>
    </row>
    <row r="658" spans="1:11" x14ac:dyDescent="0.45">
      <c r="A658">
        <v>3621</v>
      </c>
      <c r="B658" s="15">
        <v>44321</v>
      </c>
      <c r="C658" t="str">
        <f>TEXT(Table1[[#This Row],[Order Date]], "yyyy")</f>
        <v>2021</v>
      </c>
      <c r="D658" t="str">
        <f>TEXT(Table1[[#This Row],[Order Date]], "mmmm")</f>
        <v>May</v>
      </c>
      <c r="E658" s="16">
        <f>Table1[[#This Row],[Order Quantity]]*Table1[[#This Row],[Unit Price]]</f>
        <v>78.12</v>
      </c>
      <c r="F658">
        <v>14</v>
      </c>
      <c r="G658" s="16">
        <v>5.58</v>
      </c>
      <c r="H658" t="s">
        <v>8</v>
      </c>
      <c r="I658" t="s">
        <v>216</v>
      </c>
      <c r="J658" t="s">
        <v>10</v>
      </c>
      <c r="K658" t="s">
        <v>11</v>
      </c>
    </row>
    <row r="659" spans="1:11" x14ac:dyDescent="0.45">
      <c r="A659">
        <v>3622</v>
      </c>
      <c r="B659" s="15">
        <v>44891</v>
      </c>
      <c r="C659" t="str">
        <f>TEXT(Table1[[#This Row],[Order Date]], "yyyy")</f>
        <v>2022</v>
      </c>
      <c r="D659" t="str">
        <f>TEXT(Table1[[#This Row],[Order Date]], "mmmm")</f>
        <v>November</v>
      </c>
      <c r="E659" s="16">
        <f>Table1[[#This Row],[Order Quantity]]*Table1[[#This Row],[Unit Price]]</f>
        <v>67.84</v>
      </c>
      <c r="F659">
        <v>16</v>
      </c>
      <c r="G659" s="16">
        <v>4.24</v>
      </c>
      <c r="H659" t="s">
        <v>8</v>
      </c>
      <c r="I659" t="s">
        <v>304</v>
      </c>
      <c r="J659" t="s">
        <v>23</v>
      </c>
      <c r="K659" t="s">
        <v>11</v>
      </c>
    </row>
    <row r="660" spans="1:11" x14ac:dyDescent="0.45">
      <c r="A660">
        <v>3648</v>
      </c>
      <c r="B660" s="15">
        <v>44363</v>
      </c>
      <c r="C660" t="str">
        <f>TEXT(Table1[[#This Row],[Order Date]], "yyyy")</f>
        <v>2021</v>
      </c>
      <c r="D660" t="str">
        <f>TEXT(Table1[[#This Row],[Order Date]], "mmmm")</f>
        <v>June</v>
      </c>
      <c r="E660" s="16">
        <f>Table1[[#This Row],[Order Quantity]]*Table1[[#This Row],[Unit Price]]</f>
        <v>144.9</v>
      </c>
      <c r="F660">
        <v>46</v>
      </c>
      <c r="G660" s="16">
        <v>3.15</v>
      </c>
      <c r="H660" t="s">
        <v>8</v>
      </c>
      <c r="I660" t="s">
        <v>242</v>
      </c>
      <c r="J660" t="s">
        <v>20</v>
      </c>
      <c r="K660" t="s">
        <v>11</v>
      </c>
    </row>
    <row r="661" spans="1:11" x14ac:dyDescent="0.45">
      <c r="A661">
        <v>3648</v>
      </c>
      <c r="B661" s="15">
        <v>44363</v>
      </c>
      <c r="C661" t="str">
        <f>TEXT(Table1[[#This Row],[Order Date]], "yyyy")</f>
        <v>2021</v>
      </c>
      <c r="D661" t="str">
        <f>TEXT(Table1[[#This Row],[Order Date]], "mmmm")</f>
        <v>June</v>
      </c>
      <c r="E661" s="16">
        <f>Table1[[#This Row],[Order Quantity]]*Table1[[#This Row],[Unit Price]]</f>
        <v>6663.66</v>
      </c>
      <c r="F661">
        <v>34</v>
      </c>
      <c r="G661" s="16">
        <v>195.99</v>
      </c>
      <c r="H661" t="s">
        <v>8</v>
      </c>
      <c r="I661" t="s">
        <v>242</v>
      </c>
      <c r="J661" t="s">
        <v>20</v>
      </c>
      <c r="K661" t="s">
        <v>17</v>
      </c>
    </row>
    <row r="662" spans="1:11" x14ac:dyDescent="0.45">
      <c r="A662">
        <v>3649</v>
      </c>
      <c r="B662" s="15">
        <v>44017</v>
      </c>
      <c r="C662" t="str">
        <f>TEXT(Table1[[#This Row],[Order Date]], "yyyy")</f>
        <v>2020</v>
      </c>
      <c r="D662" t="str">
        <f>TEXT(Table1[[#This Row],[Order Date]], "mmmm")</f>
        <v>July</v>
      </c>
      <c r="E662" s="16">
        <f>Table1[[#This Row],[Order Quantity]]*Table1[[#This Row],[Unit Price]]</f>
        <v>71.040000000000006</v>
      </c>
      <c r="F662">
        <v>8</v>
      </c>
      <c r="G662" s="16">
        <v>8.8800000000000008</v>
      </c>
      <c r="H662" t="s">
        <v>8</v>
      </c>
      <c r="I662" t="s">
        <v>37</v>
      </c>
      <c r="J662" t="s">
        <v>20</v>
      </c>
      <c r="K662" t="s">
        <v>11</v>
      </c>
    </row>
    <row r="663" spans="1:11" x14ac:dyDescent="0.45">
      <c r="A663">
        <v>3649</v>
      </c>
      <c r="B663" s="15">
        <v>44017</v>
      </c>
      <c r="C663" t="str">
        <f>TEXT(Table1[[#This Row],[Order Date]], "yyyy")</f>
        <v>2020</v>
      </c>
      <c r="D663" t="str">
        <f>TEXT(Table1[[#This Row],[Order Date]], "mmmm")</f>
        <v>July</v>
      </c>
      <c r="E663" s="16">
        <f>Table1[[#This Row],[Order Quantity]]*Table1[[#This Row],[Unit Price]]</f>
        <v>74.88</v>
      </c>
      <c r="F663">
        <v>26</v>
      </c>
      <c r="G663" s="16">
        <v>2.88</v>
      </c>
      <c r="H663" t="s">
        <v>8</v>
      </c>
      <c r="I663" t="s">
        <v>37</v>
      </c>
      <c r="J663" t="s">
        <v>20</v>
      </c>
      <c r="K663" t="s">
        <v>11</v>
      </c>
    </row>
    <row r="664" spans="1:11" x14ac:dyDescent="0.45">
      <c r="A664">
        <v>3653</v>
      </c>
      <c r="B664" s="15">
        <v>43916</v>
      </c>
      <c r="C664" t="str">
        <f>TEXT(Table1[[#This Row],[Order Date]], "yyyy")</f>
        <v>2020</v>
      </c>
      <c r="D664" t="str">
        <f>TEXT(Table1[[#This Row],[Order Date]], "mmmm")</f>
        <v>March</v>
      </c>
      <c r="E664" s="16">
        <f>Table1[[#This Row],[Order Quantity]]*Table1[[#This Row],[Unit Price]]</f>
        <v>273.88</v>
      </c>
      <c r="F664">
        <v>41</v>
      </c>
      <c r="G664" s="16">
        <v>6.68</v>
      </c>
      <c r="H664" t="s">
        <v>8</v>
      </c>
      <c r="I664" t="s">
        <v>306</v>
      </c>
      <c r="J664" t="s">
        <v>13</v>
      </c>
      <c r="K664" t="s">
        <v>11</v>
      </c>
    </row>
    <row r="665" spans="1:11" x14ac:dyDescent="0.45">
      <c r="A665">
        <v>3654</v>
      </c>
      <c r="B665" s="15">
        <v>45079</v>
      </c>
      <c r="C665" t="str">
        <f>TEXT(Table1[[#This Row],[Order Date]], "yyyy")</f>
        <v>2023</v>
      </c>
      <c r="D665" t="str">
        <f>TEXT(Table1[[#This Row],[Order Date]], "mmmm")</f>
        <v>June</v>
      </c>
      <c r="E665" s="16">
        <f>Table1[[#This Row],[Order Quantity]]*Table1[[#This Row],[Unit Price]]</f>
        <v>85.28</v>
      </c>
      <c r="F665">
        <v>41</v>
      </c>
      <c r="G665" s="16">
        <v>2.08</v>
      </c>
      <c r="H665" t="s">
        <v>8</v>
      </c>
      <c r="I665" t="s">
        <v>133</v>
      </c>
      <c r="J665" t="s">
        <v>13</v>
      </c>
      <c r="K665" t="s">
        <v>15</v>
      </c>
    </row>
    <row r="666" spans="1:11" x14ac:dyDescent="0.45">
      <c r="A666">
        <v>3654</v>
      </c>
      <c r="B666" s="15">
        <v>45079</v>
      </c>
      <c r="C666" t="str">
        <f>TEXT(Table1[[#This Row],[Order Date]], "yyyy")</f>
        <v>2023</v>
      </c>
      <c r="D666" t="str">
        <f>TEXT(Table1[[#This Row],[Order Date]], "mmmm")</f>
        <v>June</v>
      </c>
      <c r="E666" s="16">
        <f>Table1[[#This Row],[Order Quantity]]*Table1[[#This Row],[Unit Price]]</f>
        <v>7959.9</v>
      </c>
      <c r="F666">
        <v>39</v>
      </c>
      <c r="G666" s="16">
        <v>204.1</v>
      </c>
      <c r="H666" t="s">
        <v>8</v>
      </c>
      <c r="I666" t="s">
        <v>133</v>
      </c>
      <c r="J666" t="s">
        <v>13</v>
      </c>
      <c r="K666" t="s">
        <v>17</v>
      </c>
    </row>
    <row r="667" spans="1:11" x14ac:dyDescent="0.45">
      <c r="A667">
        <v>3655</v>
      </c>
      <c r="B667" s="15">
        <v>45204</v>
      </c>
      <c r="C667" t="str">
        <f>TEXT(Table1[[#This Row],[Order Date]], "yyyy")</f>
        <v>2023</v>
      </c>
      <c r="D667" t="str">
        <f>TEXT(Table1[[#This Row],[Order Date]], "mmmm")</f>
        <v>October</v>
      </c>
      <c r="E667" s="16">
        <f>Table1[[#This Row],[Order Quantity]]*Table1[[#This Row],[Unit Price]]</f>
        <v>47.97</v>
      </c>
      <c r="F667">
        <v>3</v>
      </c>
      <c r="G667" s="16">
        <v>15.99</v>
      </c>
      <c r="H667" t="s">
        <v>8</v>
      </c>
      <c r="I667" t="s">
        <v>64</v>
      </c>
      <c r="J667" t="s">
        <v>10</v>
      </c>
      <c r="K667" t="s">
        <v>11</v>
      </c>
    </row>
    <row r="668" spans="1:11" x14ac:dyDescent="0.45">
      <c r="A668">
        <v>3655</v>
      </c>
      <c r="B668" s="15">
        <v>45204</v>
      </c>
      <c r="C668" t="str">
        <f>TEXT(Table1[[#This Row],[Order Date]], "yyyy")</f>
        <v>2023</v>
      </c>
      <c r="D668" t="str">
        <f>TEXT(Table1[[#This Row],[Order Date]], "mmmm")</f>
        <v>October</v>
      </c>
      <c r="E668" s="16">
        <f>Table1[[#This Row],[Order Quantity]]*Table1[[#This Row],[Unit Price]]</f>
        <v>3023.7599999999998</v>
      </c>
      <c r="F668">
        <v>24</v>
      </c>
      <c r="G668" s="16">
        <v>125.99</v>
      </c>
      <c r="H668" t="s">
        <v>8</v>
      </c>
      <c r="I668" t="s">
        <v>64</v>
      </c>
      <c r="J668" t="s">
        <v>10</v>
      </c>
      <c r="K668" t="s">
        <v>17</v>
      </c>
    </row>
    <row r="669" spans="1:11" x14ac:dyDescent="0.45">
      <c r="A669">
        <v>3680</v>
      </c>
      <c r="B669" s="15">
        <v>45269</v>
      </c>
      <c r="C669" t="str">
        <f>TEXT(Table1[[#This Row],[Order Date]], "yyyy")</f>
        <v>2023</v>
      </c>
      <c r="D669" t="str">
        <f>TEXT(Table1[[#This Row],[Order Date]], "mmmm")</f>
        <v>December</v>
      </c>
      <c r="E669" s="16">
        <f>Table1[[#This Row],[Order Quantity]]*Table1[[#This Row],[Unit Price]]</f>
        <v>174.96</v>
      </c>
      <c r="F669">
        <v>27</v>
      </c>
      <c r="G669" s="16">
        <v>6.48</v>
      </c>
      <c r="H669" t="s">
        <v>8</v>
      </c>
      <c r="I669" t="s">
        <v>307</v>
      </c>
      <c r="J669" t="s">
        <v>13</v>
      </c>
      <c r="K669" t="s">
        <v>11</v>
      </c>
    </row>
    <row r="670" spans="1:11" x14ac:dyDescent="0.45">
      <c r="A670">
        <v>3685</v>
      </c>
      <c r="B670" s="15">
        <v>44942</v>
      </c>
      <c r="C670" t="str">
        <f>TEXT(Table1[[#This Row],[Order Date]], "yyyy")</f>
        <v>2023</v>
      </c>
      <c r="D670" t="str">
        <f>TEXT(Table1[[#This Row],[Order Date]], "mmmm")</f>
        <v>January</v>
      </c>
      <c r="E670" s="16">
        <f>Table1[[#This Row],[Order Quantity]]*Table1[[#This Row],[Unit Price]]</f>
        <v>95.11999999999999</v>
      </c>
      <c r="F670">
        <v>29</v>
      </c>
      <c r="G670" s="16">
        <v>3.28</v>
      </c>
      <c r="H670" t="s">
        <v>8</v>
      </c>
      <c r="I670" t="s">
        <v>115</v>
      </c>
      <c r="J670" t="s">
        <v>10</v>
      </c>
      <c r="K670" t="s">
        <v>11</v>
      </c>
    </row>
    <row r="671" spans="1:11" x14ac:dyDescent="0.45">
      <c r="A671">
        <v>3687</v>
      </c>
      <c r="B671" s="15">
        <v>44229</v>
      </c>
      <c r="C671" t="str">
        <f>TEXT(Table1[[#This Row],[Order Date]], "yyyy")</f>
        <v>2021</v>
      </c>
      <c r="D671" t="str">
        <f>TEXT(Table1[[#This Row],[Order Date]], "mmmm")</f>
        <v>February</v>
      </c>
      <c r="E671" s="16">
        <f>Table1[[#This Row],[Order Quantity]]*Table1[[#This Row],[Unit Price]]</f>
        <v>82.25</v>
      </c>
      <c r="F671">
        <v>25</v>
      </c>
      <c r="G671" s="16">
        <v>3.29</v>
      </c>
      <c r="H671" t="s">
        <v>8</v>
      </c>
      <c r="I671" t="s">
        <v>308</v>
      </c>
      <c r="J671" t="s">
        <v>20</v>
      </c>
      <c r="K671" t="s">
        <v>11</v>
      </c>
    </row>
    <row r="672" spans="1:11" x14ac:dyDescent="0.45">
      <c r="A672">
        <v>3746</v>
      </c>
      <c r="B672" s="15">
        <v>44084</v>
      </c>
      <c r="C672" t="str">
        <f>TEXT(Table1[[#This Row],[Order Date]], "yyyy")</f>
        <v>2020</v>
      </c>
      <c r="D672" t="str">
        <f>TEXT(Table1[[#This Row],[Order Date]], "mmmm")</f>
        <v>September</v>
      </c>
      <c r="E672" s="16">
        <f>Table1[[#This Row],[Order Quantity]]*Table1[[#This Row],[Unit Price]]</f>
        <v>1623.86</v>
      </c>
      <c r="F672">
        <v>14</v>
      </c>
      <c r="G672" s="16">
        <v>115.99</v>
      </c>
      <c r="H672" t="s">
        <v>8</v>
      </c>
      <c r="I672" t="s">
        <v>310</v>
      </c>
      <c r="J672" t="s">
        <v>13</v>
      </c>
      <c r="K672" t="s">
        <v>17</v>
      </c>
    </row>
    <row r="673" spans="1:11" x14ac:dyDescent="0.45">
      <c r="A673">
        <v>3746</v>
      </c>
      <c r="B673" s="15">
        <v>44084</v>
      </c>
      <c r="C673" t="str">
        <f>TEXT(Table1[[#This Row],[Order Date]], "yyyy")</f>
        <v>2020</v>
      </c>
      <c r="D673" t="str">
        <f>TEXT(Table1[[#This Row],[Order Date]], "mmmm")</f>
        <v>September</v>
      </c>
      <c r="E673" s="16">
        <f>Table1[[#This Row],[Order Quantity]]*Table1[[#This Row],[Unit Price]]</f>
        <v>227.24</v>
      </c>
      <c r="F673">
        <v>38</v>
      </c>
      <c r="G673" s="16">
        <v>5.98</v>
      </c>
      <c r="H673" t="s">
        <v>8</v>
      </c>
      <c r="I673" t="s">
        <v>310</v>
      </c>
      <c r="J673" t="s">
        <v>13</v>
      </c>
      <c r="K673" t="s">
        <v>11</v>
      </c>
    </row>
    <row r="674" spans="1:11" x14ac:dyDescent="0.45">
      <c r="A674">
        <v>3749</v>
      </c>
      <c r="B674" s="15">
        <v>44615</v>
      </c>
      <c r="C674" t="str">
        <f>TEXT(Table1[[#This Row],[Order Date]], "yyyy")</f>
        <v>2022</v>
      </c>
      <c r="D674" t="str">
        <f>TEXT(Table1[[#This Row],[Order Date]], "mmmm")</f>
        <v>February</v>
      </c>
      <c r="E674" s="16">
        <f>Table1[[#This Row],[Order Quantity]]*Table1[[#This Row],[Unit Price]]</f>
        <v>350.19</v>
      </c>
      <c r="F674">
        <v>27</v>
      </c>
      <c r="G674" s="16">
        <v>12.97</v>
      </c>
      <c r="H674" t="s">
        <v>8</v>
      </c>
      <c r="I674" t="s">
        <v>311</v>
      </c>
      <c r="J674" t="s">
        <v>23</v>
      </c>
      <c r="K674" t="s">
        <v>11</v>
      </c>
    </row>
    <row r="675" spans="1:11" x14ac:dyDescent="0.45">
      <c r="A675">
        <v>3750</v>
      </c>
      <c r="B675" s="15">
        <v>44680</v>
      </c>
      <c r="C675" t="str">
        <f>TEXT(Table1[[#This Row],[Order Date]], "yyyy")</f>
        <v>2022</v>
      </c>
      <c r="D675" t="str">
        <f>TEXT(Table1[[#This Row],[Order Date]], "mmmm")</f>
        <v>April</v>
      </c>
      <c r="E675" s="16">
        <f>Table1[[#This Row],[Order Quantity]]*Table1[[#This Row],[Unit Price]]</f>
        <v>71.760000000000005</v>
      </c>
      <c r="F675">
        <v>12</v>
      </c>
      <c r="G675" s="16">
        <v>5.98</v>
      </c>
      <c r="H675" t="s">
        <v>8</v>
      </c>
      <c r="I675" t="s">
        <v>132</v>
      </c>
      <c r="J675" t="s">
        <v>10</v>
      </c>
      <c r="K675" t="s">
        <v>11</v>
      </c>
    </row>
    <row r="676" spans="1:11" x14ac:dyDescent="0.45">
      <c r="A676">
        <v>3778</v>
      </c>
      <c r="B676" s="15">
        <v>44341</v>
      </c>
      <c r="C676" t="str">
        <f>TEXT(Table1[[#This Row],[Order Date]], "yyyy")</f>
        <v>2021</v>
      </c>
      <c r="D676" t="str">
        <f>TEXT(Table1[[#This Row],[Order Date]], "mmmm")</f>
        <v>May</v>
      </c>
      <c r="E676" s="16">
        <f>Table1[[#This Row],[Order Quantity]]*Table1[[#This Row],[Unit Price]]</f>
        <v>282.88</v>
      </c>
      <c r="F676">
        <v>34</v>
      </c>
      <c r="G676" s="16">
        <v>8.32</v>
      </c>
      <c r="H676" t="s">
        <v>8</v>
      </c>
      <c r="I676" t="s">
        <v>312</v>
      </c>
      <c r="J676" t="s">
        <v>20</v>
      </c>
      <c r="K676" t="s">
        <v>17</v>
      </c>
    </row>
    <row r="677" spans="1:11" x14ac:dyDescent="0.45">
      <c r="A677">
        <v>3778</v>
      </c>
      <c r="B677" s="15">
        <v>44341</v>
      </c>
      <c r="C677" t="str">
        <f>TEXT(Table1[[#This Row],[Order Date]], "yyyy")</f>
        <v>2021</v>
      </c>
      <c r="D677" t="str">
        <f>TEXT(Table1[[#This Row],[Order Date]], "mmmm")</f>
        <v>May</v>
      </c>
      <c r="E677" s="16">
        <f>Table1[[#This Row],[Order Quantity]]*Table1[[#This Row],[Unit Price]]</f>
        <v>542.28</v>
      </c>
      <c r="F677">
        <v>12</v>
      </c>
      <c r="G677" s="16">
        <v>45.19</v>
      </c>
      <c r="H677" t="s">
        <v>8</v>
      </c>
      <c r="I677" t="s">
        <v>312</v>
      </c>
      <c r="J677" t="s">
        <v>20</v>
      </c>
      <c r="K677" t="s">
        <v>17</v>
      </c>
    </row>
    <row r="678" spans="1:11" x14ac:dyDescent="0.45">
      <c r="A678">
        <v>3778</v>
      </c>
      <c r="B678" s="15">
        <v>44341</v>
      </c>
      <c r="C678" t="str">
        <f>TEXT(Table1[[#This Row],[Order Date]], "yyyy")</f>
        <v>2021</v>
      </c>
      <c r="D678" t="str">
        <f>TEXT(Table1[[#This Row],[Order Date]], "mmmm")</f>
        <v>May</v>
      </c>
      <c r="E678" s="16">
        <f>Table1[[#This Row],[Order Quantity]]*Table1[[#This Row],[Unit Price]]</f>
        <v>20.04</v>
      </c>
      <c r="F678">
        <v>3</v>
      </c>
      <c r="G678" s="16">
        <v>6.68</v>
      </c>
      <c r="H678" t="s">
        <v>8</v>
      </c>
      <c r="I678" t="s">
        <v>312</v>
      </c>
      <c r="J678" t="s">
        <v>20</v>
      </c>
      <c r="K678" t="s">
        <v>11</v>
      </c>
    </row>
    <row r="679" spans="1:11" x14ac:dyDescent="0.45">
      <c r="A679">
        <v>3778</v>
      </c>
      <c r="B679" s="15">
        <v>44341</v>
      </c>
      <c r="C679" t="str">
        <f>TEXT(Table1[[#This Row],[Order Date]], "yyyy")</f>
        <v>2021</v>
      </c>
      <c r="D679" t="str">
        <f>TEXT(Table1[[#This Row],[Order Date]], "mmmm")</f>
        <v>May</v>
      </c>
      <c r="E679" s="16">
        <f>Table1[[#This Row],[Order Quantity]]*Table1[[#This Row],[Unit Price]]</f>
        <v>5983.66</v>
      </c>
      <c r="F679">
        <v>34</v>
      </c>
      <c r="G679" s="16">
        <v>175.99</v>
      </c>
      <c r="H679" t="s">
        <v>8</v>
      </c>
      <c r="I679" t="s">
        <v>312</v>
      </c>
      <c r="J679" t="s">
        <v>20</v>
      </c>
      <c r="K679" t="s">
        <v>17</v>
      </c>
    </row>
    <row r="680" spans="1:11" x14ac:dyDescent="0.45">
      <c r="A680">
        <v>3783</v>
      </c>
      <c r="B680" s="15">
        <v>44535</v>
      </c>
      <c r="C680" t="str">
        <f>TEXT(Table1[[#This Row],[Order Date]], "yyyy")</f>
        <v>2021</v>
      </c>
      <c r="D680" t="str">
        <f>TEXT(Table1[[#This Row],[Order Date]], "mmmm")</f>
        <v>December</v>
      </c>
      <c r="E680" s="16">
        <f>Table1[[#This Row],[Order Quantity]]*Table1[[#This Row],[Unit Price]]</f>
        <v>89.32</v>
      </c>
      <c r="F680">
        <v>11</v>
      </c>
      <c r="G680" s="16">
        <v>8.1199999999999992</v>
      </c>
      <c r="H680" t="s">
        <v>8</v>
      </c>
      <c r="I680" t="s">
        <v>24</v>
      </c>
      <c r="J680" t="s">
        <v>13</v>
      </c>
      <c r="K680" t="s">
        <v>17</v>
      </c>
    </row>
    <row r="681" spans="1:11" x14ac:dyDescent="0.45">
      <c r="A681">
        <v>3783</v>
      </c>
      <c r="B681" s="15">
        <v>44535</v>
      </c>
      <c r="C681" t="str">
        <f>TEXT(Table1[[#This Row],[Order Date]], "yyyy")</f>
        <v>2021</v>
      </c>
      <c r="D681" t="str">
        <f>TEXT(Table1[[#This Row],[Order Date]], "mmmm")</f>
        <v>December</v>
      </c>
      <c r="E681" s="16">
        <f>Table1[[#This Row],[Order Quantity]]*Table1[[#This Row],[Unit Price]]</f>
        <v>259.20000000000005</v>
      </c>
      <c r="F681">
        <v>40</v>
      </c>
      <c r="G681" s="16">
        <v>6.48</v>
      </c>
      <c r="H681" t="s">
        <v>8</v>
      </c>
      <c r="I681" t="s">
        <v>24</v>
      </c>
      <c r="J681" t="s">
        <v>13</v>
      </c>
      <c r="K681" t="s">
        <v>11</v>
      </c>
    </row>
    <row r="682" spans="1:11" x14ac:dyDescent="0.45">
      <c r="A682">
        <v>3808</v>
      </c>
      <c r="B682" s="15">
        <v>43944</v>
      </c>
      <c r="C682" t="str">
        <f>TEXT(Table1[[#This Row],[Order Date]], "yyyy")</f>
        <v>2020</v>
      </c>
      <c r="D682" t="str">
        <f>TEXT(Table1[[#This Row],[Order Date]], "mmmm")</f>
        <v>April</v>
      </c>
      <c r="E682" s="16">
        <f>Table1[[#This Row],[Order Quantity]]*Table1[[#This Row],[Unit Price]]</f>
        <v>5.78</v>
      </c>
      <c r="F682">
        <v>2</v>
      </c>
      <c r="G682" s="16">
        <v>2.89</v>
      </c>
      <c r="H682" t="s">
        <v>8</v>
      </c>
      <c r="I682" t="s">
        <v>306</v>
      </c>
      <c r="J682" t="s">
        <v>13</v>
      </c>
      <c r="K682" t="s">
        <v>11</v>
      </c>
    </row>
    <row r="683" spans="1:11" x14ac:dyDescent="0.45">
      <c r="A683">
        <v>3810</v>
      </c>
      <c r="B683" s="15">
        <v>45185</v>
      </c>
      <c r="C683" t="str">
        <f>TEXT(Table1[[#This Row],[Order Date]], "yyyy")</f>
        <v>2023</v>
      </c>
      <c r="D683" t="str">
        <f>TEXT(Table1[[#This Row],[Order Date]], "mmmm")</f>
        <v>September</v>
      </c>
      <c r="E683" s="16">
        <f>Table1[[#This Row],[Order Quantity]]*Table1[[#This Row],[Unit Price]]</f>
        <v>179.20000000000002</v>
      </c>
      <c r="F683">
        <v>40</v>
      </c>
      <c r="G683" s="16">
        <v>4.4800000000000004</v>
      </c>
      <c r="H683" t="s">
        <v>8</v>
      </c>
      <c r="I683" t="s">
        <v>138</v>
      </c>
      <c r="J683" t="s">
        <v>13</v>
      </c>
      <c r="K683" t="s">
        <v>11</v>
      </c>
    </row>
    <row r="684" spans="1:11" x14ac:dyDescent="0.45">
      <c r="A684">
        <v>3841</v>
      </c>
      <c r="B684" s="15">
        <v>44108</v>
      </c>
      <c r="C684" t="str">
        <f>TEXT(Table1[[#This Row],[Order Date]], "yyyy")</f>
        <v>2020</v>
      </c>
      <c r="D684" t="str">
        <f>TEXT(Table1[[#This Row],[Order Date]], "mmmm")</f>
        <v>October</v>
      </c>
      <c r="E684" s="16">
        <f>Table1[[#This Row],[Order Quantity]]*Table1[[#This Row],[Unit Price]]</f>
        <v>1158.6199999999999</v>
      </c>
      <c r="F684">
        <v>19</v>
      </c>
      <c r="G684" s="16">
        <v>60.98</v>
      </c>
      <c r="H684" t="s">
        <v>8</v>
      </c>
      <c r="I684" t="s">
        <v>314</v>
      </c>
      <c r="J684" t="s">
        <v>10</v>
      </c>
      <c r="K684" t="s">
        <v>11</v>
      </c>
    </row>
    <row r="685" spans="1:11" x14ac:dyDescent="0.45">
      <c r="A685">
        <v>3841</v>
      </c>
      <c r="B685" s="15">
        <v>44108</v>
      </c>
      <c r="C685" t="str">
        <f>TEXT(Table1[[#This Row],[Order Date]], "yyyy")</f>
        <v>2020</v>
      </c>
      <c r="D685" t="str">
        <f>TEXT(Table1[[#This Row],[Order Date]], "mmmm")</f>
        <v>October</v>
      </c>
      <c r="E685" s="16">
        <f>Table1[[#This Row],[Order Quantity]]*Table1[[#This Row],[Unit Price]]</f>
        <v>25419.8</v>
      </c>
      <c r="F685">
        <v>20</v>
      </c>
      <c r="G685" s="16">
        <v>1270.99</v>
      </c>
      <c r="H685" t="s">
        <v>8</v>
      </c>
      <c r="I685" t="s">
        <v>314</v>
      </c>
      <c r="J685" t="s">
        <v>10</v>
      </c>
      <c r="K685" t="s">
        <v>11</v>
      </c>
    </row>
    <row r="686" spans="1:11" x14ac:dyDescent="0.45">
      <c r="A686">
        <v>3845</v>
      </c>
      <c r="B686" s="15">
        <v>45041</v>
      </c>
      <c r="C686" t="str">
        <f>TEXT(Table1[[#This Row],[Order Date]], "yyyy")</f>
        <v>2023</v>
      </c>
      <c r="D686" t="str">
        <f>TEXT(Table1[[#This Row],[Order Date]], "mmmm")</f>
        <v>April</v>
      </c>
      <c r="E686" s="16">
        <f>Table1[[#This Row],[Order Quantity]]*Table1[[#This Row],[Unit Price]]</f>
        <v>3269.25</v>
      </c>
      <c r="F686">
        <v>9</v>
      </c>
      <c r="G686" s="16">
        <v>363.25</v>
      </c>
      <c r="H686" t="s">
        <v>8</v>
      </c>
      <c r="I686" t="s">
        <v>315</v>
      </c>
      <c r="J686" t="s">
        <v>23</v>
      </c>
      <c r="K686" t="s">
        <v>11</v>
      </c>
    </row>
    <row r="687" spans="1:11" x14ac:dyDescent="0.45">
      <c r="A687">
        <v>3845</v>
      </c>
      <c r="B687" s="15">
        <v>45041</v>
      </c>
      <c r="C687" t="str">
        <f>TEXT(Table1[[#This Row],[Order Date]], "yyyy")</f>
        <v>2023</v>
      </c>
      <c r="D687" t="str">
        <f>TEXT(Table1[[#This Row],[Order Date]], "mmmm")</f>
        <v>April</v>
      </c>
      <c r="E687" s="16">
        <f>Table1[[#This Row],[Order Quantity]]*Table1[[#This Row],[Unit Price]]</f>
        <v>439.56</v>
      </c>
      <c r="F687">
        <v>22</v>
      </c>
      <c r="G687" s="16">
        <v>19.98</v>
      </c>
      <c r="H687" t="s">
        <v>8</v>
      </c>
      <c r="I687" t="s">
        <v>315</v>
      </c>
      <c r="J687" t="s">
        <v>23</v>
      </c>
      <c r="K687" t="s">
        <v>15</v>
      </c>
    </row>
    <row r="688" spans="1:11" x14ac:dyDescent="0.45">
      <c r="A688">
        <v>3845</v>
      </c>
      <c r="B688" s="15">
        <v>45041</v>
      </c>
      <c r="C688" t="str">
        <f>TEXT(Table1[[#This Row],[Order Date]], "yyyy")</f>
        <v>2023</v>
      </c>
      <c r="D688" t="str">
        <f>TEXT(Table1[[#This Row],[Order Date]], "mmmm")</f>
        <v>April</v>
      </c>
      <c r="E688" s="16">
        <f>Table1[[#This Row],[Order Quantity]]*Table1[[#This Row],[Unit Price]]</f>
        <v>125.1</v>
      </c>
      <c r="F688">
        <v>15</v>
      </c>
      <c r="G688" s="16">
        <v>8.34</v>
      </c>
      <c r="H688" t="s">
        <v>8</v>
      </c>
      <c r="I688" t="s">
        <v>315</v>
      </c>
      <c r="J688" t="s">
        <v>23</v>
      </c>
      <c r="K688" t="s">
        <v>15</v>
      </c>
    </row>
    <row r="689" spans="1:11" x14ac:dyDescent="0.45">
      <c r="A689">
        <v>3907</v>
      </c>
      <c r="B689" s="15">
        <v>45156</v>
      </c>
      <c r="C689" t="str">
        <f>TEXT(Table1[[#This Row],[Order Date]], "yyyy")</f>
        <v>2023</v>
      </c>
      <c r="D689" t="str">
        <f>TEXT(Table1[[#This Row],[Order Date]], "mmmm")</f>
        <v>August</v>
      </c>
      <c r="E689" s="16">
        <f>Table1[[#This Row],[Order Quantity]]*Table1[[#This Row],[Unit Price]]</f>
        <v>161.28000000000003</v>
      </c>
      <c r="F689">
        <v>36</v>
      </c>
      <c r="G689" s="16">
        <v>4.4800000000000004</v>
      </c>
      <c r="H689" t="s">
        <v>8</v>
      </c>
      <c r="I689" t="s">
        <v>240</v>
      </c>
      <c r="J689" t="s">
        <v>10</v>
      </c>
      <c r="K689" t="s">
        <v>11</v>
      </c>
    </row>
    <row r="690" spans="1:11" x14ac:dyDescent="0.45">
      <c r="A690">
        <v>3907</v>
      </c>
      <c r="B690" s="15">
        <v>45156</v>
      </c>
      <c r="C690" t="str">
        <f>TEXT(Table1[[#This Row],[Order Date]], "yyyy")</f>
        <v>2023</v>
      </c>
      <c r="D690" t="str">
        <f>TEXT(Table1[[#This Row],[Order Date]], "mmmm")</f>
        <v>August</v>
      </c>
      <c r="E690" s="16">
        <f>Table1[[#This Row],[Order Quantity]]*Table1[[#This Row],[Unit Price]]</f>
        <v>760.92</v>
      </c>
      <c r="F690">
        <v>34</v>
      </c>
      <c r="G690" s="16">
        <v>22.38</v>
      </c>
      <c r="H690" t="s">
        <v>8</v>
      </c>
      <c r="I690" t="s">
        <v>240</v>
      </c>
      <c r="J690" t="s">
        <v>10</v>
      </c>
      <c r="K690" t="s">
        <v>11</v>
      </c>
    </row>
    <row r="691" spans="1:11" x14ac:dyDescent="0.45">
      <c r="A691">
        <v>3908</v>
      </c>
      <c r="B691" s="15">
        <v>44263</v>
      </c>
      <c r="C691" t="str">
        <f>TEXT(Table1[[#This Row],[Order Date]], "yyyy")</f>
        <v>2021</v>
      </c>
      <c r="D691" t="str">
        <f>TEXT(Table1[[#This Row],[Order Date]], "mmmm")</f>
        <v>March</v>
      </c>
      <c r="E691" s="16">
        <f>Table1[[#This Row],[Order Quantity]]*Table1[[#This Row],[Unit Price]]</f>
        <v>927.92</v>
      </c>
      <c r="F691">
        <v>8</v>
      </c>
      <c r="G691" s="16">
        <v>115.99</v>
      </c>
      <c r="H691" t="s">
        <v>8</v>
      </c>
      <c r="I691" t="s">
        <v>317</v>
      </c>
      <c r="J691" t="s">
        <v>13</v>
      </c>
      <c r="K691" t="s">
        <v>17</v>
      </c>
    </row>
    <row r="692" spans="1:11" x14ac:dyDescent="0.45">
      <c r="A692">
        <v>3911</v>
      </c>
      <c r="B692" s="15">
        <v>44636</v>
      </c>
      <c r="C692" t="str">
        <f>TEXT(Table1[[#This Row],[Order Date]], "yyyy")</f>
        <v>2022</v>
      </c>
      <c r="D692" t="str">
        <f>TEXT(Table1[[#This Row],[Order Date]], "mmmm")</f>
        <v>March</v>
      </c>
      <c r="E692" s="16">
        <f>Table1[[#This Row],[Order Quantity]]*Table1[[#This Row],[Unit Price]]</f>
        <v>376.79999999999995</v>
      </c>
      <c r="F692">
        <v>24</v>
      </c>
      <c r="G692" s="16">
        <v>15.7</v>
      </c>
      <c r="H692" t="s">
        <v>8</v>
      </c>
      <c r="I692" t="s">
        <v>226</v>
      </c>
      <c r="J692" t="s">
        <v>10</v>
      </c>
      <c r="K692" t="s">
        <v>11</v>
      </c>
    </row>
    <row r="693" spans="1:11" x14ac:dyDescent="0.45">
      <c r="A693">
        <v>3942</v>
      </c>
      <c r="B693" s="15">
        <v>44374</v>
      </c>
      <c r="C693" t="str">
        <f>TEXT(Table1[[#This Row],[Order Date]], "yyyy")</f>
        <v>2021</v>
      </c>
      <c r="D693" t="str">
        <f>TEXT(Table1[[#This Row],[Order Date]], "mmmm")</f>
        <v>June</v>
      </c>
      <c r="E693" s="16">
        <f>Table1[[#This Row],[Order Quantity]]*Table1[[#This Row],[Unit Price]]</f>
        <v>221.64999999999998</v>
      </c>
      <c r="F693">
        <v>11</v>
      </c>
      <c r="G693" s="16">
        <v>20.149999999999999</v>
      </c>
      <c r="H693" t="s">
        <v>8</v>
      </c>
      <c r="I693" t="s">
        <v>318</v>
      </c>
      <c r="J693" t="s">
        <v>10</v>
      </c>
      <c r="K693" t="s">
        <v>11</v>
      </c>
    </row>
    <row r="694" spans="1:11" x14ac:dyDescent="0.45">
      <c r="A694">
        <v>3942</v>
      </c>
      <c r="B694" s="15">
        <v>44374</v>
      </c>
      <c r="C694" t="str">
        <f>TEXT(Table1[[#This Row],[Order Date]], "yyyy")</f>
        <v>2021</v>
      </c>
      <c r="D694" t="str">
        <f>TEXT(Table1[[#This Row],[Order Date]], "mmmm")</f>
        <v>June</v>
      </c>
      <c r="E694" s="16">
        <f>Table1[[#This Row],[Order Quantity]]*Table1[[#This Row],[Unit Price]]</f>
        <v>1891.78</v>
      </c>
      <c r="F694">
        <v>22</v>
      </c>
      <c r="G694" s="16">
        <v>85.99</v>
      </c>
      <c r="H694" t="s">
        <v>8</v>
      </c>
      <c r="I694" t="s">
        <v>318</v>
      </c>
      <c r="J694" t="s">
        <v>10</v>
      </c>
      <c r="K694" t="s">
        <v>17</v>
      </c>
    </row>
    <row r="695" spans="1:11" x14ac:dyDescent="0.45">
      <c r="A695">
        <v>3970</v>
      </c>
      <c r="B695" s="15">
        <v>45011</v>
      </c>
      <c r="C695" t="str">
        <f>TEXT(Table1[[#This Row],[Order Date]], "yyyy")</f>
        <v>2023</v>
      </c>
      <c r="D695" t="str">
        <f>TEXT(Table1[[#This Row],[Order Date]], "mmmm")</f>
        <v>March</v>
      </c>
      <c r="E695" s="16">
        <f>Table1[[#This Row],[Order Quantity]]*Table1[[#This Row],[Unit Price]]</f>
        <v>1110.72</v>
      </c>
      <c r="F695">
        <v>39</v>
      </c>
      <c r="G695" s="16">
        <v>28.48</v>
      </c>
      <c r="H695" t="s">
        <v>8</v>
      </c>
      <c r="I695" t="s">
        <v>319</v>
      </c>
      <c r="J695" t="s">
        <v>20</v>
      </c>
      <c r="K695" t="s">
        <v>17</v>
      </c>
    </row>
    <row r="696" spans="1:11" x14ac:dyDescent="0.45">
      <c r="A696">
        <v>3973</v>
      </c>
      <c r="B696" s="15">
        <v>45008</v>
      </c>
      <c r="C696" t="str">
        <f>TEXT(Table1[[#This Row],[Order Date]], "yyyy")</f>
        <v>2023</v>
      </c>
      <c r="D696" t="str">
        <f>TEXT(Table1[[#This Row],[Order Date]], "mmmm")</f>
        <v>March</v>
      </c>
      <c r="E696" s="16">
        <f>Table1[[#This Row],[Order Quantity]]*Table1[[#This Row],[Unit Price]]</f>
        <v>329.28</v>
      </c>
      <c r="F696">
        <v>21</v>
      </c>
      <c r="G696" s="16">
        <v>15.68</v>
      </c>
      <c r="H696" t="s">
        <v>8</v>
      </c>
      <c r="I696" t="s">
        <v>320</v>
      </c>
      <c r="J696" t="s">
        <v>13</v>
      </c>
      <c r="K696" t="s">
        <v>15</v>
      </c>
    </row>
    <row r="697" spans="1:11" x14ac:dyDescent="0.45">
      <c r="A697">
        <v>4004</v>
      </c>
      <c r="B697" s="15">
        <v>44322</v>
      </c>
      <c r="C697" t="str">
        <f>TEXT(Table1[[#This Row],[Order Date]], "yyyy")</f>
        <v>2021</v>
      </c>
      <c r="D697" t="str">
        <f>TEXT(Table1[[#This Row],[Order Date]], "mmmm")</f>
        <v>May</v>
      </c>
      <c r="E697" s="16">
        <f>Table1[[#This Row],[Order Quantity]]*Table1[[#This Row],[Unit Price]]</f>
        <v>67.759999999999991</v>
      </c>
      <c r="F697">
        <v>14</v>
      </c>
      <c r="G697" s="16">
        <v>4.84</v>
      </c>
      <c r="H697" t="s">
        <v>8</v>
      </c>
      <c r="I697" t="s">
        <v>77</v>
      </c>
      <c r="J697" t="s">
        <v>13</v>
      </c>
      <c r="K697" t="s">
        <v>11</v>
      </c>
    </row>
    <row r="698" spans="1:11" x14ac:dyDescent="0.45">
      <c r="A698">
        <v>4004</v>
      </c>
      <c r="B698" s="15">
        <v>44322</v>
      </c>
      <c r="C698" t="str">
        <f>TEXT(Table1[[#This Row],[Order Date]], "yyyy")</f>
        <v>2021</v>
      </c>
      <c r="D698" t="str">
        <f>TEXT(Table1[[#This Row],[Order Date]], "mmmm")</f>
        <v>May</v>
      </c>
      <c r="E698" s="16">
        <f>Table1[[#This Row],[Order Quantity]]*Table1[[#This Row],[Unit Price]]</f>
        <v>1521.52</v>
      </c>
      <c r="F698">
        <v>44</v>
      </c>
      <c r="G698" s="16">
        <v>34.58</v>
      </c>
      <c r="H698" t="s">
        <v>8</v>
      </c>
      <c r="I698" t="s">
        <v>77</v>
      </c>
      <c r="J698" t="s">
        <v>13</v>
      </c>
      <c r="K698" t="s">
        <v>11</v>
      </c>
    </row>
    <row r="699" spans="1:11" x14ac:dyDescent="0.45">
      <c r="A699">
        <v>4006</v>
      </c>
      <c r="B699" s="15">
        <v>44564</v>
      </c>
      <c r="C699" t="str">
        <f>TEXT(Table1[[#This Row],[Order Date]], "yyyy")</f>
        <v>2022</v>
      </c>
      <c r="D699" t="str">
        <f>TEXT(Table1[[#This Row],[Order Date]], "mmmm")</f>
        <v>January</v>
      </c>
      <c r="E699" s="16">
        <f>Table1[[#This Row],[Order Quantity]]*Table1[[#This Row],[Unit Price]]</f>
        <v>1441.7199999999998</v>
      </c>
      <c r="F699">
        <v>38</v>
      </c>
      <c r="G699" s="16">
        <v>37.94</v>
      </c>
      <c r="H699" t="s">
        <v>8</v>
      </c>
      <c r="I699" t="s">
        <v>117</v>
      </c>
      <c r="J699" t="s">
        <v>13</v>
      </c>
      <c r="K699" t="s">
        <v>11</v>
      </c>
    </row>
    <row r="700" spans="1:11" x14ac:dyDescent="0.45">
      <c r="A700">
        <v>4007</v>
      </c>
      <c r="B700" s="15">
        <v>44364</v>
      </c>
      <c r="C700" t="str">
        <f>TEXT(Table1[[#This Row],[Order Date]], "yyyy")</f>
        <v>2021</v>
      </c>
      <c r="D700" t="str">
        <f>TEXT(Table1[[#This Row],[Order Date]], "mmmm")</f>
        <v>June</v>
      </c>
      <c r="E700" s="16">
        <f>Table1[[#This Row],[Order Quantity]]*Table1[[#This Row],[Unit Price]]</f>
        <v>1025.28</v>
      </c>
      <c r="F700">
        <v>18</v>
      </c>
      <c r="G700" s="16">
        <v>56.96</v>
      </c>
      <c r="H700" t="s">
        <v>8</v>
      </c>
      <c r="I700" t="s">
        <v>321</v>
      </c>
      <c r="J700" t="s">
        <v>13</v>
      </c>
      <c r="K700" t="s">
        <v>11</v>
      </c>
    </row>
    <row r="701" spans="1:11" x14ac:dyDescent="0.45">
      <c r="A701">
        <v>4007</v>
      </c>
      <c r="B701" s="15">
        <v>44364</v>
      </c>
      <c r="C701" t="str">
        <f>TEXT(Table1[[#This Row],[Order Date]], "yyyy")</f>
        <v>2021</v>
      </c>
      <c r="D701" t="str">
        <f>TEXT(Table1[[#This Row],[Order Date]], "mmmm")</f>
        <v>June</v>
      </c>
      <c r="E701" s="16">
        <f>Table1[[#This Row],[Order Quantity]]*Table1[[#This Row],[Unit Price]]</f>
        <v>279.48</v>
      </c>
      <c r="F701">
        <v>1</v>
      </c>
      <c r="G701" s="16">
        <v>279.48</v>
      </c>
      <c r="H701" t="s">
        <v>8</v>
      </c>
      <c r="I701" t="s">
        <v>321</v>
      </c>
      <c r="J701" t="s">
        <v>13</v>
      </c>
      <c r="K701" t="s">
        <v>11</v>
      </c>
    </row>
    <row r="702" spans="1:11" x14ac:dyDescent="0.45">
      <c r="A702">
        <v>4033</v>
      </c>
      <c r="B702" s="15">
        <v>44348</v>
      </c>
      <c r="C702" t="str">
        <f>TEXT(Table1[[#This Row],[Order Date]], "yyyy")</f>
        <v>2021</v>
      </c>
      <c r="D702" t="str">
        <f>TEXT(Table1[[#This Row],[Order Date]], "mmmm")</f>
        <v>June</v>
      </c>
      <c r="E702" s="16">
        <f>Table1[[#This Row],[Order Quantity]]*Table1[[#This Row],[Unit Price]]</f>
        <v>729.95999999999992</v>
      </c>
      <c r="F702">
        <v>21</v>
      </c>
      <c r="G702" s="16">
        <v>34.76</v>
      </c>
      <c r="H702" t="s">
        <v>8</v>
      </c>
      <c r="I702" t="s">
        <v>251</v>
      </c>
      <c r="J702" t="s">
        <v>23</v>
      </c>
      <c r="K702" t="s">
        <v>11</v>
      </c>
    </row>
    <row r="703" spans="1:11" x14ac:dyDescent="0.45">
      <c r="A703">
        <v>4034</v>
      </c>
      <c r="B703" s="15">
        <v>44513</v>
      </c>
      <c r="C703" t="str">
        <f>TEXT(Table1[[#This Row],[Order Date]], "yyyy")</f>
        <v>2021</v>
      </c>
      <c r="D703" t="str">
        <f>TEXT(Table1[[#This Row],[Order Date]], "mmmm")</f>
        <v>November</v>
      </c>
      <c r="E703" s="16">
        <f>Table1[[#This Row],[Order Quantity]]*Table1[[#This Row],[Unit Price]]</f>
        <v>3498.8799999999997</v>
      </c>
      <c r="F703">
        <v>44</v>
      </c>
      <c r="G703" s="16">
        <v>79.52</v>
      </c>
      <c r="H703" t="s">
        <v>8</v>
      </c>
      <c r="I703" t="s">
        <v>322</v>
      </c>
      <c r="J703" t="s">
        <v>10</v>
      </c>
      <c r="K703" t="s">
        <v>15</v>
      </c>
    </row>
    <row r="704" spans="1:11" x14ac:dyDescent="0.45">
      <c r="A704">
        <v>4037</v>
      </c>
      <c r="B704" s="15">
        <v>44278</v>
      </c>
      <c r="C704" t="str">
        <f>TEXT(Table1[[#This Row],[Order Date]], "yyyy")</f>
        <v>2021</v>
      </c>
      <c r="D704" t="str">
        <f>TEXT(Table1[[#This Row],[Order Date]], "mmmm")</f>
        <v>March</v>
      </c>
      <c r="E704" s="16">
        <f>Table1[[#This Row],[Order Quantity]]*Table1[[#This Row],[Unit Price]]</f>
        <v>174.96</v>
      </c>
      <c r="F704">
        <v>27</v>
      </c>
      <c r="G704" s="16">
        <v>6.48</v>
      </c>
      <c r="H704" t="s">
        <v>8</v>
      </c>
      <c r="I704" t="s">
        <v>323</v>
      </c>
      <c r="J704" t="s">
        <v>13</v>
      </c>
      <c r="K704" t="s">
        <v>11</v>
      </c>
    </row>
    <row r="705" spans="1:11" x14ac:dyDescent="0.45">
      <c r="A705">
        <v>4067</v>
      </c>
      <c r="B705" s="15">
        <v>45205</v>
      </c>
      <c r="C705" t="str">
        <f>TEXT(Table1[[#This Row],[Order Date]], "yyyy")</f>
        <v>2023</v>
      </c>
      <c r="D705" t="str">
        <f>TEXT(Table1[[#This Row],[Order Date]], "mmmm")</f>
        <v>October</v>
      </c>
      <c r="E705" s="16">
        <f>Table1[[#This Row],[Order Quantity]]*Table1[[#This Row],[Unit Price]]</f>
        <v>113.6</v>
      </c>
      <c r="F705">
        <v>16</v>
      </c>
      <c r="G705" s="16">
        <v>7.1</v>
      </c>
      <c r="H705" t="s">
        <v>8</v>
      </c>
      <c r="I705" t="s">
        <v>154</v>
      </c>
      <c r="J705" t="s">
        <v>13</v>
      </c>
      <c r="K705" t="s">
        <v>11</v>
      </c>
    </row>
    <row r="706" spans="1:11" x14ac:dyDescent="0.45">
      <c r="A706">
        <v>4069</v>
      </c>
      <c r="B706" s="15">
        <v>45058</v>
      </c>
      <c r="C706" t="str">
        <f>TEXT(Table1[[#This Row],[Order Date]], "yyyy")</f>
        <v>2023</v>
      </c>
      <c r="D706" t="str">
        <f>TEXT(Table1[[#This Row],[Order Date]], "mmmm")</f>
        <v>May</v>
      </c>
      <c r="E706" s="16">
        <f>Table1[[#This Row],[Order Quantity]]*Table1[[#This Row],[Unit Price]]</f>
        <v>51.84</v>
      </c>
      <c r="F706">
        <v>8</v>
      </c>
      <c r="G706" s="16">
        <v>6.48</v>
      </c>
      <c r="H706" t="s">
        <v>8</v>
      </c>
      <c r="I706" t="s">
        <v>125</v>
      </c>
      <c r="J706" t="s">
        <v>23</v>
      </c>
      <c r="K706" t="s">
        <v>11</v>
      </c>
    </row>
    <row r="707" spans="1:11" x14ac:dyDescent="0.45">
      <c r="A707">
        <v>4069</v>
      </c>
      <c r="B707" s="15">
        <v>45058</v>
      </c>
      <c r="C707" t="str">
        <f>TEXT(Table1[[#This Row],[Order Date]], "yyyy")</f>
        <v>2023</v>
      </c>
      <c r="D707" t="str">
        <f>TEXT(Table1[[#This Row],[Order Date]], "mmmm")</f>
        <v>May</v>
      </c>
      <c r="E707" s="16">
        <f>Table1[[#This Row],[Order Quantity]]*Table1[[#This Row],[Unit Price]]</f>
        <v>78.600000000000009</v>
      </c>
      <c r="F707">
        <v>30</v>
      </c>
      <c r="G707" s="16">
        <v>2.62</v>
      </c>
      <c r="H707" t="s">
        <v>8</v>
      </c>
      <c r="I707" t="s">
        <v>125</v>
      </c>
      <c r="J707" t="s">
        <v>23</v>
      </c>
      <c r="K707" t="s">
        <v>11</v>
      </c>
    </row>
    <row r="708" spans="1:11" x14ac:dyDescent="0.45">
      <c r="A708">
        <v>4096</v>
      </c>
      <c r="B708" s="15">
        <v>45109</v>
      </c>
      <c r="C708" t="str">
        <f>TEXT(Table1[[#This Row],[Order Date]], "yyyy")</f>
        <v>2023</v>
      </c>
      <c r="D708" t="str">
        <f>TEXT(Table1[[#This Row],[Order Date]], "mmmm")</f>
        <v>July</v>
      </c>
      <c r="E708" s="16">
        <f>Table1[[#This Row],[Order Quantity]]*Table1[[#This Row],[Unit Price]]</f>
        <v>132.29999999999998</v>
      </c>
      <c r="F708">
        <v>21</v>
      </c>
      <c r="G708" s="16">
        <v>6.3</v>
      </c>
      <c r="H708" t="s">
        <v>8</v>
      </c>
      <c r="I708" t="s">
        <v>82</v>
      </c>
      <c r="J708" t="s">
        <v>13</v>
      </c>
      <c r="K708" t="s">
        <v>11</v>
      </c>
    </row>
    <row r="709" spans="1:11" x14ac:dyDescent="0.45">
      <c r="A709">
        <v>4099</v>
      </c>
      <c r="B709" s="15">
        <v>45158</v>
      </c>
      <c r="C709" t="str">
        <f>TEXT(Table1[[#This Row],[Order Date]], "yyyy")</f>
        <v>2023</v>
      </c>
      <c r="D709" t="str">
        <f>TEXT(Table1[[#This Row],[Order Date]], "mmmm")</f>
        <v>August</v>
      </c>
      <c r="E709" s="16">
        <f>Table1[[#This Row],[Order Quantity]]*Table1[[#This Row],[Unit Price]]</f>
        <v>1795.9199999999998</v>
      </c>
      <c r="F709">
        <v>42</v>
      </c>
      <c r="G709" s="16">
        <v>42.76</v>
      </c>
      <c r="H709" t="s">
        <v>8</v>
      </c>
      <c r="I709" t="s">
        <v>127</v>
      </c>
      <c r="J709" t="s">
        <v>23</v>
      </c>
      <c r="K709" t="s">
        <v>11</v>
      </c>
    </row>
    <row r="710" spans="1:11" x14ac:dyDescent="0.45">
      <c r="A710">
        <v>4099</v>
      </c>
      <c r="B710" s="15">
        <v>45158</v>
      </c>
      <c r="C710" t="str">
        <f>TEXT(Table1[[#This Row],[Order Date]], "yyyy")</f>
        <v>2023</v>
      </c>
      <c r="D710" t="str">
        <f>TEXT(Table1[[#This Row],[Order Date]], "mmmm")</f>
        <v>August</v>
      </c>
      <c r="E710" s="16">
        <f>Table1[[#This Row],[Order Quantity]]*Table1[[#This Row],[Unit Price]]</f>
        <v>117.35999999999999</v>
      </c>
      <c r="F710">
        <v>12</v>
      </c>
      <c r="G710" s="16">
        <v>9.7799999999999994</v>
      </c>
      <c r="H710" t="s">
        <v>8</v>
      </c>
      <c r="I710" t="s">
        <v>127</v>
      </c>
      <c r="J710" t="s">
        <v>23</v>
      </c>
      <c r="K710" t="s">
        <v>11</v>
      </c>
    </row>
    <row r="711" spans="1:11" x14ac:dyDescent="0.45">
      <c r="A711">
        <v>4099</v>
      </c>
      <c r="B711" s="15">
        <v>45158</v>
      </c>
      <c r="C711" t="str">
        <f>TEXT(Table1[[#This Row],[Order Date]], "yyyy")</f>
        <v>2023</v>
      </c>
      <c r="D711" t="str">
        <f>TEXT(Table1[[#This Row],[Order Date]], "mmmm")</f>
        <v>August</v>
      </c>
      <c r="E711" s="16">
        <f>Table1[[#This Row],[Order Quantity]]*Table1[[#This Row],[Unit Price]]</f>
        <v>37.92</v>
      </c>
      <c r="F711">
        <v>4</v>
      </c>
      <c r="G711" s="16">
        <v>9.48</v>
      </c>
      <c r="H711" t="s">
        <v>8</v>
      </c>
      <c r="I711" t="s">
        <v>127</v>
      </c>
      <c r="J711" t="s">
        <v>23</v>
      </c>
      <c r="K711" t="s">
        <v>15</v>
      </c>
    </row>
    <row r="712" spans="1:11" x14ac:dyDescent="0.45">
      <c r="A712">
        <v>4099</v>
      </c>
      <c r="B712" s="15">
        <v>45158</v>
      </c>
      <c r="C712" t="str">
        <f>TEXT(Table1[[#This Row],[Order Date]], "yyyy")</f>
        <v>2023</v>
      </c>
      <c r="D712" t="str">
        <f>TEXT(Table1[[#This Row],[Order Date]], "mmmm")</f>
        <v>August</v>
      </c>
      <c r="E712" s="16">
        <f>Table1[[#This Row],[Order Quantity]]*Table1[[#This Row],[Unit Price]]</f>
        <v>4328.6099999999997</v>
      </c>
      <c r="F712">
        <v>39</v>
      </c>
      <c r="G712" s="16">
        <v>110.99</v>
      </c>
      <c r="H712" t="s">
        <v>8</v>
      </c>
      <c r="I712" t="s">
        <v>127</v>
      </c>
      <c r="J712" t="s">
        <v>23</v>
      </c>
      <c r="K712" t="s">
        <v>17</v>
      </c>
    </row>
    <row r="713" spans="1:11" x14ac:dyDescent="0.45">
      <c r="A713">
        <v>4103</v>
      </c>
      <c r="B713" s="15">
        <v>45109</v>
      </c>
      <c r="C713" t="str">
        <f>TEXT(Table1[[#This Row],[Order Date]], "yyyy")</f>
        <v>2023</v>
      </c>
      <c r="D713" t="str">
        <f>TEXT(Table1[[#This Row],[Order Date]], "mmmm")</f>
        <v>July</v>
      </c>
      <c r="E713" s="16">
        <f>Table1[[#This Row],[Order Quantity]]*Table1[[#This Row],[Unit Price]]</f>
        <v>34.980000000000004</v>
      </c>
      <c r="F713">
        <v>3</v>
      </c>
      <c r="G713" s="16">
        <v>11.66</v>
      </c>
      <c r="H713" t="s">
        <v>8</v>
      </c>
      <c r="I713" t="s">
        <v>302</v>
      </c>
      <c r="J713" t="s">
        <v>20</v>
      </c>
      <c r="K713" t="s">
        <v>11</v>
      </c>
    </row>
    <row r="714" spans="1:11" x14ac:dyDescent="0.45">
      <c r="A714">
        <v>4128</v>
      </c>
      <c r="B714" s="15">
        <v>44840</v>
      </c>
      <c r="C714" t="str">
        <f>TEXT(Table1[[#This Row],[Order Date]], "yyyy")</f>
        <v>2022</v>
      </c>
      <c r="D714" t="str">
        <f>TEXT(Table1[[#This Row],[Order Date]], "mmmm")</f>
        <v>October</v>
      </c>
      <c r="E714" s="16">
        <f>Table1[[#This Row],[Order Quantity]]*Table1[[#This Row],[Unit Price]]</f>
        <v>379.62</v>
      </c>
      <c r="F714">
        <v>38</v>
      </c>
      <c r="G714" s="16">
        <v>9.99</v>
      </c>
      <c r="H714" t="s">
        <v>8</v>
      </c>
      <c r="I714" t="s">
        <v>324</v>
      </c>
      <c r="J714" t="s">
        <v>23</v>
      </c>
      <c r="K714" t="s">
        <v>11</v>
      </c>
    </row>
    <row r="715" spans="1:11" x14ac:dyDescent="0.45">
      <c r="A715">
        <v>4132</v>
      </c>
      <c r="B715" s="15">
        <v>44709</v>
      </c>
      <c r="C715" t="str">
        <f>TEXT(Table1[[#This Row],[Order Date]], "yyyy")</f>
        <v>2022</v>
      </c>
      <c r="D715" t="str">
        <f>TEXT(Table1[[#This Row],[Order Date]], "mmmm")</f>
        <v>May</v>
      </c>
      <c r="E715" s="16">
        <f>Table1[[#This Row],[Order Quantity]]*Table1[[#This Row],[Unit Price]]</f>
        <v>14.399999999999999</v>
      </c>
      <c r="F715">
        <v>5</v>
      </c>
      <c r="G715" s="16">
        <v>2.88</v>
      </c>
      <c r="H715" t="s">
        <v>8</v>
      </c>
      <c r="I715" t="s">
        <v>325</v>
      </c>
      <c r="J715" t="s">
        <v>13</v>
      </c>
      <c r="K715" t="s">
        <v>11</v>
      </c>
    </row>
    <row r="716" spans="1:11" x14ac:dyDescent="0.45">
      <c r="A716">
        <v>4134</v>
      </c>
      <c r="B716" s="15">
        <v>44572</v>
      </c>
      <c r="C716" t="str">
        <f>TEXT(Table1[[#This Row],[Order Date]], "yyyy")</f>
        <v>2022</v>
      </c>
      <c r="D716" t="str">
        <f>TEXT(Table1[[#This Row],[Order Date]], "mmmm")</f>
        <v>January</v>
      </c>
      <c r="E716" s="16">
        <f>Table1[[#This Row],[Order Quantity]]*Table1[[#This Row],[Unit Price]]</f>
        <v>712.31</v>
      </c>
      <c r="F716">
        <v>23</v>
      </c>
      <c r="G716" s="16">
        <v>30.97</v>
      </c>
      <c r="H716" t="s">
        <v>8</v>
      </c>
      <c r="I716" t="s">
        <v>326</v>
      </c>
      <c r="J716" t="s">
        <v>10</v>
      </c>
      <c r="K716" t="s">
        <v>17</v>
      </c>
    </row>
    <row r="717" spans="1:11" x14ac:dyDescent="0.45">
      <c r="A717">
        <v>4162</v>
      </c>
      <c r="B717" s="15">
        <v>44966</v>
      </c>
      <c r="C717" t="str">
        <f>TEXT(Table1[[#This Row],[Order Date]], "yyyy")</f>
        <v>2023</v>
      </c>
      <c r="D717" t="str">
        <f>TEXT(Table1[[#This Row],[Order Date]], "mmmm")</f>
        <v>February</v>
      </c>
      <c r="E717" s="16">
        <f>Table1[[#This Row],[Order Quantity]]*Table1[[#This Row],[Unit Price]]</f>
        <v>386.34</v>
      </c>
      <c r="F717">
        <v>2</v>
      </c>
      <c r="G717" s="16">
        <v>193.17</v>
      </c>
      <c r="H717" t="s">
        <v>8</v>
      </c>
      <c r="I717" t="s">
        <v>327</v>
      </c>
      <c r="J717" t="s">
        <v>10</v>
      </c>
      <c r="K717" t="s">
        <v>11</v>
      </c>
    </row>
    <row r="718" spans="1:11" x14ac:dyDescent="0.45">
      <c r="A718">
        <v>4166</v>
      </c>
      <c r="B718" s="15">
        <v>44254</v>
      </c>
      <c r="C718" t="str">
        <f>TEXT(Table1[[#This Row],[Order Date]], "yyyy")</f>
        <v>2021</v>
      </c>
      <c r="D718" t="str">
        <f>TEXT(Table1[[#This Row],[Order Date]], "mmmm")</f>
        <v>February</v>
      </c>
      <c r="E718" s="16">
        <f>Table1[[#This Row],[Order Quantity]]*Table1[[#This Row],[Unit Price]]</f>
        <v>134.9</v>
      </c>
      <c r="F718">
        <v>19</v>
      </c>
      <c r="G718" s="16">
        <v>7.1</v>
      </c>
      <c r="H718" t="s">
        <v>8</v>
      </c>
      <c r="I718" t="s">
        <v>235</v>
      </c>
      <c r="J718" t="s">
        <v>13</v>
      </c>
      <c r="K718" t="s">
        <v>11</v>
      </c>
    </row>
    <row r="719" spans="1:11" x14ac:dyDescent="0.45">
      <c r="A719">
        <v>4193</v>
      </c>
      <c r="B719" s="15">
        <v>43838</v>
      </c>
      <c r="C719" t="str">
        <f>TEXT(Table1[[#This Row],[Order Date]], "yyyy")</f>
        <v>2020</v>
      </c>
      <c r="D719" t="str">
        <f>TEXT(Table1[[#This Row],[Order Date]], "mmmm")</f>
        <v>January</v>
      </c>
      <c r="E719" s="16">
        <f>Table1[[#This Row],[Order Quantity]]*Table1[[#This Row],[Unit Price]]</f>
        <v>66.08</v>
      </c>
      <c r="F719">
        <v>16</v>
      </c>
      <c r="G719" s="16">
        <v>4.13</v>
      </c>
      <c r="H719" t="s">
        <v>8</v>
      </c>
      <c r="I719" t="s">
        <v>279</v>
      </c>
      <c r="J719" t="s">
        <v>20</v>
      </c>
      <c r="K719" t="s">
        <v>11</v>
      </c>
    </row>
    <row r="720" spans="1:11" x14ac:dyDescent="0.45">
      <c r="A720">
        <v>4193</v>
      </c>
      <c r="B720" s="15">
        <v>43838</v>
      </c>
      <c r="C720" t="str">
        <f>TEXT(Table1[[#This Row],[Order Date]], "yyyy")</f>
        <v>2020</v>
      </c>
      <c r="D720" t="str">
        <f>TEXT(Table1[[#This Row],[Order Date]], "mmmm")</f>
        <v>January</v>
      </c>
      <c r="E720" s="16">
        <f>Table1[[#This Row],[Order Quantity]]*Table1[[#This Row],[Unit Price]]</f>
        <v>68.16</v>
      </c>
      <c r="F720">
        <v>3</v>
      </c>
      <c r="G720" s="16">
        <v>22.72</v>
      </c>
      <c r="H720" t="s">
        <v>8</v>
      </c>
      <c r="I720" t="s">
        <v>279</v>
      </c>
      <c r="J720" t="s">
        <v>20</v>
      </c>
      <c r="K720" t="s">
        <v>15</v>
      </c>
    </row>
    <row r="721" spans="1:11" x14ac:dyDescent="0.45">
      <c r="A721">
        <v>4195</v>
      </c>
      <c r="B721" s="15">
        <v>44344</v>
      </c>
      <c r="C721" t="str">
        <f>TEXT(Table1[[#This Row],[Order Date]], "yyyy")</f>
        <v>2021</v>
      </c>
      <c r="D721" t="str">
        <f>TEXT(Table1[[#This Row],[Order Date]], "mmmm")</f>
        <v>May</v>
      </c>
      <c r="E721" s="16">
        <f>Table1[[#This Row],[Order Quantity]]*Table1[[#This Row],[Unit Price]]</f>
        <v>255</v>
      </c>
      <c r="F721">
        <v>30</v>
      </c>
      <c r="G721" s="16">
        <v>8.5</v>
      </c>
      <c r="H721" t="s">
        <v>8</v>
      </c>
      <c r="I721" t="s">
        <v>232</v>
      </c>
      <c r="J721" t="s">
        <v>13</v>
      </c>
      <c r="K721" t="s">
        <v>17</v>
      </c>
    </row>
    <row r="722" spans="1:11" x14ac:dyDescent="0.45">
      <c r="A722">
        <v>4230</v>
      </c>
      <c r="B722" s="15">
        <v>44988</v>
      </c>
      <c r="C722" t="str">
        <f>TEXT(Table1[[#This Row],[Order Date]], "yyyy")</f>
        <v>2023</v>
      </c>
      <c r="D722" t="str">
        <f>TEXT(Table1[[#This Row],[Order Date]], "mmmm")</f>
        <v>March</v>
      </c>
      <c r="E722" s="16">
        <f>Table1[[#This Row],[Order Quantity]]*Table1[[#This Row],[Unit Price]]</f>
        <v>408.96</v>
      </c>
      <c r="F722">
        <v>18</v>
      </c>
      <c r="G722" s="16">
        <v>22.72</v>
      </c>
      <c r="H722" t="s">
        <v>8</v>
      </c>
      <c r="I722" t="s">
        <v>329</v>
      </c>
      <c r="J722" t="s">
        <v>13</v>
      </c>
      <c r="K722" t="s">
        <v>15</v>
      </c>
    </row>
    <row r="723" spans="1:11" x14ac:dyDescent="0.45">
      <c r="A723">
        <v>4257</v>
      </c>
      <c r="B723" s="15">
        <v>44644</v>
      </c>
      <c r="C723" t="str">
        <f>TEXT(Table1[[#This Row],[Order Date]], "yyyy")</f>
        <v>2022</v>
      </c>
      <c r="D723" t="str">
        <f>TEXT(Table1[[#This Row],[Order Date]], "mmmm")</f>
        <v>March</v>
      </c>
      <c r="E723" s="16">
        <f>Table1[[#This Row],[Order Quantity]]*Table1[[#This Row],[Unit Price]]</f>
        <v>251.1</v>
      </c>
      <c r="F723">
        <v>45</v>
      </c>
      <c r="G723" s="16">
        <v>5.58</v>
      </c>
      <c r="H723" t="s">
        <v>8</v>
      </c>
      <c r="I723" t="s">
        <v>330</v>
      </c>
      <c r="J723" t="s">
        <v>23</v>
      </c>
      <c r="K723" t="s">
        <v>11</v>
      </c>
    </row>
    <row r="724" spans="1:11" x14ac:dyDescent="0.45">
      <c r="A724">
        <v>4261</v>
      </c>
      <c r="B724" s="15">
        <v>45201</v>
      </c>
      <c r="C724" t="str">
        <f>TEXT(Table1[[#This Row],[Order Date]], "yyyy")</f>
        <v>2023</v>
      </c>
      <c r="D724" t="str">
        <f>TEXT(Table1[[#This Row],[Order Date]], "mmmm")</f>
        <v>October</v>
      </c>
      <c r="E724" s="16">
        <f>Table1[[#This Row],[Order Quantity]]*Table1[[#This Row],[Unit Price]]</f>
        <v>197.34</v>
      </c>
      <c r="F724">
        <v>33</v>
      </c>
      <c r="G724" s="16">
        <v>5.98</v>
      </c>
      <c r="H724" t="s">
        <v>8</v>
      </c>
      <c r="I724" t="s">
        <v>136</v>
      </c>
      <c r="J724" t="s">
        <v>13</v>
      </c>
      <c r="K724" t="s">
        <v>11</v>
      </c>
    </row>
    <row r="725" spans="1:11" x14ac:dyDescent="0.45">
      <c r="A725">
        <v>4261</v>
      </c>
      <c r="B725" s="15">
        <v>45201</v>
      </c>
      <c r="C725" t="str">
        <f>TEXT(Table1[[#This Row],[Order Date]], "yyyy")</f>
        <v>2023</v>
      </c>
      <c r="D725" t="str">
        <f>TEXT(Table1[[#This Row],[Order Date]], "mmmm")</f>
        <v>October</v>
      </c>
      <c r="E725" s="16">
        <f>Table1[[#This Row],[Order Quantity]]*Table1[[#This Row],[Unit Price]]</f>
        <v>9620.7999999999993</v>
      </c>
      <c r="F725">
        <v>32</v>
      </c>
      <c r="G725" s="16">
        <v>300.64999999999998</v>
      </c>
      <c r="H725" t="s">
        <v>8</v>
      </c>
      <c r="I725" t="s">
        <v>136</v>
      </c>
      <c r="J725" t="s">
        <v>13</v>
      </c>
      <c r="K725" t="s">
        <v>11</v>
      </c>
    </row>
    <row r="726" spans="1:11" x14ac:dyDescent="0.45">
      <c r="A726">
        <v>4261</v>
      </c>
      <c r="B726" s="15">
        <v>45201</v>
      </c>
      <c r="C726" t="str">
        <f>TEXT(Table1[[#This Row],[Order Date]], "yyyy")</f>
        <v>2023</v>
      </c>
      <c r="D726" t="str">
        <f>TEXT(Table1[[#This Row],[Order Date]], "mmmm")</f>
        <v>October</v>
      </c>
      <c r="E726" s="16">
        <f>Table1[[#This Row],[Order Quantity]]*Table1[[#This Row],[Unit Price]]</f>
        <v>277.44</v>
      </c>
      <c r="F726">
        <v>48</v>
      </c>
      <c r="G726" s="16">
        <v>5.78</v>
      </c>
      <c r="H726" t="s">
        <v>8</v>
      </c>
      <c r="I726" t="s">
        <v>136</v>
      </c>
      <c r="J726" t="s">
        <v>13</v>
      </c>
      <c r="K726" t="s">
        <v>11</v>
      </c>
    </row>
    <row r="727" spans="1:11" x14ac:dyDescent="0.45">
      <c r="A727">
        <v>4294</v>
      </c>
      <c r="B727" s="15">
        <v>45152</v>
      </c>
      <c r="C727" t="str">
        <f>TEXT(Table1[[#This Row],[Order Date]], "yyyy")</f>
        <v>2023</v>
      </c>
      <c r="D727" t="str">
        <f>TEXT(Table1[[#This Row],[Order Date]], "mmmm")</f>
        <v>August</v>
      </c>
      <c r="E727" s="16">
        <f>Table1[[#This Row],[Order Quantity]]*Table1[[#This Row],[Unit Price]]</f>
        <v>13.92</v>
      </c>
      <c r="F727">
        <v>8</v>
      </c>
      <c r="G727" s="16">
        <v>1.74</v>
      </c>
      <c r="H727" t="s">
        <v>8</v>
      </c>
      <c r="I727" t="s">
        <v>115</v>
      </c>
      <c r="J727" t="s">
        <v>10</v>
      </c>
      <c r="K727" t="s">
        <v>15</v>
      </c>
    </row>
    <row r="728" spans="1:11" x14ac:dyDescent="0.45">
      <c r="A728">
        <v>4324</v>
      </c>
      <c r="B728" s="15">
        <v>44758</v>
      </c>
      <c r="C728" t="str">
        <f>TEXT(Table1[[#This Row],[Order Date]], "yyyy")</f>
        <v>2022</v>
      </c>
      <c r="D728" t="str">
        <f>TEXT(Table1[[#This Row],[Order Date]], "mmmm")</f>
        <v>July</v>
      </c>
      <c r="E728" s="16">
        <f>Table1[[#This Row],[Order Quantity]]*Table1[[#This Row],[Unit Price]]</f>
        <v>1147.1599999999999</v>
      </c>
      <c r="F728">
        <v>28</v>
      </c>
      <c r="G728" s="16">
        <v>40.97</v>
      </c>
      <c r="H728" t="s">
        <v>8</v>
      </c>
      <c r="I728" t="s">
        <v>331</v>
      </c>
      <c r="J728" t="s">
        <v>10</v>
      </c>
      <c r="K728" t="s">
        <v>11</v>
      </c>
    </row>
    <row r="729" spans="1:11" x14ac:dyDescent="0.45">
      <c r="A729">
        <v>4354</v>
      </c>
      <c r="B729" s="15">
        <v>44103</v>
      </c>
      <c r="C729" t="str">
        <f>TEXT(Table1[[#This Row],[Order Date]], "yyyy")</f>
        <v>2020</v>
      </c>
      <c r="D729" t="str">
        <f>TEXT(Table1[[#This Row],[Order Date]], "mmmm")</f>
        <v>September</v>
      </c>
      <c r="E729" s="16">
        <f>Table1[[#This Row],[Order Quantity]]*Table1[[#This Row],[Unit Price]]</f>
        <v>44.28</v>
      </c>
      <c r="F729">
        <v>6</v>
      </c>
      <c r="G729" s="16">
        <v>7.38</v>
      </c>
      <c r="H729" t="s">
        <v>8</v>
      </c>
      <c r="I729" t="s">
        <v>43</v>
      </c>
      <c r="J729" t="s">
        <v>13</v>
      </c>
      <c r="K729" t="s">
        <v>15</v>
      </c>
    </row>
    <row r="730" spans="1:11" x14ac:dyDescent="0.45">
      <c r="A730">
        <v>4359</v>
      </c>
      <c r="B730" s="15">
        <v>44257</v>
      </c>
      <c r="C730" t="str">
        <f>TEXT(Table1[[#This Row],[Order Date]], "yyyy")</f>
        <v>2021</v>
      </c>
      <c r="D730" t="str">
        <f>TEXT(Table1[[#This Row],[Order Date]], "mmmm")</f>
        <v>March</v>
      </c>
      <c r="E730" s="16">
        <f>Table1[[#This Row],[Order Quantity]]*Table1[[#This Row],[Unit Price]]</f>
        <v>228.9</v>
      </c>
      <c r="F730">
        <v>21</v>
      </c>
      <c r="G730" s="16">
        <v>10.9</v>
      </c>
      <c r="H730" t="s">
        <v>8</v>
      </c>
      <c r="I730" t="s">
        <v>332</v>
      </c>
      <c r="J730" t="s">
        <v>20</v>
      </c>
      <c r="K730" t="s">
        <v>11</v>
      </c>
    </row>
    <row r="731" spans="1:11" x14ac:dyDescent="0.45">
      <c r="A731">
        <v>4389</v>
      </c>
      <c r="B731" s="15">
        <v>43955</v>
      </c>
      <c r="C731" t="str">
        <f>TEXT(Table1[[#This Row],[Order Date]], "yyyy")</f>
        <v>2020</v>
      </c>
      <c r="D731" t="str">
        <f>TEXT(Table1[[#This Row],[Order Date]], "mmmm")</f>
        <v>May</v>
      </c>
      <c r="E731" s="16">
        <f>Table1[[#This Row],[Order Quantity]]*Table1[[#This Row],[Unit Price]]</f>
        <v>186.9</v>
      </c>
      <c r="F731">
        <v>35</v>
      </c>
      <c r="G731" s="16">
        <v>5.34</v>
      </c>
      <c r="H731" t="s">
        <v>8</v>
      </c>
      <c r="I731" t="s">
        <v>333</v>
      </c>
      <c r="J731" t="s">
        <v>13</v>
      </c>
      <c r="K731" t="s">
        <v>11</v>
      </c>
    </row>
    <row r="732" spans="1:11" x14ac:dyDescent="0.45">
      <c r="A732">
        <v>4391</v>
      </c>
      <c r="B732" s="15">
        <v>44974</v>
      </c>
      <c r="C732" t="str">
        <f>TEXT(Table1[[#This Row],[Order Date]], "yyyy")</f>
        <v>2023</v>
      </c>
      <c r="D732" t="str">
        <f>TEXT(Table1[[#This Row],[Order Date]], "mmmm")</f>
        <v>February</v>
      </c>
      <c r="E732" s="16">
        <f>Table1[[#This Row],[Order Quantity]]*Table1[[#This Row],[Unit Price]]</f>
        <v>3119.8</v>
      </c>
      <c r="F732">
        <v>20</v>
      </c>
      <c r="G732" s="16">
        <v>155.99</v>
      </c>
      <c r="H732" t="s">
        <v>8</v>
      </c>
      <c r="I732" t="s">
        <v>102</v>
      </c>
      <c r="J732" t="s">
        <v>20</v>
      </c>
      <c r="K732" t="s">
        <v>17</v>
      </c>
    </row>
    <row r="733" spans="1:11" x14ac:dyDescent="0.45">
      <c r="A733">
        <v>4416</v>
      </c>
      <c r="B733" s="15">
        <v>45106</v>
      </c>
      <c r="C733" t="str">
        <f>TEXT(Table1[[#This Row],[Order Date]], "yyyy")</f>
        <v>2023</v>
      </c>
      <c r="D733" t="str">
        <f>TEXT(Table1[[#This Row],[Order Date]], "mmmm")</f>
        <v>June</v>
      </c>
      <c r="E733" s="16">
        <f>Table1[[#This Row],[Order Quantity]]*Table1[[#This Row],[Unit Price]]</f>
        <v>7635.08</v>
      </c>
      <c r="F733">
        <v>46</v>
      </c>
      <c r="G733" s="16">
        <v>165.98</v>
      </c>
      <c r="H733" t="s">
        <v>8</v>
      </c>
      <c r="I733" t="s">
        <v>334</v>
      </c>
      <c r="J733" t="s">
        <v>13</v>
      </c>
      <c r="K733" t="s">
        <v>11</v>
      </c>
    </row>
    <row r="734" spans="1:11" x14ac:dyDescent="0.45">
      <c r="A734">
        <v>4422</v>
      </c>
      <c r="B734" s="15">
        <v>44702</v>
      </c>
      <c r="C734" t="str">
        <f>TEXT(Table1[[#This Row],[Order Date]], "yyyy")</f>
        <v>2022</v>
      </c>
      <c r="D734" t="str">
        <f>TEXT(Table1[[#This Row],[Order Date]], "mmmm")</f>
        <v>May</v>
      </c>
      <c r="E734" s="16">
        <f>Table1[[#This Row],[Order Quantity]]*Table1[[#This Row],[Unit Price]]</f>
        <v>304.56</v>
      </c>
      <c r="F734">
        <v>12</v>
      </c>
      <c r="G734" s="16">
        <v>25.38</v>
      </c>
      <c r="H734" t="s">
        <v>8</v>
      </c>
      <c r="I734" t="s">
        <v>335</v>
      </c>
      <c r="J734" t="s">
        <v>23</v>
      </c>
      <c r="K734" t="s">
        <v>15</v>
      </c>
    </row>
    <row r="735" spans="1:11" x14ac:dyDescent="0.45">
      <c r="A735">
        <v>4422</v>
      </c>
      <c r="B735" s="15">
        <v>44702</v>
      </c>
      <c r="C735" t="str">
        <f>TEXT(Table1[[#This Row],[Order Date]], "yyyy")</f>
        <v>2022</v>
      </c>
      <c r="D735" t="str">
        <f>TEXT(Table1[[#This Row],[Order Date]], "mmmm")</f>
        <v>May</v>
      </c>
      <c r="E735" s="16">
        <f>Table1[[#This Row],[Order Quantity]]*Table1[[#This Row],[Unit Price]]</f>
        <v>363.46</v>
      </c>
      <c r="F735">
        <v>17</v>
      </c>
      <c r="G735" s="16">
        <v>21.38</v>
      </c>
      <c r="H735" t="s">
        <v>8</v>
      </c>
      <c r="I735" t="s">
        <v>335</v>
      </c>
      <c r="J735" t="s">
        <v>23</v>
      </c>
      <c r="K735" t="s">
        <v>11</v>
      </c>
    </row>
    <row r="736" spans="1:11" x14ac:dyDescent="0.45">
      <c r="A736">
        <v>4451</v>
      </c>
      <c r="B736" s="15">
        <v>44104</v>
      </c>
      <c r="C736" t="str">
        <f>TEXT(Table1[[#This Row],[Order Date]], "yyyy")</f>
        <v>2020</v>
      </c>
      <c r="D736" t="str">
        <f>TEXT(Table1[[#This Row],[Order Date]], "mmmm")</f>
        <v>September</v>
      </c>
      <c r="E736" s="16">
        <f>Table1[[#This Row],[Order Quantity]]*Table1[[#This Row],[Unit Price]]</f>
        <v>1004.8599999999999</v>
      </c>
      <c r="F736">
        <v>47</v>
      </c>
      <c r="G736" s="16">
        <v>21.38</v>
      </c>
      <c r="H736" t="s">
        <v>8</v>
      </c>
      <c r="I736" t="s">
        <v>138</v>
      </c>
      <c r="J736" t="s">
        <v>13</v>
      </c>
      <c r="K736" t="s">
        <v>11</v>
      </c>
    </row>
    <row r="737" spans="1:11" x14ac:dyDescent="0.45">
      <c r="A737">
        <v>4454</v>
      </c>
      <c r="B737" s="15">
        <v>43862</v>
      </c>
      <c r="C737" t="str">
        <f>TEXT(Table1[[#This Row],[Order Date]], "yyyy")</f>
        <v>2020</v>
      </c>
      <c r="D737" t="str">
        <f>TEXT(Table1[[#This Row],[Order Date]], "mmmm")</f>
        <v>February</v>
      </c>
      <c r="E737" s="16">
        <f>Table1[[#This Row],[Order Quantity]]*Table1[[#This Row],[Unit Price]]</f>
        <v>52.36</v>
      </c>
      <c r="F737">
        <v>17</v>
      </c>
      <c r="G737" s="16">
        <v>3.08</v>
      </c>
      <c r="H737" t="s">
        <v>8</v>
      </c>
      <c r="I737" t="s">
        <v>334</v>
      </c>
      <c r="J737" t="s">
        <v>13</v>
      </c>
      <c r="K737" t="s">
        <v>11</v>
      </c>
    </row>
    <row r="738" spans="1:11" x14ac:dyDescent="0.45">
      <c r="A738">
        <v>4455</v>
      </c>
      <c r="B738" s="15">
        <v>44479</v>
      </c>
      <c r="C738" t="str">
        <f>TEXT(Table1[[#This Row],[Order Date]], "yyyy")</f>
        <v>2021</v>
      </c>
      <c r="D738" t="str">
        <f>TEXT(Table1[[#This Row],[Order Date]], "mmmm")</f>
        <v>October</v>
      </c>
      <c r="E738" s="16">
        <f>Table1[[#This Row],[Order Quantity]]*Table1[[#This Row],[Unit Price]]</f>
        <v>296.01</v>
      </c>
      <c r="F738">
        <v>39</v>
      </c>
      <c r="G738" s="16">
        <v>7.59</v>
      </c>
      <c r="H738" t="s">
        <v>8</v>
      </c>
      <c r="I738" t="s">
        <v>336</v>
      </c>
      <c r="J738" t="s">
        <v>10</v>
      </c>
      <c r="K738" t="s">
        <v>15</v>
      </c>
    </row>
    <row r="739" spans="1:11" x14ac:dyDescent="0.45">
      <c r="A739">
        <v>4487</v>
      </c>
      <c r="B739" s="15">
        <v>44249</v>
      </c>
      <c r="C739" t="str">
        <f>TEXT(Table1[[#This Row],[Order Date]], "yyyy")</f>
        <v>2021</v>
      </c>
      <c r="D739" t="str">
        <f>TEXT(Table1[[#This Row],[Order Date]], "mmmm")</f>
        <v>February</v>
      </c>
      <c r="E739" s="16">
        <f>Table1[[#This Row],[Order Quantity]]*Table1[[#This Row],[Unit Price]]</f>
        <v>327</v>
      </c>
      <c r="F739">
        <v>50</v>
      </c>
      <c r="G739" s="16">
        <v>6.54</v>
      </c>
      <c r="H739" t="s">
        <v>8</v>
      </c>
      <c r="I739" t="s">
        <v>337</v>
      </c>
      <c r="J739" t="s">
        <v>10</v>
      </c>
      <c r="K739" t="s">
        <v>11</v>
      </c>
    </row>
    <row r="740" spans="1:11" x14ac:dyDescent="0.45">
      <c r="A740">
        <v>4514</v>
      </c>
      <c r="B740" s="15">
        <v>43950</v>
      </c>
      <c r="C740" t="str">
        <f>TEXT(Table1[[#This Row],[Order Date]], "yyyy")</f>
        <v>2020</v>
      </c>
      <c r="D740" t="str">
        <f>TEXT(Table1[[#This Row],[Order Date]], "mmmm")</f>
        <v>April</v>
      </c>
      <c r="E740" s="16">
        <f>Table1[[#This Row],[Order Quantity]]*Table1[[#This Row],[Unit Price]]</f>
        <v>3527.72</v>
      </c>
      <c r="F740">
        <v>28</v>
      </c>
      <c r="G740" s="16">
        <v>125.99</v>
      </c>
      <c r="H740" t="s">
        <v>8</v>
      </c>
      <c r="I740" t="s">
        <v>252</v>
      </c>
      <c r="J740" t="s">
        <v>23</v>
      </c>
      <c r="K740" t="s">
        <v>17</v>
      </c>
    </row>
    <row r="741" spans="1:11" x14ac:dyDescent="0.45">
      <c r="A741">
        <v>4515</v>
      </c>
      <c r="B741" s="15">
        <v>45001</v>
      </c>
      <c r="C741" t="str">
        <f>TEXT(Table1[[#This Row],[Order Date]], "yyyy")</f>
        <v>2023</v>
      </c>
      <c r="D741" t="str">
        <f>TEXT(Table1[[#This Row],[Order Date]], "mmmm")</f>
        <v>March</v>
      </c>
      <c r="E741" s="16">
        <f>Table1[[#This Row],[Order Quantity]]*Table1[[#This Row],[Unit Price]]</f>
        <v>846.79</v>
      </c>
      <c r="F741">
        <v>7</v>
      </c>
      <c r="G741" s="16">
        <v>120.97</v>
      </c>
      <c r="H741" t="s">
        <v>8</v>
      </c>
      <c r="I741" t="s">
        <v>204</v>
      </c>
      <c r="J741" t="s">
        <v>23</v>
      </c>
      <c r="K741" t="s">
        <v>17</v>
      </c>
    </row>
    <row r="742" spans="1:11" x14ac:dyDescent="0.45">
      <c r="A742">
        <v>4516</v>
      </c>
      <c r="B742" s="15">
        <v>43918</v>
      </c>
      <c r="C742" t="str">
        <f>TEXT(Table1[[#This Row],[Order Date]], "yyyy")</f>
        <v>2020</v>
      </c>
      <c r="D742" t="str">
        <f>TEXT(Table1[[#This Row],[Order Date]], "mmmm")</f>
        <v>March</v>
      </c>
      <c r="E742" s="16">
        <f>Table1[[#This Row],[Order Quantity]]*Table1[[#This Row],[Unit Price]]</f>
        <v>280.56</v>
      </c>
      <c r="F742">
        <v>42</v>
      </c>
      <c r="G742" s="16">
        <v>6.68</v>
      </c>
      <c r="H742" t="s">
        <v>8</v>
      </c>
      <c r="I742" t="s">
        <v>338</v>
      </c>
      <c r="J742" t="s">
        <v>10</v>
      </c>
      <c r="K742" t="s">
        <v>11</v>
      </c>
    </row>
    <row r="743" spans="1:11" x14ac:dyDescent="0.45">
      <c r="A743">
        <v>4545</v>
      </c>
      <c r="B743" s="15">
        <v>44212</v>
      </c>
      <c r="C743" t="str">
        <f>TEXT(Table1[[#This Row],[Order Date]], "yyyy")</f>
        <v>2021</v>
      </c>
      <c r="D743" t="str">
        <f>TEXT(Table1[[#This Row],[Order Date]], "mmmm")</f>
        <v>January</v>
      </c>
      <c r="E743" s="16">
        <f>Table1[[#This Row],[Order Quantity]]*Table1[[#This Row],[Unit Price]]</f>
        <v>132</v>
      </c>
      <c r="F743">
        <v>33</v>
      </c>
      <c r="G743" s="16">
        <v>4</v>
      </c>
      <c r="H743" t="s">
        <v>8</v>
      </c>
      <c r="I743" t="s">
        <v>29</v>
      </c>
      <c r="J743" t="s">
        <v>10</v>
      </c>
      <c r="K743" t="s">
        <v>11</v>
      </c>
    </row>
    <row r="744" spans="1:11" x14ac:dyDescent="0.45">
      <c r="A744">
        <v>4545</v>
      </c>
      <c r="B744" s="15">
        <v>44212</v>
      </c>
      <c r="C744" t="str">
        <f>TEXT(Table1[[#This Row],[Order Date]], "yyyy")</f>
        <v>2021</v>
      </c>
      <c r="D744" t="str">
        <f>TEXT(Table1[[#This Row],[Order Date]], "mmmm")</f>
        <v>January</v>
      </c>
      <c r="E744" s="16">
        <f>Table1[[#This Row],[Order Quantity]]*Table1[[#This Row],[Unit Price]]</f>
        <v>25.92</v>
      </c>
      <c r="F744">
        <v>4</v>
      </c>
      <c r="G744" s="16">
        <v>6.48</v>
      </c>
      <c r="H744" t="s">
        <v>8</v>
      </c>
      <c r="I744" t="s">
        <v>29</v>
      </c>
      <c r="J744" t="s">
        <v>10</v>
      </c>
      <c r="K744" t="s">
        <v>11</v>
      </c>
    </row>
    <row r="745" spans="1:11" x14ac:dyDescent="0.45">
      <c r="A745">
        <v>4578</v>
      </c>
      <c r="B745" s="15">
        <v>45181</v>
      </c>
      <c r="C745" t="str">
        <f>TEXT(Table1[[#This Row],[Order Date]], "yyyy")</f>
        <v>2023</v>
      </c>
      <c r="D745" t="str">
        <f>TEXT(Table1[[#This Row],[Order Date]], "mmmm")</f>
        <v>September</v>
      </c>
      <c r="E745" s="16">
        <f>Table1[[#This Row],[Order Quantity]]*Table1[[#This Row],[Unit Price]]</f>
        <v>291.60000000000002</v>
      </c>
      <c r="F745">
        <v>45</v>
      </c>
      <c r="G745" s="16">
        <v>6.48</v>
      </c>
      <c r="H745" t="s">
        <v>8</v>
      </c>
      <c r="I745" t="s">
        <v>293</v>
      </c>
      <c r="J745" t="s">
        <v>13</v>
      </c>
      <c r="K745" t="s">
        <v>11</v>
      </c>
    </row>
    <row r="746" spans="1:11" x14ac:dyDescent="0.45">
      <c r="A746">
        <v>4578</v>
      </c>
      <c r="B746" s="15">
        <v>45181</v>
      </c>
      <c r="C746" t="str">
        <f>TEXT(Table1[[#This Row],[Order Date]], "yyyy")</f>
        <v>2023</v>
      </c>
      <c r="D746" t="str">
        <f>TEXT(Table1[[#This Row],[Order Date]], "mmmm")</f>
        <v>September</v>
      </c>
      <c r="E746" s="16">
        <f>Table1[[#This Row],[Order Quantity]]*Table1[[#This Row],[Unit Price]]</f>
        <v>710.88</v>
      </c>
      <c r="F746">
        <v>48</v>
      </c>
      <c r="G746" s="16">
        <v>14.81</v>
      </c>
      <c r="H746" t="s">
        <v>8</v>
      </c>
      <c r="I746" t="s">
        <v>293</v>
      </c>
      <c r="J746" t="s">
        <v>13</v>
      </c>
      <c r="K746" t="s">
        <v>11</v>
      </c>
    </row>
    <row r="747" spans="1:11" x14ac:dyDescent="0.45">
      <c r="A747">
        <v>4578</v>
      </c>
      <c r="B747" s="15">
        <v>45181</v>
      </c>
      <c r="C747" t="str">
        <f>TEXT(Table1[[#This Row],[Order Date]], "yyyy")</f>
        <v>2023</v>
      </c>
      <c r="D747" t="str">
        <f>TEXT(Table1[[#This Row],[Order Date]], "mmmm")</f>
        <v>September</v>
      </c>
      <c r="E747" s="16">
        <f>Table1[[#This Row],[Order Quantity]]*Table1[[#This Row],[Unit Price]]</f>
        <v>303.59999999999997</v>
      </c>
      <c r="F747">
        <v>15</v>
      </c>
      <c r="G747" s="16">
        <v>20.239999999999998</v>
      </c>
      <c r="H747" t="s">
        <v>8</v>
      </c>
      <c r="I747" t="s">
        <v>293</v>
      </c>
      <c r="J747" t="s">
        <v>13</v>
      </c>
      <c r="K747" t="s">
        <v>15</v>
      </c>
    </row>
    <row r="748" spans="1:11" x14ac:dyDescent="0.45">
      <c r="A748">
        <v>4579</v>
      </c>
      <c r="B748" s="15">
        <v>44895</v>
      </c>
      <c r="C748" t="str">
        <f>TEXT(Table1[[#This Row],[Order Date]], "yyyy")</f>
        <v>2022</v>
      </c>
      <c r="D748" t="str">
        <f>TEXT(Table1[[#This Row],[Order Date]], "mmmm")</f>
        <v>November</v>
      </c>
      <c r="E748" s="16">
        <f>Table1[[#This Row],[Order Quantity]]*Table1[[#This Row],[Unit Price]]</f>
        <v>1736.3999999999999</v>
      </c>
      <c r="F748">
        <v>40</v>
      </c>
      <c r="G748" s="16">
        <v>43.41</v>
      </c>
      <c r="H748" t="s">
        <v>8</v>
      </c>
      <c r="I748" t="s">
        <v>339</v>
      </c>
      <c r="J748" t="s">
        <v>10</v>
      </c>
      <c r="K748" t="s">
        <v>11</v>
      </c>
    </row>
    <row r="749" spans="1:11" x14ac:dyDescent="0.45">
      <c r="A749">
        <v>4581</v>
      </c>
      <c r="B749" s="15">
        <v>45172</v>
      </c>
      <c r="C749" t="str">
        <f>TEXT(Table1[[#This Row],[Order Date]], "yyyy")</f>
        <v>2023</v>
      </c>
      <c r="D749" t="str">
        <f>TEXT(Table1[[#This Row],[Order Date]], "mmmm")</f>
        <v>September</v>
      </c>
      <c r="E749" s="16">
        <f>Table1[[#This Row],[Order Quantity]]*Table1[[#This Row],[Unit Price]]</f>
        <v>2262</v>
      </c>
      <c r="F749">
        <v>25</v>
      </c>
      <c r="G749" s="16">
        <v>90.48</v>
      </c>
      <c r="H749" t="s">
        <v>8</v>
      </c>
      <c r="I749" t="s">
        <v>129</v>
      </c>
      <c r="J749" t="s">
        <v>20</v>
      </c>
      <c r="K749" t="s">
        <v>11</v>
      </c>
    </row>
    <row r="750" spans="1:11" x14ac:dyDescent="0.45">
      <c r="A750">
        <v>4610</v>
      </c>
      <c r="B750" s="15">
        <v>44364</v>
      </c>
      <c r="C750" t="str">
        <f>TEXT(Table1[[#This Row],[Order Date]], "yyyy")</f>
        <v>2021</v>
      </c>
      <c r="D750" t="str">
        <f>TEXT(Table1[[#This Row],[Order Date]], "mmmm")</f>
        <v>June</v>
      </c>
      <c r="E750" s="16">
        <f>Table1[[#This Row],[Order Quantity]]*Table1[[#This Row],[Unit Price]]</f>
        <v>66.64</v>
      </c>
      <c r="F750">
        <v>8</v>
      </c>
      <c r="G750" s="16">
        <v>8.33</v>
      </c>
      <c r="H750" t="s">
        <v>8</v>
      </c>
      <c r="I750" t="s">
        <v>341</v>
      </c>
      <c r="J750" t="s">
        <v>10</v>
      </c>
      <c r="K750" t="s">
        <v>17</v>
      </c>
    </row>
    <row r="751" spans="1:11" x14ac:dyDescent="0.45">
      <c r="A751">
        <v>4610</v>
      </c>
      <c r="B751" s="15">
        <v>44364</v>
      </c>
      <c r="C751" t="str">
        <f>TEXT(Table1[[#This Row],[Order Date]], "yyyy")</f>
        <v>2021</v>
      </c>
      <c r="D751" t="str">
        <f>TEXT(Table1[[#This Row],[Order Date]], "mmmm")</f>
        <v>June</v>
      </c>
      <c r="E751" s="16">
        <f>Table1[[#This Row],[Order Quantity]]*Table1[[#This Row],[Unit Price]]</f>
        <v>454.43</v>
      </c>
      <c r="F751">
        <v>29</v>
      </c>
      <c r="G751" s="16">
        <v>15.67</v>
      </c>
      <c r="H751" t="s">
        <v>8</v>
      </c>
      <c r="I751" t="s">
        <v>341</v>
      </c>
      <c r="J751" t="s">
        <v>10</v>
      </c>
      <c r="K751" t="s">
        <v>11</v>
      </c>
    </row>
    <row r="752" spans="1:11" x14ac:dyDescent="0.45">
      <c r="A752">
        <v>4612</v>
      </c>
      <c r="B752" s="15">
        <v>44458</v>
      </c>
      <c r="C752" t="str">
        <f>TEXT(Table1[[#This Row],[Order Date]], "yyyy")</f>
        <v>2021</v>
      </c>
      <c r="D752" t="str">
        <f>TEXT(Table1[[#This Row],[Order Date]], "mmmm")</f>
        <v>September</v>
      </c>
      <c r="E752" s="16">
        <f>Table1[[#This Row],[Order Quantity]]*Table1[[#This Row],[Unit Price]]</f>
        <v>40.320000000000007</v>
      </c>
      <c r="F752">
        <v>9</v>
      </c>
      <c r="G752" s="16">
        <v>4.4800000000000004</v>
      </c>
      <c r="H752" t="s">
        <v>8</v>
      </c>
      <c r="I752" t="s">
        <v>145</v>
      </c>
      <c r="J752" t="s">
        <v>13</v>
      </c>
      <c r="K752" t="s">
        <v>11</v>
      </c>
    </row>
    <row r="753" spans="1:11" x14ac:dyDescent="0.45">
      <c r="A753">
        <v>4642</v>
      </c>
      <c r="B753" s="15">
        <v>44618</v>
      </c>
      <c r="C753" t="str">
        <f>TEXT(Table1[[#This Row],[Order Date]], "yyyy")</f>
        <v>2022</v>
      </c>
      <c r="D753" t="str">
        <f>TEXT(Table1[[#This Row],[Order Date]], "mmmm")</f>
        <v>February</v>
      </c>
      <c r="E753" s="16">
        <f>Table1[[#This Row],[Order Quantity]]*Table1[[#This Row],[Unit Price]]</f>
        <v>65.52</v>
      </c>
      <c r="F753">
        <v>9</v>
      </c>
      <c r="G753" s="16">
        <v>7.28</v>
      </c>
      <c r="H753" t="s">
        <v>8</v>
      </c>
      <c r="I753" t="s">
        <v>154</v>
      </c>
      <c r="J753" t="s">
        <v>13</v>
      </c>
      <c r="K753" t="s">
        <v>17</v>
      </c>
    </row>
    <row r="754" spans="1:11" x14ac:dyDescent="0.45">
      <c r="A754">
        <v>4645</v>
      </c>
      <c r="B754" s="15">
        <v>44093</v>
      </c>
      <c r="C754" t="str">
        <f>TEXT(Table1[[#This Row],[Order Date]], "yyyy")</f>
        <v>2020</v>
      </c>
      <c r="D754" t="str">
        <f>TEXT(Table1[[#This Row],[Order Date]], "mmmm")</f>
        <v>September</v>
      </c>
      <c r="E754" s="16">
        <f>Table1[[#This Row],[Order Quantity]]*Table1[[#This Row],[Unit Price]]</f>
        <v>921.9</v>
      </c>
      <c r="F754">
        <v>30</v>
      </c>
      <c r="G754" s="16">
        <v>30.73</v>
      </c>
      <c r="H754" t="s">
        <v>8</v>
      </c>
      <c r="I754" t="s">
        <v>342</v>
      </c>
      <c r="J754" t="s">
        <v>10</v>
      </c>
      <c r="K754" t="s">
        <v>17</v>
      </c>
    </row>
    <row r="755" spans="1:11" x14ac:dyDescent="0.45">
      <c r="A755">
        <v>4645</v>
      </c>
      <c r="B755" s="15">
        <v>44093</v>
      </c>
      <c r="C755" t="str">
        <f>TEXT(Table1[[#This Row],[Order Date]], "yyyy")</f>
        <v>2020</v>
      </c>
      <c r="D755" t="str">
        <f>TEXT(Table1[[#This Row],[Order Date]], "mmmm")</f>
        <v>September</v>
      </c>
      <c r="E755" s="16">
        <f>Table1[[#This Row],[Order Quantity]]*Table1[[#This Row],[Unit Price]]</f>
        <v>101.92</v>
      </c>
      <c r="F755">
        <v>7</v>
      </c>
      <c r="G755" s="16">
        <v>14.56</v>
      </c>
      <c r="H755" t="s">
        <v>8</v>
      </c>
      <c r="I755" t="s">
        <v>342</v>
      </c>
      <c r="J755" t="s">
        <v>10</v>
      </c>
      <c r="K755" t="s">
        <v>11</v>
      </c>
    </row>
    <row r="756" spans="1:11" x14ac:dyDescent="0.45">
      <c r="A756">
        <v>4645</v>
      </c>
      <c r="B756" s="15">
        <v>44093</v>
      </c>
      <c r="C756" t="str">
        <f>TEXT(Table1[[#This Row],[Order Date]], "yyyy")</f>
        <v>2020</v>
      </c>
      <c r="D756" t="str">
        <f>TEXT(Table1[[#This Row],[Order Date]], "mmmm")</f>
        <v>September</v>
      </c>
      <c r="E756" s="16">
        <f>Table1[[#This Row],[Order Quantity]]*Table1[[#This Row],[Unit Price]]</f>
        <v>3299.8900000000003</v>
      </c>
      <c r="F756">
        <v>11</v>
      </c>
      <c r="G756" s="16">
        <v>299.99</v>
      </c>
      <c r="H756" t="s">
        <v>8</v>
      </c>
      <c r="I756" t="s">
        <v>342</v>
      </c>
      <c r="J756" t="s">
        <v>10</v>
      </c>
      <c r="K756" t="s">
        <v>17</v>
      </c>
    </row>
    <row r="757" spans="1:11" x14ac:dyDescent="0.45">
      <c r="A757">
        <v>4647</v>
      </c>
      <c r="B757" s="15">
        <v>43964</v>
      </c>
      <c r="C757" t="str">
        <f>TEXT(Table1[[#This Row],[Order Date]], "yyyy")</f>
        <v>2020</v>
      </c>
      <c r="D757" t="str">
        <f>TEXT(Table1[[#This Row],[Order Date]], "mmmm")</f>
        <v>May</v>
      </c>
      <c r="E757" s="16">
        <f>Table1[[#This Row],[Order Quantity]]*Table1[[#This Row],[Unit Price]]</f>
        <v>1847.67</v>
      </c>
      <c r="F757">
        <v>33</v>
      </c>
      <c r="G757" s="16">
        <v>55.99</v>
      </c>
      <c r="H757" t="s">
        <v>8</v>
      </c>
      <c r="I757" t="s">
        <v>340</v>
      </c>
      <c r="J757" t="s">
        <v>13</v>
      </c>
      <c r="K757" t="s">
        <v>17</v>
      </c>
    </row>
    <row r="758" spans="1:11" x14ac:dyDescent="0.45">
      <c r="A758">
        <v>4647</v>
      </c>
      <c r="B758" s="15">
        <v>43964</v>
      </c>
      <c r="C758" t="str">
        <f>TEXT(Table1[[#This Row],[Order Date]], "yyyy")</f>
        <v>2020</v>
      </c>
      <c r="D758" t="str">
        <f>TEXT(Table1[[#This Row],[Order Date]], "mmmm")</f>
        <v>May</v>
      </c>
      <c r="E758" s="16">
        <f>Table1[[#This Row],[Order Quantity]]*Table1[[#This Row],[Unit Price]]</f>
        <v>472.6</v>
      </c>
      <c r="F758">
        <v>34</v>
      </c>
      <c r="G758" s="16">
        <v>13.9</v>
      </c>
      <c r="H758" t="s">
        <v>8</v>
      </c>
      <c r="I758" t="s">
        <v>340</v>
      </c>
      <c r="J758" t="s">
        <v>13</v>
      </c>
      <c r="K758" t="s">
        <v>11</v>
      </c>
    </row>
    <row r="759" spans="1:11" x14ac:dyDescent="0.45">
      <c r="A759">
        <v>4647</v>
      </c>
      <c r="B759" s="15">
        <v>43964</v>
      </c>
      <c r="C759" t="str">
        <f>TEXT(Table1[[#This Row],[Order Date]], "yyyy")</f>
        <v>2020</v>
      </c>
      <c r="D759" t="str">
        <f>TEXT(Table1[[#This Row],[Order Date]], "mmmm")</f>
        <v>May</v>
      </c>
      <c r="E759" s="16">
        <f>Table1[[#This Row],[Order Quantity]]*Table1[[#This Row],[Unit Price]]</f>
        <v>1140.51</v>
      </c>
      <c r="F759">
        <v>7</v>
      </c>
      <c r="G759" s="16">
        <v>162.93</v>
      </c>
      <c r="H759" t="s">
        <v>8</v>
      </c>
      <c r="I759" t="s">
        <v>340</v>
      </c>
      <c r="J759" t="s">
        <v>13</v>
      </c>
      <c r="K759" t="s">
        <v>11</v>
      </c>
    </row>
    <row r="760" spans="1:11" x14ac:dyDescent="0.45">
      <c r="A760">
        <v>4647</v>
      </c>
      <c r="B760" s="15">
        <v>43964</v>
      </c>
      <c r="C760" t="str">
        <f>TEXT(Table1[[#This Row],[Order Date]], "yyyy")</f>
        <v>2020</v>
      </c>
      <c r="D760" t="str">
        <f>TEXT(Table1[[#This Row],[Order Date]], "mmmm")</f>
        <v>May</v>
      </c>
      <c r="E760" s="16">
        <f>Table1[[#This Row],[Order Quantity]]*Table1[[#This Row],[Unit Price]]</f>
        <v>69.48</v>
      </c>
      <c r="F760">
        <v>6</v>
      </c>
      <c r="G760" s="16">
        <v>11.58</v>
      </c>
      <c r="H760" t="s">
        <v>8</v>
      </c>
      <c r="I760" t="s">
        <v>340</v>
      </c>
      <c r="J760" t="s">
        <v>13</v>
      </c>
      <c r="K760" t="s">
        <v>11</v>
      </c>
    </row>
    <row r="761" spans="1:11" x14ac:dyDescent="0.45">
      <c r="A761">
        <v>4672</v>
      </c>
      <c r="B761" s="15">
        <v>44871</v>
      </c>
      <c r="C761" t="str">
        <f>TEXT(Table1[[#This Row],[Order Date]], "yyyy")</f>
        <v>2022</v>
      </c>
      <c r="D761" t="str">
        <f>TEXT(Table1[[#This Row],[Order Date]], "mmmm")</f>
        <v>November</v>
      </c>
      <c r="E761" s="16">
        <f>Table1[[#This Row],[Order Quantity]]*Table1[[#This Row],[Unit Price]]</f>
        <v>154</v>
      </c>
      <c r="F761">
        <v>20</v>
      </c>
      <c r="G761" s="16">
        <v>7.7</v>
      </c>
      <c r="H761" t="s">
        <v>8</v>
      </c>
      <c r="I761" t="s">
        <v>310</v>
      </c>
      <c r="J761" t="s">
        <v>13</v>
      </c>
      <c r="K761" t="s">
        <v>15</v>
      </c>
    </row>
    <row r="762" spans="1:11" x14ac:dyDescent="0.45">
      <c r="A762">
        <v>4675</v>
      </c>
      <c r="B762" s="15">
        <v>44524</v>
      </c>
      <c r="C762" t="str">
        <f>TEXT(Table1[[#This Row],[Order Date]], "yyyy")</f>
        <v>2021</v>
      </c>
      <c r="D762" t="str">
        <f>TEXT(Table1[[#This Row],[Order Date]], "mmmm")</f>
        <v>November</v>
      </c>
      <c r="E762" s="16">
        <f>Table1[[#This Row],[Order Quantity]]*Table1[[#This Row],[Unit Price]]</f>
        <v>15.92</v>
      </c>
      <c r="F762">
        <v>4</v>
      </c>
      <c r="G762" s="16">
        <v>3.98</v>
      </c>
      <c r="H762" t="s">
        <v>8</v>
      </c>
      <c r="I762" t="s">
        <v>166</v>
      </c>
      <c r="J762" t="s">
        <v>23</v>
      </c>
      <c r="K762" t="s">
        <v>11</v>
      </c>
    </row>
    <row r="763" spans="1:11" x14ac:dyDescent="0.45">
      <c r="A763">
        <v>4676</v>
      </c>
      <c r="B763" s="15">
        <v>44804</v>
      </c>
      <c r="C763" t="str">
        <f>TEXT(Table1[[#This Row],[Order Date]], "yyyy")</f>
        <v>2022</v>
      </c>
      <c r="D763" t="str">
        <f>TEXT(Table1[[#This Row],[Order Date]], "mmmm")</f>
        <v>August</v>
      </c>
      <c r="E763" s="16">
        <f>Table1[[#This Row],[Order Quantity]]*Table1[[#This Row],[Unit Price]]</f>
        <v>1385.8899999999999</v>
      </c>
      <c r="F763">
        <v>11</v>
      </c>
      <c r="G763" s="16">
        <v>125.99</v>
      </c>
      <c r="H763" t="s">
        <v>8</v>
      </c>
      <c r="I763" t="s">
        <v>173</v>
      </c>
      <c r="J763" t="s">
        <v>20</v>
      </c>
      <c r="K763" t="s">
        <v>17</v>
      </c>
    </row>
    <row r="764" spans="1:11" x14ac:dyDescent="0.45">
      <c r="A764">
        <v>4676</v>
      </c>
      <c r="B764" s="15">
        <v>44804</v>
      </c>
      <c r="C764" t="str">
        <f>TEXT(Table1[[#This Row],[Order Date]], "yyyy")</f>
        <v>2022</v>
      </c>
      <c r="D764" t="str">
        <f>TEXT(Table1[[#This Row],[Order Date]], "mmmm")</f>
        <v>August</v>
      </c>
      <c r="E764" s="16">
        <f>Table1[[#This Row],[Order Quantity]]*Table1[[#This Row],[Unit Price]]</f>
        <v>187.5</v>
      </c>
      <c r="F764">
        <v>50</v>
      </c>
      <c r="G764" s="16">
        <v>3.75</v>
      </c>
      <c r="H764" t="s">
        <v>8</v>
      </c>
      <c r="I764" t="s">
        <v>173</v>
      </c>
      <c r="J764" t="s">
        <v>20</v>
      </c>
      <c r="K764" t="s">
        <v>11</v>
      </c>
    </row>
    <row r="765" spans="1:11" x14ac:dyDescent="0.45">
      <c r="A765">
        <v>4676</v>
      </c>
      <c r="B765" s="15">
        <v>44804</v>
      </c>
      <c r="C765" t="str">
        <f>TEXT(Table1[[#This Row],[Order Date]], "yyyy")</f>
        <v>2022</v>
      </c>
      <c r="D765" t="str">
        <f>TEXT(Table1[[#This Row],[Order Date]], "mmmm")</f>
        <v>August</v>
      </c>
      <c r="E765" s="16">
        <f>Table1[[#This Row],[Order Quantity]]*Table1[[#This Row],[Unit Price]]</f>
        <v>4679.7000000000007</v>
      </c>
      <c r="F765">
        <v>30</v>
      </c>
      <c r="G765" s="16">
        <v>155.99</v>
      </c>
      <c r="H765" t="s">
        <v>8</v>
      </c>
      <c r="I765" t="s">
        <v>173</v>
      </c>
      <c r="J765" t="s">
        <v>20</v>
      </c>
      <c r="K765" t="s">
        <v>17</v>
      </c>
    </row>
    <row r="766" spans="1:11" x14ac:dyDescent="0.45">
      <c r="A766">
        <v>4705</v>
      </c>
      <c r="B766" s="15">
        <v>45006</v>
      </c>
      <c r="C766" t="str">
        <f>TEXT(Table1[[#This Row],[Order Date]], "yyyy")</f>
        <v>2023</v>
      </c>
      <c r="D766" t="str">
        <f>TEXT(Table1[[#This Row],[Order Date]], "mmmm")</f>
        <v>March</v>
      </c>
      <c r="E766" s="16">
        <f>Table1[[#This Row],[Order Quantity]]*Table1[[#This Row],[Unit Price]]</f>
        <v>127.68</v>
      </c>
      <c r="F766">
        <v>16</v>
      </c>
      <c r="G766" s="16">
        <v>7.98</v>
      </c>
      <c r="H766" t="s">
        <v>8</v>
      </c>
      <c r="I766" t="s">
        <v>344</v>
      </c>
      <c r="J766" t="s">
        <v>13</v>
      </c>
      <c r="K766" t="s">
        <v>11</v>
      </c>
    </row>
    <row r="767" spans="1:11" x14ac:dyDescent="0.45">
      <c r="A767">
        <v>4706</v>
      </c>
      <c r="B767" s="15">
        <v>45288</v>
      </c>
      <c r="C767" t="str">
        <f>TEXT(Table1[[#This Row],[Order Date]], "yyyy")</f>
        <v>2023</v>
      </c>
      <c r="D767" t="str">
        <f>TEXT(Table1[[#This Row],[Order Date]], "mmmm")</f>
        <v>December</v>
      </c>
      <c r="E767" s="16">
        <f>Table1[[#This Row],[Order Quantity]]*Table1[[#This Row],[Unit Price]]</f>
        <v>2018.4</v>
      </c>
      <c r="F767">
        <v>30</v>
      </c>
      <c r="G767" s="16">
        <v>67.28</v>
      </c>
      <c r="H767" t="s">
        <v>8</v>
      </c>
      <c r="I767" t="s">
        <v>269</v>
      </c>
      <c r="J767" t="s">
        <v>10</v>
      </c>
      <c r="K767" t="s">
        <v>11</v>
      </c>
    </row>
    <row r="768" spans="1:11" x14ac:dyDescent="0.45">
      <c r="A768">
        <v>4708</v>
      </c>
      <c r="B768" s="15">
        <v>44104</v>
      </c>
      <c r="C768" t="str">
        <f>TEXT(Table1[[#This Row],[Order Date]], "yyyy")</f>
        <v>2020</v>
      </c>
      <c r="D768" t="str">
        <f>TEXT(Table1[[#This Row],[Order Date]], "mmmm")</f>
        <v>September</v>
      </c>
      <c r="E768" s="16">
        <f>Table1[[#This Row],[Order Quantity]]*Table1[[#This Row],[Unit Price]]</f>
        <v>187.92000000000002</v>
      </c>
      <c r="F768">
        <v>29</v>
      </c>
      <c r="G768" s="16">
        <v>6.48</v>
      </c>
      <c r="H768" t="s">
        <v>8</v>
      </c>
      <c r="I768" t="s">
        <v>54</v>
      </c>
      <c r="J768" t="s">
        <v>13</v>
      </c>
      <c r="K768" t="s">
        <v>11</v>
      </c>
    </row>
    <row r="769" spans="1:11" x14ac:dyDescent="0.45">
      <c r="A769">
        <v>4737</v>
      </c>
      <c r="B769" s="15">
        <v>44265</v>
      </c>
      <c r="C769" t="str">
        <f>TEXT(Table1[[#This Row],[Order Date]], "yyyy")</f>
        <v>2021</v>
      </c>
      <c r="D769" t="str">
        <f>TEXT(Table1[[#This Row],[Order Date]], "mmmm")</f>
        <v>March</v>
      </c>
      <c r="E769" s="16">
        <f>Table1[[#This Row],[Order Quantity]]*Table1[[#This Row],[Unit Price]]</f>
        <v>288.12</v>
      </c>
      <c r="F769">
        <v>49</v>
      </c>
      <c r="G769" s="16">
        <v>5.88</v>
      </c>
      <c r="H769" t="s">
        <v>8</v>
      </c>
      <c r="I769" t="s">
        <v>30</v>
      </c>
      <c r="J769" t="s">
        <v>13</v>
      </c>
      <c r="K769" t="s">
        <v>11</v>
      </c>
    </row>
    <row r="770" spans="1:11" x14ac:dyDescent="0.45">
      <c r="A770">
        <v>4738</v>
      </c>
      <c r="B770" s="15">
        <v>45023</v>
      </c>
      <c r="C770" t="str">
        <f>TEXT(Table1[[#This Row],[Order Date]], "yyyy")</f>
        <v>2023</v>
      </c>
      <c r="D770" t="str">
        <f>TEXT(Table1[[#This Row],[Order Date]], "mmmm")</f>
        <v>April</v>
      </c>
      <c r="E770" s="16">
        <f>Table1[[#This Row],[Order Quantity]]*Table1[[#This Row],[Unit Price]]</f>
        <v>9.42</v>
      </c>
      <c r="F770">
        <v>2</v>
      </c>
      <c r="G770" s="16">
        <v>4.71</v>
      </c>
      <c r="H770" t="s">
        <v>8</v>
      </c>
      <c r="I770" t="s">
        <v>105</v>
      </c>
      <c r="J770" t="s">
        <v>20</v>
      </c>
      <c r="K770" t="s">
        <v>11</v>
      </c>
    </row>
    <row r="771" spans="1:11" x14ac:dyDescent="0.45">
      <c r="A771">
        <v>4739</v>
      </c>
      <c r="B771" s="15">
        <v>44247</v>
      </c>
      <c r="C771" t="str">
        <f>TEXT(Table1[[#This Row],[Order Date]], "yyyy")</f>
        <v>2021</v>
      </c>
      <c r="D771" t="str">
        <f>TEXT(Table1[[#This Row],[Order Date]], "mmmm")</f>
        <v>February</v>
      </c>
      <c r="E771" s="16">
        <f>Table1[[#This Row],[Order Quantity]]*Table1[[#This Row],[Unit Price]]</f>
        <v>47.04</v>
      </c>
      <c r="F771">
        <v>16</v>
      </c>
      <c r="G771" s="16">
        <v>2.94</v>
      </c>
      <c r="H771" t="s">
        <v>8</v>
      </c>
      <c r="I771" t="s">
        <v>306</v>
      </c>
      <c r="J771" t="s">
        <v>13</v>
      </c>
      <c r="K771" t="s">
        <v>11</v>
      </c>
    </row>
    <row r="772" spans="1:11" x14ac:dyDescent="0.45">
      <c r="A772">
        <v>4741</v>
      </c>
      <c r="B772" s="15">
        <v>45113</v>
      </c>
      <c r="C772" t="str">
        <f>TEXT(Table1[[#This Row],[Order Date]], "yyyy")</f>
        <v>2023</v>
      </c>
      <c r="D772" t="str">
        <f>TEXT(Table1[[#This Row],[Order Date]], "mmmm")</f>
        <v>July</v>
      </c>
      <c r="E772" s="16">
        <f>Table1[[#This Row],[Order Quantity]]*Table1[[#This Row],[Unit Price]]</f>
        <v>350</v>
      </c>
      <c r="F772">
        <v>40</v>
      </c>
      <c r="G772" s="16">
        <v>8.75</v>
      </c>
      <c r="H772" t="s">
        <v>8</v>
      </c>
      <c r="I772" t="s">
        <v>110</v>
      </c>
      <c r="J772" t="s">
        <v>23</v>
      </c>
      <c r="K772" t="s">
        <v>15</v>
      </c>
    </row>
    <row r="773" spans="1:11" x14ac:dyDescent="0.45">
      <c r="A773">
        <v>4743</v>
      </c>
      <c r="B773" s="15">
        <v>44285</v>
      </c>
      <c r="C773" t="str">
        <f>TEXT(Table1[[#This Row],[Order Date]], "yyyy")</f>
        <v>2021</v>
      </c>
      <c r="D773" t="str">
        <f>TEXT(Table1[[#This Row],[Order Date]], "mmmm")</f>
        <v>March</v>
      </c>
      <c r="E773" s="16">
        <f>Table1[[#This Row],[Order Quantity]]*Table1[[#This Row],[Unit Price]]</f>
        <v>376.13</v>
      </c>
      <c r="F773">
        <v>29</v>
      </c>
      <c r="G773" s="16">
        <v>12.97</v>
      </c>
      <c r="H773" t="s">
        <v>8</v>
      </c>
      <c r="I773" t="s">
        <v>282</v>
      </c>
      <c r="J773" t="s">
        <v>20</v>
      </c>
      <c r="K773" t="s">
        <v>11</v>
      </c>
    </row>
    <row r="774" spans="1:11" x14ac:dyDescent="0.45">
      <c r="A774">
        <v>4743</v>
      </c>
      <c r="B774" s="15">
        <v>44285</v>
      </c>
      <c r="C774" t="str">
        <f>TEXT(Table1[[#This Row],[Order Date]], "yyyy")</f>
        <v>2021</v>
      </c>
      <c r="D774" t="str">
        <f>TEXT(Table1[[#This Row],[Order Date]], "mmmm")</f>
        <v>March</v>
      </c>
      <c r="E774" s="16">
        <f>Table1[[#This Row],[Order Quantity]]*Table1[[#This Row],[Unit Price]]</f>
        <v>668.48</v>
      </c>
      <c r="F774">
        <v>32</v>
      </c>
      <c r="G774" s="16">
        <v>20.89</v>
      </c>
      <c r="H774" t="s">
        <v>8</v>
      </c>
      <c r="I774" t="s">
        <v>282</v>
      </c>
      <c r="J774" t="s">
        <v>20</v>
      </c>
      <c r="K774" t="s">
        <v>11</v>
      </c>
    </row>
    <row r="775" spans="1:11" x14ac:dyDescent="0.45">
      <c r="A775">
        <v>4769</v>
      </c>
      <c r="B775" s="15">
        <v>44664</v>
      </c>
      <c r="C775" t="str">
        <f>TEXT(Table1[[#This Row],[Order Date]], "yyyy")</f>
        <v>2022</v>
      </c>
      <c r="D775" t="str">
        <f>TEXT(Table1[[#This Row],[Order Date]], "mmmm")</f>
        <v>April</v>
      </c>
      <c r="E775" s="16">
        <f>Table1[[#This Row],[Order Quantity]]*Table1[[#This Row],[Unit Price]]</f>
        <v>118.08</v>
      </c>
      <c r="F775">
        <v>41</v>
      </c>
      <c r="G775" s="16">
        <v>2.88</v>
      </c>
      <c r="H775" t="s">
        <v>8</v>
      </c>
      <c r="I775" t="s">
        <v>345</v>
      </c>
      <c r="J775" t="s">
        <v>20</v>
      </c>
      <c r="K775" t="s">
        <v>11</v>
      </c>
    </row>
    <row r="776" spans="1:11" x14ac:dyDescent="0.45">
      <c r="A776">
        <v>4772</v>
      </c>
      <c r="B776" s="15">
        <v>44087</v>
      </c>
      <c r="C776" t="str">
        <f>TEXT(Table1[[#This Row],[Order Date]], "yyyy")</f>
        <v>2020</v>
      </c>
      <c r="D776" t="str">
        <f>TEXT(Table1[[#This Row],[Order Date]], "mmmm")</f>
        <v>September</v>
      </c>
      <c r="E776" s="16">
        <f>Table1[[#This Row],[Order Quantity]]*Table1[[#This Row],[Unit Price]]</f>
        <v>1847.7199999999998</v>
      </c>
      <c r="F776">
        <v>28</v>
      </c>
      <c r="G776" s="16">
        <v>65.989999999999995</v>
      </c>
      <c r="H776" t="s">
        <v>8</v>
      </c>
      <c r="I776" t="s">
        <v>277</v>
      </c>
      <c r="J776" t="s">
        <v>13</v>
      </c>
      <c r="K776" t="s">
        <v>17</v>
      </c>
    </row>
    <row r="777" spans="1:11" x14ac:dyDescent="0.45">
      <c r="A777">
        <v>4773</v>
      </c>
      <c r="B777" s="15">
        <v>44917</v>
      </c>
      <c r="C777" t="str">
        <f>TEXT(Table1[[#This Row],[Order Date]], "yyyy")</f>
        <v>2022</v>
      </c>
      <c r="D777" t="str">
        <f>TEXT(Table1[[#This Row],[Order Date]], "mmmm")</f>
        <v>December</v>
      </c>
      <c r="E777" s="16">
        <f>Table1[[#This Row],[Order Quantity]]*Table1[[#This Row],[Unit Price]]</f>
        <v>301.08</v>
      </c>
      <c r="F777">
        <v>26</v>
      </c>
      <c r="G777" s="16">
        <v>11.58</v>
      </c>
      <c r="H777" t="s">
        <v>8</v>
      </c>
      <c r="I777" t="s">
        <v>45</v>
      </c>
      <c r="J777" t="s">
        <v>20</v>
      </c>
      <c r="K777" t="s">
        <v>11</v>
      </c>
    </row>
    <row r="778" spans="1:11" x14ac:dyDescent="0.45">
      <c r="A778">
        <v>4774</v>
      </c>
      <c r="B778" s="15">
        <v>44305</v>
      </c>
      <c r="C778" t="str">
        <f>TEXT(Table1[[#This Row],[Order Date]], "yyyy")</f>
        <v>2021</v>
      </c>
      <c r="D778" t="str">
        <f>TEXT(Table1[[#This Row],[Order Date]], "mmmm")</f>
        <v>April</v>
      </c>
      <c r="E778" s="16">
        <f>Table1[[#This Row],[Order Quantity]]*Table1[[#This Row],[Unit Price]]</f>
        <v>131.91999999999999</v>
      </c>
      <c r="F778">
        <v>4</v>
      </c>
      <c r="G778" s="16">
        <v>32.979999999999997</v>
      </c>
      <c r="H778" t="s">
        <v>8</v>
      </c>
      <c r="I778" t="s">
        <v>346</v>
      </c>
      <c r="J778" t="s">
        <v>13</v>
      </c>
      <c r="K778" t="s">
        <v>17</v>
      </c>
    </row>
    <row r="779" spans="1:11" x14ac:dyDescent="0.45">
      <c r="A779">
        <v>4800</v>
      </c>
      <c r="B779" s="15">
        <v>44931</v>
      </c>
      <c r="C779" t="str">
        <f>TEXT(Table1[[#This Row],[Order Date]], "yyyy")</f>
        <v>2023</v>
      </c>
      <c r="D779" t="str">
        <f>TEXT(Table1[[#This Row],[Order Date]], "mmmm")</f>
        <v>January</v>
      </c>
      <c r="E779" s="16">
        <f>Table1[[#This Row],[Order Quantity]]*Table1[[#This Row],[Unit Price]]</f>
        <v>32.159999999999997</v>
      </c>
      <c r="F779">
        <v>4</v>
      </c>
      <c r="G779" s="16">
        <v>8.0399999999999991</v>
      </c>
      <c r="H779" t="s">
        <v>8</v>
      </c>
      <c r="I779" t="s">
        <v>347</v>
      </c>
      <c r="J779" t="s">
        <v>13</v>
      </c>
      <c r="K779" t="s">
        <v>11</v>
      </c>
    </row>
    <row r="780" spans="1:11" x14ac:dyDescent="0.45">
      <c r="A780">
        <v>4800</v>
      </c>
      <c r="B780" s="15">
        <v>44931</v>
      </c>
      <c r="C780" t="str">
        <f>TEXT(Table1[[#This Row],[Order Date]], "yyyy")</f>
        <v>2023</v>
      </c>
      <c r="D780" t="str">
        <f>TEXT(Table1[[#This Row],[Order Date]], "mmmm")</f>
        <v>January</v>
      </c>
      <c r="E780" s="16">
        <f>Table1[[#This Row],[Order Quantity]]*Table1[[#This Row],[Unit Price]]</f>
        <v>83.47</v>
      </c>
      <c r="F780">
        <v>17</v>
      </c>
      <c r="G780" s="16">
        <v>4.91</v>
      </c>
      <c r="H780" t="s">
        <v>8</v>
      </c>
      <c r="I780" t="s">
        <v>347</v>
      </c>
      <c r="J780" t="s">
        <v>13</v>
      </c>
      <c r="K780" t="s">
        <v>11</v>
      </c>
    </row>
    <row r="781" spans="1:11" x14ac:dyDescent="0.45">
      <c r="A781">
        <v>4800</v>
      </c>
      <c r="B781" s="15">
        <v>44931</v>
      </c>
      <c r="C781" t="str">
        <f>TEXT(Table1[[#This Row],[Order Date]], "yyyy")</f>
        <v>2023</v>
      </c>
      <c r="D781" t="str">
        <f>TEXT(Table1[[#This Row],[Order Date]], "mmmm")</f>
        <v>January</v>
      </c>
      <c r="E781" s="16">
        <f>Table1[[#This Row],[Order Quantity]]*Table1[[#This Row],[Unit Price]]</f>
        <v>80.850000000000009</v>
      </c>
      <c r="F781">
        <v>7</v>
      </c>
      <c r="G781" s="16">
        <v>11.55</v>
      </c>
      <c r="H781" t="s">
        <v>8</v>
      </c>
      <c r="I781" t="s">
        <v>347</v>
      </c>
      <c r="J781" t="s">
        <v>13</v>
      </c>
      <c r="K781" t="s">
        <v>11</v>
      </c>
    </row>
    <row r="782" spans="1:11" x14ac:dyDescent="0.45">
      <c r="A782">
        <v>4804</v>
      </c>
      <c r="B782" s="15">
        <v>44953</v>
      </c>
      <c r="C782" t="str">
        <f>TEXT(Table1[[#This Row],[Order Date]], "yyyy")</f>
        <v>2023</v>
      </c>
      <c r="D782" t="str">
        <f>TEXT(Table1[[#This Row],[Order Date]], "mmmm")</f>
        <v>January</v>
      </c>
      <c r="E782" s="16">
        <f>Table1[[#This Row],[Order Quantity]]*Table1[[#This Row],[Unit Price]]</f>
        <v>441.73999999999995</v>
      </c>
      <c r="F782">
        <v>13</v>
      </c>
      <c r="G782" s="16">
        <v>33.979999999999997</v>
      </c>
      <c r="H782" t="s">
        <v>8</v>
      </c>
      <c r="I782" t="s">
        <v>185</v>
      </c>
      <c r="J782" t="s">
        <v>13</v>
      </c>
      <c r="K782" t="s">
        <v>17</v>
      </c>
    </row>
    <row r="783" spans="1:11" x14ac:dyDescent="0.45">
      <c r="A783">
        <v>4805</v>
      </c>
      <c r="B783" s="15">
        <v>45040</v>
      </c>
      <c r="C783" t="str">
        <f>TEXT(Table1[[#This Row],[Order Date]], "yyyy")</f>
        <v>2023</v>
      </c>
      <c r="D783" t="str">
        <f>TEXT(Table1[[#This Row],[Order Date]], "mmmm")</f>
        <v>April</v>
      </c>
      <c r="E783" s="16">
        <f>Table1[[#This Row],[Order Quantity]]*Table1[[#This Row],[Unit Price]]</f>
        <v>45.36</v>
      </c>
      <c r="F783">
        <v>7</v>
      </c>
      <c r="G783" s="16">
        <v>6.48</v>
      </c>
      <c r="H783" t="s">
        <v>8</v>
      </c>
      <c r="I783" t="s">
        <v>64</v>
      </c>
      <c r="J783" t="s">
        <v>10</v>
      </c>
      <c r="K783" t="s">
        <v>11</v>
      </c>
    </row>
    <row r="784" spans="1:11" x14ac:dyDescent="0.45">
      <c r="A784">
        <v>4835</v>
      </c>
      <c r="B784" s="15">
        <v>44128</v>
      </c>
      <c r="C784" t="str">
        <f>TEXT(Table1[[#This Row],[Order Date]], "yyyy")</f>
        <v>2020</v>
      </c>
      <c r="D784" t="str">
        <f>TEXT(Table1[[#This Row],[Order Date]], "mmmm")</f>
        <v>October</v>
      </c>
      <c r="E784" s="16">
        <f>Table1[[#This Row],[Order Quantity]]*Table1[[#This Row],[Unit Price]]</f>
        <v>7.5600000000000005</v>
      </c>
      <c r="F784">
        <v>3</v>
      </c>
      <c r="G784" s="16">
        <v>2.52</v>
      </c>
      <c r="H784" t="s">
        <v>8</v>
      </c>
      <c r="I784" t="s">
        <v>102</v>
      </c>
      <c r="J784" t="s">
        <v>20</v>
      </c>
      <c r="K784" t="s">
        <v>11</v>
      </c>
    </row>
    <row r="785" spans="1:11" x14ac:dyDescent="0.45">
      <c r="A785">
        <v>4839</v>
      </c>
      <c r="B785" s="15">
        <v>43960</v>
      </c>
      <c r="C785" t="str">
        <f>TEXT(Table1[[#This Row],[Order Date]], "yyyy")</f>
        <v>2020</v>
      </c>
      <c r="D785" t="str">
        <f>TEXT(Table1[[#This Row],[Order Date]], "mmmm")</f>
        <v>May</v>
      </c>
      <c r="E785" s="16">
        <f>Table1[[#This Row],[Order Quantity]]*Table1[[#This Row],[Unit Price]]</f>
        <v>155.52000000000001</v>
      </c>
      <c r="F785">
        <v>24</v>
      </c>
      <c r="G785" s="16">
        <v>6.48</v>
      </c>
      <c r="H785" t="s">
        <v>8</v>
      </c>
      <c r="I785" t="s">
        <v>220</v>
      </c>
      <c r="J785" t="s">
        <v>23</v>
      </c>
      <c r="K785" t="s">
        <v>11</v>
      </c>
    </row>
    <row r="786" spans="1:11" x14ac:dyDescent="0.45">
      <c r="A786">
        <v>4864</v>
      </c>
      <c r="B786" s="15">
        <v>45240</v>
      </c>
      <c r="C786" t="str">
        <f>TEXT(Table1[[#This Row],[Order Date]], "yyyy")</f>
        <v>2023</v>
      </c>
      <c r="D786" t="str">
        <f>TEXT(Table1[[#This Row],[Order Date]], "mmmm")</f>
        <v>November</v>
      </c>
      <c r="E786" s="16">
        <f>Table1[[#This Row],[Order Quantity]]*Table1[[#This Row],[Unit Price]]</f>
        <v>5055.68</v>
      </c>
      <c r="F786">
        <v>16</v>
      </c>
      <c r="G786" s="16">
        <v>315.98</v>
      </c>
      <c r="H786" t="s">
        <v>8</v>
      </c>
      <c r="I786" t="s">
        <v>348</v>
      </c>
      <c r="J786" t="s">
        <v>13</v>
      </c>
      <c r="K786" t="s">
        <v>11</v>
      </c>
    </row>
    <row r="787" spans="1:11" x14ac:dyDescent="0.45">
      <c r="A787">
        <v>4871</v>
      </c>
      <c r="B787" s="15">
        <v>44723</v>
      </c>
      <c r="C787" t="str">
        <f>TEXT(Table1[[#This Row],[Order Date]], "yyyy")</f>
        <v>2022</v>
      </c>
      <c r="D787" t="str">
        <f>TEXT(Table1[[#This Row],[Order Date]], "mmmm")</f>
        <v>June</v>
      </c>
      <c r="E787" s="16">
        <f>Table1[[#This Row],[Order Quantity]]*Table1[[#This Row],[Unit Price]]</f>
        <v>242.06</v>
      </c>
      <c r="F787">
        <v>26</v>
      </c>
      <c r="G787" s="16">
        <v>9.31</v>
      </c>
      <c r="H787" t="s">
        <v>8</v>
      </c>
      <c r="I787" t="s">
        <v>349</v>
      </c>
      <c r="J787" t="s">
        <v>23</v>
      </c>
      <c r="K787" t="s">
        <v>11</v>
      </c>
    </row>
    <row r="788" spans="1:11" x14ac:dyDescent="0.45">
      <c r="A788">
        <v>4896</v>
      </c>
      <c r="B788" s="15">
        <v>45159</v>
      </c>
      <c r="C788" t="str">
        <f>TEXT(Table1[[#This Row],[Order Date]], "yyyy")</f>
        <v>2023</v>
      </c>
      <c r="D788" t="str">
        <f>TEXT(Table1[[#This Row],[Order Date]], "mmmm")</f>
        <v>August</v>
      </c>
      <c r="E788" s="16">
        <f>Table1[[#This Row],[Order Quantity]]*Table1[[#This Row],[Unit Price]]</f>
        <v>885.24999999999989</v>
      </c>
      <c r="F788">
        <v>25</v>
      </c>
      <c r="G788" s="16">
        <v>35.409999999999997</v>
      </c>
      <c r="H788" t="s">
        <v>8</v>
      </c>
      <c r="I788" t="s">
        <v>350</v>
      </c>
      <c r="J788" t="s">
        <v>10</v>
      </c>
      <c r="K788" t="s">
        <v>17</v>
      </c>
    </row>
    <row r="789" spans="1:11" x14ac:dyDescent="0.45">
      <c r="A789">
        <v>4896</v>
      </c>
      <c r="B789" s="15">
        <v>45159</v>
      </c>
      <c r="C789" t="str">
        <f>TEXT(Table1[[#This Row],[Order Date]], "yyyy")</f>
        <v>2023</v>
      </c>
      <c r="D789" t="str">
        <f>TEXT(Table1[[#This Row],[Order Date]], "mmmm")</f>
        <v>August</v>
      </c>
      <c r="E789" s="16">
        <f>Table1[[#This Row],[Order Quantity]]*Table1[[#This Row],[Unit Price]]</f>
        <v>121.8</v>
      </c>
      <c r="F789">
        <v>21</v>
      </c>
      <c r="G789" s="16">
        <v>5.8</v>
      </c>
      <c r="H789" t="s">
        <v>8</v>
      </c>
      <c r="I789" t="s">
        <v>350</v>
      </c>
      <c r="J789" t="s">
        <v>10</v>
      </c>
      <c r="K789" t="s">
        <v>11</v>
      </c>
    </row>
    <row r="790" spans="1:11" x14ac:dyDescent="0.45">
      <c r="A790">
        <v>4931</v>
      </c>
      <c r="B790" s="15">
        <v>44151</v>
      </c>
      <c r="C790" t="str">
        <f>TEXT(Table1[[#This Row],[Order Date]], "yyyy")</f>
        <v>2020</v>
      </c>
      <c r="D790" t="str">
        <f>TEXT(Table1[[#This Row],[Order Date]], "mmmm")</f>
        <v>November</v>
      </c>
      <c r="E790" s="16">
        <f>Table1[[#This Row],[Order Quantity]]*Table1[[#This Row],[Unit Price]]</f>
        <v>179.74</v>
      </c>
      <c r="F790">
        <v>22</v>
      </c>
      <c r="G790" s="16">
        <v>8.17</v>
      </c>
      <c r="H790" t="s">
        <v>8</v>
      </c>
      <c r="I790" t="s">
        <v>351</v>
      </c>
      <c r="J790" t="s">
        <v>13</v>
      </c>
      <c r="K790" t="s">
        <v>11</v>
      </c>
    </row>
    <row r="791" spans="1:11" x14ac:dyDescent="0.45">
      <c r="A791">
        <v>4931</v>
      </c>
      <c r="B791" s="15">
        <v>44151</v>
      </c>
      <c r="C791" t="str">
        <f>TEXT(Table1[[#This Row],[Order Date]], "yyyy")</f>
        <v>2020</v>
      </c>
      <c r="D791" t="str">
        <f>TEXT(Table1[[#This Row],[Order Date]], "mmmm")</f>
        <v>November</v>
      </c>
      <c r="E791" s="16">
        <f>Table1[[#This Row],[Order Quantity]]*Table1[[#This Row],[Unit Price]]</f>
        <v>4994.55</v>
      </c>
      <c r="F791">
        <v>45</v>
      </c>
      <c r="G791" s="16">
        <v>110.99</v>
      </c>
      <c r="H791" t="s">
        <v>8</v>
      </c>
      <c r="I791" t="s">
        <v>351</v>
      </c>
      <c r="J791" t="s">
        <v>13</v>
      </c>
      <c r="K791" t="s">
        <v>17</v>
      </c>
    </row>
    <row r="792" spans="1:11" x14ac:dyDescent="0.45">
      <c r="A792">
        <v>4932</v>
      </c>
      <c r="B792" s="15">
        <v>44417</v>
      </c>
      <c r="C792" t="str">
        <f>TEXT(Table1[[#This Row],[Order Date]], "yyyy")</f>
        <v>2021</v>
      </c>
      <c r="D792" t="str">
        <f>TEXT(Table1[[#This Row],[Order Date]], "mmmm")</f>
        <v>August</v>
      </c>
      <c r="E792" s="16">
        <f>Table1[[#This Row],[Order Quantity]]*Table1[[#This Row],[Unit Price]]</f>
        <v>113.41000000000001</v>
      </c>
      <c r="F792">
        <v>11</v>
      </c>
      <c r="G792" s="16">
        <v>10.31</v>
      </c>
      <c r="H792" t="s">
        <v>8</v>
      </c>
      <c r="I792" t="s">
        <v>320</v>
      </c>
      <c r="J792" t="s">
        <v>13</v>
      </c>
      <c r="K792" t="s">
        <v>11</v>
      </c>
    </row>
    <row r="793" spans="1:11" x14ac:dyDescent="0.45">
      <c r="A793">
        <v>4935</v>
      </c>
      <c r="B793" s="15">
        <v>44340</v>
      </c>
      <c r="C793" t="str">
        <f>TEXT(Table1[[#This Row],[Order Date]], "yyyy")</f>
        <v>2021</v>
      </c>
      <c r="D793" t="str">
        <f>TEXT(Table1[[#This Row],[Order Date]], "mmmm")</f>
        <v>May</v>
      </c>
      <c r="E793" s="16">
        <f>Table1[[#This Row],[Order Quantity]]*Table1[[#This Row],[Unit Price]]</f>
        <v>110.4</v>
      </c>
      <c r="F793">
        <v>30</v>
      </c>
      <c r="G793" s="16">
        <v>3.68</v>
      </c>
      <c r="H793" t="s">
        <v>8</v>
      </c>
      <c r="I793" t="s">
        <v>352</v>
      </c>
      <c r="J793" t="s">
        <v>13</v>
      </c>
      <c r="K793" t="s">
        <v>11</v>
      </c>
    </row>
    <row r="794" spans="1:11" x14ac:dyDescent="0.45">
      <c r="A794">
        <v>4965</v>
      </c>
      <c r="B794" s="15">
        <v>44489</v>
      </c>
      <c r="C794" t="str">
        <f>TEXT(Table1[[#This Row],[Order Date]], "yyyy")</f>
        <v>2021</v>
      </c>
      <c r="D794" t="str">
        <f>TEXT(Table1[[#This Row],[Order Date]], "mmmm")</f>
        <v>October</v>
      </c>
      <c r="E794" s="16">
        <f>Table1[[#This Row],[Order Quantity]]*Table1[[#This Row],[Unit Price]]</f>
        <v>1074.08</v>
      </c>
      <c r="F794">
        <v>14</v>
      </c>
      <c r="G794" s="16">
        <v>76.72</v>
      </c>
      <c r="H794" t="s">
        <v>8</v>
      </c>
      <c r="I794" t="s">
        <v>47</v>
      </c>
      <c r="J794" t="s">
        <v>13</v>
      </c>
      <c r="K794" t="s">
        <v>11</v>
      </c>
    </row>
    <row r="795" spans="1:11" x14ac:dyDescent="0.45">
      <c r="A795">
        <v>4965</v>
      </c>
      <c r="B795" s="15">
        <v>44489</v>
      </c>
      <c r="C795" t="str">
        <f>TEXT(Table1[[#This Row],[Order Date]], "yyyy")</f>
        <v>2021</v>
      </c>
      <c r="D795" t="str">
        <f>TEXT(Table1[[#This Row],[Order Date]], "mmmm")</f>
        <v>October</v>
      </c>
      <c r="E795" s="16">
        <f>Table1[[#This Row],[Order Quantity]]*Table1[[#This Row],[Unit Price]]</f>
        <v>265.88</v>
      </c>
      <c r="F795">
        <v>46</v>
      </c>
      <c r="G795" s="16">
        <v>5.78</v>
      </c>
      <c r="H795" t="s">
        <v>8</v>
      </c>
      <c r="I795" t="s">
        <v>47</v>
      </c>
      <c r="J795" t="s">
        <v>13</v>
      </c>
      <c r="K795" t="s">
        <v>11</v>
      </c>
    </row>
    <row r="796" spans="1:11" x14ac:dyDescent="0.45">
      <c r="A796">
        <v>4996</v>
      </c>
      <c r="B796" s="15">
        <v>45182</v>
      </c>
      <c r="C796" t="str">
        <f>TEXT(Table1[[#This Row],[Order Date]], "yyyy")</f>
        <v>2023</v>
      </c>
      <c r="D796" t="str">
        <f>TEXT(Table1[[#This Row],[Order Date]], "mmmm")</f>
        <v>September</v>
      </c>
      <c r="E796" s="16">
        <f>Table1[[#This Row],[Order Quantity]]*Table1[[#This Row],[Unit Price]]</f>
        <v>4285.8</v>
      </c>
      <c r="F796">
        <v>30</v>
      </c>
      <c r="G796" s="16">
        <v>142.86000000000001</v>
      </c>
      <c r="H796" t="s">
        <v>8</v>
      </c>
      <c r="I796" t="s">
        <v>354</v>
      </c>
      <c r="J796" t="s">
        <v>13</v>
      </c>
      <c r="K796" t="s">
        <v>11</v>
      </c>
    </row>
    <row r="797" spans="1:11" x14ac:dyDescent="0.45">
      <c r="A797">
        <v>5028</v>
      </c>
      <c r="B797" s="15">
        <v>45032</v>
      </c>
      <c r="C797" t="str">
        <f>TEXT(Table1[[#This Row],[Order Date]], "yyyy")</f>
        <v>2023</v>
      </c>
      <c r="D797" t="str">
        <f>TEXT(Table1[[#This Row],[Order Date]], "mmmm")</f>
        <v>April</v>
      </c>
      <c r="E797" s="16">
        <f>Table1[[#This Row],[Order Quantity]]*Table1[[#This Row],[Unit Price]]</f>
        <v>77</v>
      </c>
      <c r="F797">
        <v>10</v>
      </c>
      <c r="G797" s="16">
        <v>7.7</v>
      </c>
      <c r="H797" t="s">
        <v>8</v>
      </c>
      <c r="I797" t="s">
        <v>232</v>
      </c>
      <c r="J797" t="s">
        <v>13</v>
      </c>
      <c r="K797" t="s">
        <v>15</v>
      </c>
    </row>
    <row r="798" spans="1:11" x14ac:dyDescent="0.45">
      <c r="A798">
        <v>5061</v>
      </c>
      <c r="B798" s="15">
        <v>44421</v>
      </c>
      <c r="C798" t="str">
        <f>TEXT(Table1[[#This Row],[Order Date]], "yyyy")</f>
        <v>2021</v>
      </c>
      <c r="D798" t="str">
        <f>TEXT(Table1[[#This Row],[Order Date]], "mmmm")</f>
        <v>August</v>
      </c>
      <c r="E798" s="16">
        <f>Table1[[#This Row],[Order Quantity]]*Table1[[#This Row],[Unit Price]]</f>
        <v>11.52</v>
      </c>
      <c r="F798">
        <v>4</v>
      </c>
      <c r="G798" s="16">
        <v>2.88</v>
      </c>
      <c r="H798" t="s">
        <v>8</v>
      </c>
      <c r="I798" t="s">
        <v>356</v>
      </c>
      <c r="J798" t="s">
        <v>13</v>
      </c>
      <c r="K798" t="s">
        <v>11</v>
      </c>
    </row>
    <row r="799" spans="1:11" x14ac:dyDescent="0.45">
      <c r="A799">
        <v>5092</v>
      </c>
      <c r="B799" s="15">
        <v>44863</v>
      </c>
      <c r="C799" t="str">
        <f>TEXT(Table1[[#This Row],[Order Date]], "yyyy")</f>
        <v>2022</v>
      </c>
      <c r="D799" t="str">
        <f>TEXT(Table1[[#This Row],[Order Date]], "mmmm")</f>
        <v>October</v>
      </c>
      <c r="E799" s="16">
        <f>Table1[[#This Row],[Order Quantity]]*Table1[[#This Row],[Unit Price]]</f>
        <v>969</v>
      </c>
      <c r="F799">
        <v>25</v>
      </c>
      <c r="G799" s="16">
        <v>38.76</v>
      </c>
      <c r="H799" t="s">
        <v>8</v>
      </c>
      <c r="I799" t="s">
        <v>357</v>
      </c>
      <c r="J799" t="s">
        <v>23</v>
      </c>
      <c r="K799" t="s">
        <v>11</v>
      </c>
    </row>
    <row r="800" spans="1:11" x14ac:dyDescent="0.45">
      <c r="A800">
        <v>5094</v>
      </c>
      <c r="B800" s="15">
        <v>44283</v>
      </c>
      <c r="C800" t="str">
        <f>TEXT(Table1[[#This Row],[Order Date]], "yyyy")</f>
        <v>2021</v>
      </c>
      <c r="D800" t="str">
        <f>TEXT(Table1[[#This Row],[Order Date]], "mmmm")</f>
        <v>March</v>
      </c>
      <c r="E800" s="16">
        <f>Table1[[#This Row],[Order Quantity]]*Table1[[#This Row],[Unit Price]]</f>
        <v>74.88</v>
      </c>
      <c r="F800">
        <v>2</v>
      </c>
      <c r="G800" s="16">
        <v>37.44</v>
      </c>
      <c r="H800" t="s">
        <v>8</v>
      </c>
      <c r="I800" t="s">
        <v>358</v>
      </c>
      <c r="J800" t="s">
        <v>10</v>
      </c>
      <c r="K800" t="s">
        <v>11</v>
      </c>
    </row>
    <row r="801" spans="1:11" x14ac:dyDescent="0.45">
      <c r="A801">
        <v>5095</v>
      </c>
      <c r="B801" s="15">
        <v>45037</v>
      </c>
      <c r="C801" t="str">
        <f>TEXT(Table1[[#This Row],[Order Date]], "yyyy")</f>
        <v>2023</v>
      </c>
      <c r="D801" t="str">
        <f>TEXT(Table1[[#This Row],[Order Date]], "mmmm")</f>
        <v>April</v>
      </c>
      <c r="E801" s="16">
        <f>Table1[[#This Row],[Order Quantity]]*Table1[[#This Row],[Unit Price]]</f>
        <v>881.93</v>
      </c>
      <c r="F801">
        <v>7</v>
      </c>
      <c r="G801" s="16">
        <v>125.99</v>
      </c>
      <c r="H801" t="s">
        <v>8</v>
      </c>
      <c r="I801" t="s">
        <v>359</v>
      </c>
      <c r="J801" t="s">
        <v>13</v>
      </c>
      <c r="K801" t="s">
        <v>17</v>
      </c>
    </row>
    <row r="802" spans="1:11" x14ac:dyDescent="0.45">
      <c r="A802">
        <v>5121</v>
      </c>
      <c r="B802" s="15">
        <v>45056</v>
      </c>
      <c r="C802" t="str">
        <f>TEXT(Table1[[#This Row],[Order Date]], "yyyy")</f>
        <v>2023</v>
      </c>
      <c r="D802" t="str">
        <f>TEXT(Table1[[#This Row],[Order Date]], "mmmm")</f>
        <v>May</v>
      </c>
      <c r="E802" s="16">
        <f>Table1[[#This Row],[Order Quantity]]*Table1[[#This Row],[Unit Price]]</f>
        <v>2519.5500000000002</v>
      </c>
      <c r="F802">
        <v>45</v>
      </c>
      <c r="G802" s="16">
        <v>55.99</v>
      </c>
      <c r="H802" t="s">
        <v>8</v>
      </c>
      <c r="I802" t="s">
        <v>348</v>
      </c>
      <c r="J802" t="s">
        <v>13</v>
      </c>
      <c r="K802" t="s">
        <v>17</v>
      </c>
    </row>
    <row r="803" spans="1:11" x14ac:dyDescent="0.45">
      <c r="A803">
        <v>5155</v>
      </c>
      <c r="B803" s="15">
        <v>43993</v>
      </c>
      <c r="C803" t="str">
        <f>TEXT(Table1[[#This Row],[Order Date]], "yyyy")</f>
        <v>2020</v>
      </c>
      <c r="D803" t="str">
        <f>TEXT(Table1[[#This Row],[Order Date]], "mmmm")</f>
        <v>June</v>
      </c>
      <c r="E803" s="16">
        <f>Table1[[#This Row],[Order Quantity]]*Table1[[#This Row],[Unit Price]]</f>
        <v>559.71999999999991</v>
      </c>
      <c r="F803">
        <v>14</v>
      </c>
      <c r="G803" s="16">
        <v>39.979999999999997</v>
      </c>
      <c r="H803" t="s">
        <v>8</v>
      </c>
      <c r="I803" t="s">
        <v>360</v>
      </c>
      <c r="J803" t="s">
        <v>13</v>
      </c>
      <c r="K803" t="s">
        <v>17</v>
      </c>
    </row>
    <row r="804" spans="1:11" x14ac:dyDescent="0.45">
      <c r="A804">
        <v>5188</v>
      </c>
      <c r="B804" s="15">
        <v>44621</v>
      </c>
      <c r="C804" t="str">
        <f>TEXT(Table1[[#This Row],[Order Date]], "yyyy")</f>
        <v>2022</v>
      </c>
      <c r="D804" t="str">
        <f>TEXT(Table1[[#This Row],[Order Date]], "mmmm")</f>
        <v>March</v>
      </c>
      <c r="E804" s="16">
        <f>Table1[[#This Row],[Order Quantity]]*Table1[[#This Row],[Unit Price]]</f>
        <v>192.24</v>
      </c>
      <c r="F804">
        <v>24</v>
      </c>
      <c r="G804" s="16">
        <v>8.01</v>
      </c>
      <c r="H804" t="s">
        <v>8</v>
      </c>
      <c r="I804" t="s">
        <v>269</v>
      </c>
      <c r="J804" t="s">
        <v>10</v>
      </c>
      <c r="K804" t="s">
        <v>11</v>
      </c>
    </row>
    <row r="805" spans="1:11" x14ac:dyDescent="0.45">
      <c r="A805">
        <v>5189</v>
      </c>
      <c r="B805" s="15">
        <v>44525</v>
      </c>
      <c r="C805" t="str">
        <f>TEXT(Table1[[#This Row],[Order Date]], "yyyy")</f>
        <v>2021</v>
      </c>
      <c r="D805" t="str">
        <f>TEXT(Table1[[#This Row],[Order Date]], "mmmm")</f>
        <v>November</v>
      </c>
      <c r="E805" s="16">
        <f>Table1[[#This Row],[Order Quantity]]*Table1[[#This Row],[Unit Price]]</f>
        <v>887.76</v>
      </c>
      <c r="F805">
        <v>12</v>
      </c>
      <c r="G805" s="16">
        <v>73.98</v>
      </c>
      <c r="H805" t="s">
        <v>8</v>
      </c>
      <c r="I805" t="s">
        <v>307</v>
      </c>
      <c r="J805" t="s">
        <v>13</v>
      </c>
      <c r="K805" t="s">
        <v>17</v>
      </c>
    </row>
    <row r="806" spans="1:11" x14ac:dyDescent="0.45">
      <c r="A806">
        <v>5189</v>
      </c>
      <c r="B806" s="15">
        <v>44525</v>
      </c>
      <c r="C806" t="str">
        <f>TEXT(Table1[[#This Row],[Order Date]], "yyyy")</f>
        <v>2021</v>
      </c>
      <c r="D806" t="str">
        <f>TEXT(Table1[[#This Row],[Order Date]], "mmmm")</f>
        <v>November</v>
      </c>
      <c r="E806" s="16">
        <f>Table1[[#This Row],[Order Quantity]]*Table1[[#This Row],[Unit Price]]</f>
        <v>1971.8999999999999</v>
      </c>
      <c r="F806">
        <v>14</v>
      </c>
      <c r="G806" s="16">
        <v>140.85</v>
      </c>
      <c r="H806" t="s">
        <v>8</v>
      </c>
      <c r="I806" t="s">
        <v>307</v>
      </c>
      <c r="J806" t="s">
        <v>13</v>
      </c>
      <c r="K806" t="s">
        <v>11</v>
      </c>
    </row>
    <row r="807" spans="1:11" x14ac:dyDescent="0.45">
      <c r="A807">
        <v>5189</v>
      </c>
      <c r="B807" s="15">
        <v>44525</v>
      </c>
      <c r="C807" t="str">
        <f>TEXT(Table1[[#This Row],[Order Date]], "yyyy")</f>
        <v>2021</v>
      </c>
      <c r="D807" t="str">
        <f>TEXT(Table1[[#This Row],[Order Date]], "mmmm")</f>
        <v>November</v>
      </c>
      <c r="E807" s="16">
        <f>Table1[[#This Row],[Order Quantity]]*Table1[[#This Row],[Unit Price]]</f>
        <v>21.92</v>
      </c>
      <c r="F807">
        <v>8</v>
      </c>
      <c r="G807" s="16">
        <v>2.74</v>
      </c>
      <c r="H807" t="s">
        <v>8</v>
      </c>
      <c r="I807" t="s">
        <v>307</v>
      </c>
      <c r="J807" t="s">
        <v>13</v>
      </c>
      <c r="K807" t="s">
        <v>11</v>
      </c>
    </row>
    <row r="808" spans="1:11" x14ac:dyDescent="0.45">
      <c r="A808">
        <v>5217</v>
      </c>
      <c r="B808" s="15">
        <v>44846</v>
      </c>
      <c r="C808" t="str">
        <f>TEXT(Table1[[#This Row],[Order Date]], "yyyy")</f>
        <v>2022</v>
      </c>
      <c r="D808" t="str">
        <f>TEXT(Table1[[#This Row],[Order Date]], "mmmm")</f>
        <v>October</v>
      </c>
      <c r="E808" s="16">
        <f>Table1[[#This Row],[Order Quantity]]*Table1[[#This Row],[Unit Price]]</f>
        <v>33.880000000000003</v>
      </c>
      <c r="F808">
        <v>11</v>
      </c>
      <c r="G808" s="16">
        <v>3.08</v>
      </c>
      <c r="H808" t="s">
        <v>8</v>
      </c>
      <c r="I808" t="s">
        <v>246</v>
      </c>
      <c r="J808" t="s">
        <v>20</v>
      </c>
      <c r="K808" t="s">
        <v>11</v>
      </c>
    </row>
    <row r="809" spans="1:11" x14ac:dyDescent="0.45">
      <c r="A809">
        <v>5221</v>
      </c>
      <c r="B809" s="15">
        <v>44720</v>
      </c>
      <c r="C809" t="str">
        <f>TEXT(Table1[[#This Row],[Order Date]], "yyyy")</f>
        <v>2022</v>
      </c>
      <c r="D809" t="str">
        <f>TEXT(Table1[[#This Row],[Order Date]], "mmmm")</f>
        <v>June</v>
      </c>
      <c r="E809" s="16">
        <f>Table1[[#This Row],[Order Quantity]]*Table1[[#This Row],[Unit Price]]</f>
        <v>1367.04</v>
      </c>
      <c r="F809">
        <v>48</v>
      </c>
      <c r="G809" s="16">
        <v>28.48</v>
      </c>
      <c r="H809" t="s">
        <v>8</v>
      </c>
      <c r="I809" t="s">
        <v>361</v>
      </c>
      <c r="J809" t="s">
        <v>13</v>
      </c>
      <c r="K809" t="s">
        <v>17</v>
      </c>
    </row>
    <row r="810" spans="1:11" x14ac:dyDescent="0.45">
      <c r="A810">
        <v>5254</v>
      </c>
      <c r="B810" s="15">
        <v>45132</v>
      </c>
      <c r="C810" t="str">
        <f>TEXT(Table1[[#This Row],[Order Date]], "yyyy")</f>
        <v>2023</v>
      </c>
      <c r="D810" t="str">
        <f>TEXT(Table1[[#This Row],[Order Date]], "mmmm")</f>
        <v>July</v>
      </c>
      <c r="E810" s="16">
        <f>Table1[[#This Row],[Order Quantity]]*Table1[[#This Row],[Unit Price]]</f>
        <v>2045.6899999999998</v>
      </c>
      <c r="F810">
        <v>31</v>
      </c>
      <c r="G810" s="16">
        <v>65.989999999999995</v>
      </c>
      <c r="H810" t="s">
        <v>8</v>
      </c>
      <c r="I810" t="s">
        <v>363</v>
      </c>
      <c r="J810" t="s">
        <v>13</v>
      </c>
      <c r="K810" t="s">
        <v>17</v>
      </c>
    </row>
    <row r="811" spans="1:11" x14ac:dyDescent="0.45">
      <c r="A811">
        <v>5281</v>
      </c>
      <c r="B811" s="15">
        <v>44866</v>
      </c>
      <c r="C811" t="str">
        <f>TEXT(Table1[[#This Row],[Order Date]], "yyyy")</f>
        <v>2022</v>
      </c>
      <c r="D811" t="str">
        <f>TEXT(Table1[[#This Row],[Order Date]], "mmmm")</f>
        <v>November</v>
      </c>
      <c r="E811" s="16">
        <f>Table1[[#This Row],[Order Quantity]]*Table1[[#This Row],[Unit Price]]</f>
        <v>2937.76</v>
      </c>
      <c r="F811">
        <v>14</v>
      </c>
      <c r="G811" s="16">
        <v>209.84</v>
      </c>
      <c r="H811" t="s">
        <v>8</v>
      </c>
      <c r="I811" t="s">
        <v>364</v>
      </c>
      <c r="J811" t="s">
        <v>23</v>
      </c>
      <c r="K811" t="s">
        <v>15</v>
      </c>
    </row>
    <row r="812" spans="1:11" x14ac:dyDescent="0.45">
      <c r="A812">
        <v>5283</v>
      </c>
      <c r="B812" s="15">
        <v>43985</v>
      </c>
      <c r="C812" t="str">
        <f>TEXT(Table1[[#This Row],[Order Date]], "yyyy")</f>
        <v>2020</v>
      </c>
      <c r="D812" t="str">
        <f>TEXT(Table1[[#This Row],[Order Date]], "mmmm")</f>
        <v>June</v>
      </c>
      <c r="E812" s="16">
        <f>Table1[[#This Row],[Order Quantity]]*Table1[[#This Row],[Unit Price]]</f>
        <v>2897.77</v>
      </c>
      <c r="F812">
        <v>23</v>
      </c>
      <c r="G812" s="16">
        <v>125.99</v>
      </c>
      <c r="H812" t="s">
        <v>8</v>
      </c>
      <c r="I812" t="s">
        <v>282</v>
      </c>
      <c r="J812" t="s">
        <v>20</v>
      </c>
      <c r="K812" t="s">
        <v>17</v>
      </c>
    </row>
    <row r="813" spans="1:11" x14ac:dyDescent="0.45">
      <c r="A813">
        <v>5284</v>
      </c>
      <c r="B813" s="15">
        <v>44750</v>
      </c>
      <c r="C813" t="str">
        <f>TEXT(Table1[[#This Row],[Order Date]], "yyyy")</f>
        <v>2022</v>
      </c>
      <c r="D813" t="str">
        <f>TEXT(Table1[[#This Row],[Order Date]], "mmmm")</f>
        <v>July</v>
      </c>
      <c r="E813" s="16">
        <f>Table1[[#This Row],[Order Quantity]]*Table1[[#This Row],[Unit Price]]</f>
        <v>60.83</v>
      </c>
      <c r="F813">
        <v>7</v>
      </c>
      <c r="G813" s="16">
        <v>8.69</v>
      </c>
      <c r="H813" t="s">
        <v>8</v>
      </c>
      <c r="I813" t="s">
        <v>173</v>
      </c>
      <c r="J813" t="s">
        <v>20</v>
      </c>
      <c r="K813" t="s">
        <v>11</v>
      </c>
    </row>
    <row r="814" spans="1:11" x14ac:dyDescent="0.45">
      <c r="A814">
        <v>5316</v>
      </c>
      <c r="B814" s="15">
        <v>43860</v>
      </c>
      <c r="C814" t="str">
        <f>TEXT(Table1[[#This Row],[Order Date]], "yyyy")</f>
        <v>2020</v>
      </c>
      <c r="D814" t="str">
        <f>TEXT(Table1[[#This Row],[Order Date]], "mmmm")</f>
        <v>January</v>
      </c>
      <c r="E814" s="16">
        <f>Table1[[#This Row],[Order Quantity]]*Table1[[#This Row],[Unit Price]]</f>
        <v>1334.76</v>
      </c>
      <c r="F814">
        <v>42</v>
      </c>
      <c r="G814" s="16">
        <v>31.78</v>
      </c>
      <c r="H814" t="s">
        <v>8</v>
      </c>
      <c r="I814" t="s">
        <v>69</v>
      </c>
      <c r="J814" t="s">
        <v>13</v>
      </c>
      <c r="K814" t="s">
        <v>17</v>
      </c>
    </row>
    <row r="815" spans="1:11" x14ac:dyDescent="0.45">
      <c r="A815">
        <v>5317</v>
      </c>
      <c r="B815" s="15">
        <v>44082</v>
      </c>
      <c r="C815" t="str">
        <f>TEXT(Table1[[#This Row],[Order Date]], "yyyy")</f>
        <v>2020</v>
      </c>
      <c r="D815" t="str">
        <f>TEXT(Table1[[#This Row],[Order Date]], "mmmm")</f>
        <v>September</v>
      </c>
      <c r="E815" s="16">
        <f>Table1[[#This Row],[Order Quantity]]*Table1[[#This Row],[Unit Price]]</f>
        <v>5149.75</v>
      </c>
      <c r="F815">
        <v>25</v>
      </c>
      <c r="G815" s="16">
        <v>205.99</v>
      </c>
      <c r="H815" t="s">
        <v>8</v>
      </c>
      <c r="I815" t="s">
        <v>240</v>
      </c>
      <c r="J815" t="s">
        <v>10</v>
      </c>
      <c r="K815" t="s">
        <v>17</v>
      </c>
    </row>
    <row r="816" spans="1:11" x14ac:dyDescent="0.45">
      <c r="A816">
        <v>5318</v>
      </c>
      <c r="B816" s="15">
        <v>44289</v>
      </c>
      <c r="C816" t="str">
        <f>TEXT(Table1[[#This Row],[Order Date]], "yyyy")</f>
        <v>2021</v>
      </c>
      <c r="D816" t="str">
        <f>TEXT(Table1[[#This Row],[Order Date]], "mmmm")</f>
        <v>April</v>
      </c>
      <c r="E816" s="16">
        <f>Table1[[#This Row],[Order Quantity]]*Table1[[#This Row],[Unit Price]]</f>
        <v>1048.96</v>
      </c>
      <c r="F816">
        <v>8</v>
      </c>
      <c r="G816" s="16">
        <v>131.12</v>
      </c>
      <c r="H816" t="s">
        <v>8</v>
      </c>
      <c r="I816" t="s">
        <v>66</v>
      </c>
      <c r="J816" t="s">
        <v>23</v>
      </c>
      <c r="K816" t="s">
        <v>11</v>
      </c>
    </row>
    <row r="817" spans="1:11" x14ac:dyDescent="0.45">
      <c r="A817">
        <v>5346</v>
      </c>
      <c r="B817" s="15">
        <v>44555</v>
      </c>
      <c r="C817" t="str">
        <f>TEXT(Table1[[#This Row],[Order Date]], "yyyy")</f>
        <v>2021</v>
      </c>
      <c r="D817" t="str">
        <f>TEXT(Table1[[#This Row],[Order Date]], "mmmm")</f>
        <v>December</v>
      </c>
      <c r="E817" s="16">
        <f>Table1[[#This Row],[Order Quantity]]*Table1[[#This Row],[Unit Price]]</f>
        <v>3093.32</v>
      </c>
      <c r="F817">
        <v>34</v>
      </c>
      <c r="G817" s="16">
        <v>90.98</v>
      </c>
      <c r="H817" t="s">
        <v>8</v>
      </c>
      <c r="I817" t="s">
        <v>365</v>
      </c>
      <c r="J817" t="s">
        <v>20</v>
      </c>
      <c r="K817" t="s">
        <v>15</v>
      </c>
    </row>
    <row r="818" spans="1:11" x14ac:dyDescent="0.45">
      <c r="A818">
        <v>5347</v>
      </c>
      <c r="B818" s="15">
        <v>44613</v>
      </c>
      <c r="C818" t="str">
        <f>TEXT(Table1[[#This Row],[Order Date]], "yyyy")</f>
        <v>2022</v>
      </c>
      <c r="D818" t="str">
        <f>TEXT(Table1[[#This Row],[Order Date]], "mmmm")</f>
        <v>February</v>
      </c>
      <c r="E818" s="16">
        <f>Table1[[#This Row],[Order Quantity]]*Table1[[#This Row],[Unit Price]]</f>
        <v>601.92999999999995</v>
      </c>
      <c r="F818">
        <v>7</v>
      </c>
      <c r="G818" s="16">
        <v>85.99</v>
      </c>
      <c r="H818" t="s">
        <v>8</v>
      </c>
      <c r="I818" t="s">
        <v>366</v>
      </c>
      <c r="J818" t="s">
        <v>13</v>
      </c>
      <c r="K818" t="s">
        <v>17</v>
      </c>
    </row>
    <row r="819" spans="1:11" x14ac:dyDescent="0.45">
      <c r="A819">
        <v>5347</v>
      </c>
      <c r="B819" s="15">
        <v>44613</v>
      </c>
      <c r="C819" t="str">
        <f>TEXT(Table1[[#This Row],[Order Date]], "yyyy")</f>
        <v>2022</v>
      </c>
      <c r="D819" t="str">
        <f>TEXT(Table1[[#This Row],[Order Date]], "mmmm")</f>
        <v>February</v>
      </c>
      <c r="E819" s="16">
        <f>Table1[[#This Row],[Order Quantity]]*Table1[[#This Row],[Unit Price]]</f>
        <v>311.61</v>
      </c>
      <c r="F819">
        <v>39</v>
      </c>
      <c r="G819" s="16">
        <v>7.99</v>
      </c>
      <c r="H819" t="s">
        <v>8</v>
      </c>
      <c r="I819" t="s">
        <v>366</v>
      </c>
      <c r="J819" t="s">
        <v>13</v>
      </c>
      <c r="K819" t="s">
        <v>17</v>
      </c>
    </row>
    <row r="820" spans="1:11" x14ac:dyDescent="0.45">
      <c r="A820">
        <v>5347</v>
      </c>
      <c r="B820" s="15">
        <v>44613</v>
      </c>
      <c r="C820" t="str">
        <f>TEXT(Table1[[#This Row],[Order Date]], "yyyy")</f>
        <v>2022</v>
      </c>
      <c r="D820" t="str">
        <f>TEXT(Table1[[#This Row],[Order Date]], "mmmm")</f>
        <v>February</v>
      </c>
      <c r="E820" s="16">
        <f>Table1[[#This Row],[Order Quantity]]*Table1[[#This Row],[Unit Price]]</f>
        <v>205.99</v>
      </c>
      <c r="F820">
        <v>1</v>
      </c>
      <c r="G820" s="16">
        <v>205.99</v>
      </c>
      <c r="H820" t="s">
        <v>8</v>
      </c>
      <c r="I820" t="s">
        <v>366</v>
      </c>
      <c r="J820" t="s">
        <v>13</v>
      </c>
      <c r="K820" t="s">
        <v>17</v>
      </c>
    </row>
    <row r="821" spans="1:11" x14ac:dyDescent="0.45">
      <c r="A821">
        <v>5350</v>
      </c>
      <c r="B821" s="15">
        <v>44478</v>
      </c>
      <c r="C821" t="str">
        <f>TEXT(Table1[[#This Row],[Order Date]], "yyyy")</f>
        <v>2021</v>
      </c>
      <c r="D821" t="str">
        <f>TEXT(Table1[[#This Row],[Order Date]], "mmmm")</f>
        <v>October</v>
      </c>
      <c r="E821" s="16">
        <f>Table1[[#This Row],[Order Quantity]]*Table1[[#This Row],[Unit Price]]</f>
        <v>441.87</v>
      </c>
      <c r="F821">
        <v>39</v>
      </c>
      <c r="G821" s="16">
        <v>11.33</v>
      </c>
      <c r="H821" t="s">
        <v>8</v>
      </c>
      <c r="I821" t="s">
        <v>367</v>
      </c>
      <c r="J821" t="s">
        <v>23</v>
      </c>
      <c r="K821" t="s">
        <v>11</v>
      </c>
    </row>
    <row r="822" spans="1:11" x14ac:dyDescent="0.45">
      <c r="A822">
        <v>5350</v>
      </c>
      <c r="B822" s="15">
        <v>44478</v>
      </c>
      <c r="C822" t="str">
        <f>TEXT(Table1[[#This Row],[Order Date]], "yyyy")</f>
        <v>2021</v>
      </c>
      <c r="D822" t="str">
        <f>TEXT(Table1[[#This Row],[Order Date]], "mmmm")</f>
        <v>October</v>
      </c>
      <c r="E822" s="16">
        <f>Table1[[#This Row],[Order Quantity]]*Table1[[#This Row],[Unit Price]]</f>
        <v>7042.5</v>
      </c>
      <c r="F822">
        <v>50</v>
      </c>
      <c r="G822" s="16">
        <v>140.85</v>
      </c>
      <c r="H822" t="s">
        <v>8</v>
      </c>
      <c r="I822" t="s">
        <v>367</v>
      </c>
      <c r="J822" t="s">
        <v>23</v>
      </c>
      <c r="K822" t="s">
        <v>11</v>
      </c>
    </row>
    <row r="823" spans="1:11" x14ac:dyDescent="0.45">
      <c r="A823">
        <v>5381</v>
      </c>
      <c r="B823" s="15">
        <v>44224</v>
      </c>
      <c r="C823" t="str">
        <f>TEXT(Table1[[#This Row],[Order Date]], "yyyy")</f>
        <v>2021</v>
      </c>
      <c r="D823" t="str">
        <f>TEXT(Table1[[#This Row],[Order Date]], "mmmm")</f>
        <v>January</v>
      </c>
      <c r="E823" s="16">
        <f>Table1[[#This Row],[Order Quantity]]*Table1[[#This Row],[Unit Price]]</f>
        <v>5053.91</v>
      </c>
      <c r="F823">
        <v>47</v>
      </c>
      <c r="G823" s="16">
        <v>107.53</v>
      </c>
      <c r="H823" t="s">
        <v>8</v>
      </c>
      <c r="I823" t="s">
        <v>106</v>
      </c>
      <c r="J823" t="s">
        <v>20</v>
      </c>
      <c r="K823" t="s">
        <v>15</v>
      </c>
    </row>
    <row r="824" spans="1:11" x14ac:dyDescent="0.45">
      <c r="A824">
        <v>5381</v>
      </c>
      <c r="B824" s="15">
        <v>44224</v>
      </c>
      <c r="C824" t="str">
        <f>TEXT(Table1[[#This Row],[Order Date]], "yyyy")</f>
        <v>2021</v>
      </c>
      <c r="D824" t="str">
        <f>TEXT(Table1[[#This Row],[Order Date]], "mmmm")</f>
        <v>January</v>
      </c>
      <c r="E824" s="16">
        <f>Table1[[#This Row],[Order Quantity]]*Table1[[#This Row],[Unit Price]]</f>
        <v>58.860000000000007</v>
      </c>
      <c r="F824">
        <v>27</v>
      </c>
      <c r="G824" s="16">
        <v>2.1800000000000002</v>
      </c>
      <c r="H824" t="s">
        <v>8</v>
      </c>
      <c r="I824" t="s">
        <v>106</v>
      </c>
      <c r="J824" t="s">
        <v>20</v>
      </c>
      <c r="K824" t="s">
        <v>11</v>
      </c>
    </row>
    <row r="825" spans="1:11" x14ac:dyDescent="0.45">
      <c r="A825">
        <v>5382</v>
      </c>
      <c r="B825" s="15">
        <v>44938</v>
      </c>
      <c r="C825" t="str">
        <f>TEXT(Table1[[#This Row],[Order Date]], "yyyy")</f>
        <v>2023</v>
      </c>
      <c r="D825" t="str">
        <f>TEXT(Table1[[#This Row],[Order Date]], "mmmm")</f>
        <v>January</v>
      </c>
      <c r="E825" s="16">
        <f>Table1[[#This Row],[Order Quantity]]*Table1[[#This Row],[Unit Price]]</f>
        <v>269.40000000000003</v>
      </c>
      <c r="F825">
        <v>30</v>
      </c>
      <c r="G825" s="16">
        <v>8.98</v>
      </c>
      <c r="H825" t="s">
        <v>8</v>
      </c>
      <c r="I825" t="s">
        <v>54</v>
      </c>
      <c r="J825" t="s">
        <v>23</v>
      </c>
      <c r="K825" t="s">
        <v>15</v>
      </c>
    </row>
    <row r="826" spans="1:11" x14ac:dyDescent="0.45">
      <c r="A826">
        <v>5408</v>
      </c>
      <c r="B826" s="15">
        <v>45127</v>
      </c>
      <c r="C826" t="str">
        <f>TEXT(Table1[[#This Row],[Order Date]], "yyyy")</f>
        <v>2023</v>
      </c>
      <c r="D826" t="str">
        <f>TEXT(Table1[[#This Row],[Order Date]], "mmmm")</f>
        <v>July</v>
      </c>
      <c r="E826" s="16">
        <f>Table1[[#This Row],[Order Quantity]]*Table1[[#This Row],[Unit Price]]</f>
        <v>82.6</v>
      </c>
      <c r="F826">
        <v>20</v>
      </c>
      <c r="G826" s="16">
        <v>4.13</v>
      </c>
      <c r="H826" t="s">
        <v>8</v>
      </c>
      <c r="I826" t="s">
        <v>226</v>
      </c>
      <c r="J826" t="s">
        <v>10</v>
      </c>
      <c r="K826" t="s">
        <v>11</v>
      </c>
    </row>
    <row r="827" spans="1:11" x14ac:dyDescent="0.45">
      <c r="A827">
        <v>5408</v>
      </c>
      <c r="B827" s="15">
        <v>45127</v>
      </c>
      <c r="C827" t="str">
        <f>TEXT(Table1[[#This Row],[Order Date]], "yyyy")</f>
        <v>2023</v>
      </c>
      <c r="D827" t="str">
        <f>TEXT(Table1[[#This Row],[Order Date]], "mmmm")</f>
        <v>July</v>
      </c>
      <c r="E827" s="16">
        <f>Table1[[#This Row],[Order Quantity]]*Table1[[#This Row],[Unit Price]]</f>
        <v>2308.2400000000002</v>
      </c>
      <c r="F827">
        <v>11</v>
      </c>
      <c r="G827" s="16">
        <v>209.84</v>
      </c>
      <c r="H827" t="s">
        <v>8</v>
      </c>
      <c r="I827" t="s">
        <v>226</v>
      </c>
      <c r="J827" t="s">
        <v>10</v>
      </c>
      <c r="K827" t="s">
        <v>15</v>
      </c>
    </row>
    <row r="828" spans="1:11" x14ac:dyDescent="0.45">
      <c r="A828">
        <v>5409</v>
      </c>
      <c r="B828" s="15">
        <v>44934</v>
      </c>
      <c r="C828" t="str">
        <f>TEXT(Table1[[#This Row],[Order Date]], "yyyy")</f>
        <v>2023</v>
      </c>
      <c r="D828" t="str">
        <f>TEXT(Table1[[#This Row],[Order Date]], "mmmm")</f>
        <v>January</v>
      </c>
      <c r="E828" s="16">
        <f>Table1[[#This Row],[Order Quantity]]*Table1[[#This Row],[Unit Price]]</f>
        <v>43.78</v>
      </c>
      <c r="F828">
        <v>11</v>
      </c>
      <c r="G828" s="16">
        <v>3.98</v>
      </c>
      <c r="H828" t="s">
        <v>8</v>
      </c>
      <c r="I828" t="s">
        <v>369</v>
      </c>
      <c r="J828" t="s">
        <v>13</v>
      </c>
      <c r="K828" t="s">
        <v>11</v>
      </c>
    </row>
    <row r="829" spans="1:11" x14ac:dyDescent="0.45">
      <c r="A829">
        <v>5441</v>
      </c>
      <c r="B829" s="15">
        <v>44032</v>
      </c>
      <c r="C829" t="str">
        <f>TEXT(Table1[[#This Row],[Order Date]], "yyyy")</f>
        <v>2020</v>
      </c>
      <c r="D829" t="str">
        <f>TEXT(Table1[[#This Row],[Order Date]], "mmmm")</f>
        <v>July</v>
      </c>
      <c r="E829" s="16">
        <f>Table1[[#This Row],[Order Quantity]]*Table1[[#This Row],[Unit Price]]</f>
        <v>220.32000000000002</v>
      </c>
      <c r="F829">
        <v>34</v>
      </c>
      <c r="G829" s="16">
        <v>6.48</v>
      </c>
      <c r="H829" t="s">
        <v>8</v>
      </c>
      <c r="I829" t="s">
        <v>370</v>
      </c>
      <c r="J829" t="s">
        <v>23</v>
      </c>
      <c r="K829" t="s">
        <v>11</v>
      </c>
    </row>
    <row r="830" spans="1:11" x14ac:dyDescent="0.45">
      <c r="A830">
        <v>5441</v>
      </c>
      <c r="B830" s="15">
        <v>44032</v>
      </c>
      <c r="C830" t="str">
        <f>TEXT(Table1[[#This Row],[Order Date]], "yyyy")</f>
        <v>2020</v>
      </c>
      <c r="D830" t="str">
        <f>TEXT(Table1[[#This Row],[Order Date]], "mmmm")</f>
        <v>July</v>
      </c>
      <c r="E830" s="16">
        <f>Table1[[#This Row],[Order Quantity]]*Table1[[#This Row],[Unit Price]]</f>
        <v>274.39999999999998</v>
      </c>
      <c r="F830">
        <v>16</v>
      </c>
      <c r="G830" s="16">
        <v>17.149999999999999</v>
      </c>
      <c r="H830" t="s">
        <v>8</v>
      </c>
      <c r="I830" t="s">
        <v>370</v>
      </c>
      <c r="J830" t="s">
        <v>23</v>
      </c>
      <c r="K830" t="s">
        <v>11</v>
      </c>
    </row>
    <row r="831" spans="1:11" x14ac:dyDescent="0.45">
      <c r="A831">
        <v>5444</v>
      </c>
      <c r="B831" s="15">
        <v>44637</v>
      </c>
      <c r="C831" t="str">
        <f>TEXT(Table1[[#This Row],[Order Date]], "yyyy")</f>
        <v>2022</v>
      </c>
      <c r="D831" t="str">
        <f>TEXT(Table1[[#This Row],[Order Date]], "mmmm")</f>
        <v>March</v>
      </c>
      <c r="E831" s="16">
        <f>Table1[[#This Row],[Order Quantity]]*Table1[[#This Row],[Unit Price]]</f>
        <v>899.98</v>
      </c>
      <c r="F831">
        <v>2</v>
      </c>
      <c r="G831" s="16">
        <v>449.99</v>
      </c>
      <c r="H831" t="s">
        <v>8</v>
      </c>
      <c r="I831" t="s">
        <v>371</v>
      </c>
      <c r="J831" t="s">
        <v>10</v>
      </c>
      <c r="K831" t="s">
        <v>17</v>
      </c>
    </row>
    <row r="832" spans="1:11" x14ac:dyDescent="0.45">
      <c r="A832">
        <v>5445</v>
      </c>
      <c r="B832" s="15">
        <v>44402</v>
      </c>
      <c r="C832" t="str">
        <f>TEXT(Table1[[#This Row],[Order Date]], "yyyy")</f>
        <v>2021</v>
      </c>
      <c r="D832" t="str">
        <f>TEXT(Table1[[#This Row],[Order Date]], "mmmm")</f>
        <v>July</v>
      </c>
      <c r="E832" s="16">
        <f>Table1[[#This Row],[Order Quantity]]*Table1[[#This Row],[Unit Price]]</f>
        <v>41.67</v>
      </c>
      <c r="F832">
        <v>9</v>
      </c>
      <c r="G832" s="16">
        <v>4.63</v>
      </c>
      <c r="H832" t="s">
        <v>8</v>
      </c>
      <c r="I832" t="s">
        <v>32</v>
      </c>
      <c r="J832" t="s">
        <v>20</v>
      </c>
      <c r="K832" t="s">
        <v>11</v>
      </c>
    </row>
    <row r="833" spans="1:11" x14ac:dyDescent="0.45">
      <c r="A833">
        <v>5446</v>
      </c>
      <c r="B833" s="15">
        <v>44002</v>
      </c>
      <c r="C833" t="str">
        <f>TEXT(Table1[[#This Row],[Order Date]], "yyyy")</f>
        <v>2020</v>
      </c>
      <c r="D833" t="str">
        <f>TEXT(Table1[[#This Row],[Order Date]], "mmmm")</f>
        <v>June</v>
      </c>
      <c r="E833" s="16">
        <f>Table1[[#This Row],[Order Quantity]]*Table1[[#This Row],[Unit Price]]</f>
        <v>461.16</v>
      </c>
      <c r="F833">
        <v>42</v>
      </c>
      <c r="G833" s="16">
        <v>10.98</v>
      </c>
      <c r="H833" t="s">
        <v>8</v>
      </c>
      <c r="I833" t="s">
        <v>131</v>
      </c>
      <c r="J833" t="s">
        <v>13</v>
      </c>
      <c r="K833" t="s">
        <v>11</v>
      </c>
    </row>
    <row r="834" spans="1:11" x14ac:dyDescent="0.45">
      <c r="A834">
        <v>5472</v>
      </c>
      <c r="B834" s="15">
        <v>44296</v>
      </c>
      <c r="C834" t="str">
        <f>TEXT(Table1[[#This Row],[Order Date]], "yyyy")</f>
        <v>2021</v>
      </c>
      <c r="D834" t="str">
        <f>TEXT(Table1[[#This Row],[Order Date]], "mmmm")</f>
        <v>April</v>
      </c>
      <c r="E834" s="16">
        <f>Table1[[#This Row],[Order Quantity]]*Table1[[#This Row],[Unit Price]]</f>
        <v>207.36</v>
      </c>
      <c r="F834">
        <v>32</v>
      </c>
      <c r="G834" s="16">
        <v>6.48</v>
      </c>
      <c r="H834" t="s">
        <v>8</v>
      </c>
      <c r="I834" t="s">
        <v>133</v>
      </c>
      <c r="J834" t="s">
        <v>13</v>
      </c>
      <c r="K834" t="s">
        <v>11</v>
      </c>
    </row>
    <row r="835" spans="1:11" x14ac:dyDescent="0.45">
      <c r="A835">
        <v>5472</v>
      </c>
      <c r="B835" s="15">
        <v>44296</v>
      </c>
      <c r="C835" t="str">
        <f>TEXT(Table1[[#This Row],[Order Date]], "yyyy")</f>
        <v>2021</v>
      </c>
      <c r="D835" t="str">
        <f>TEXT(Table1[[#This Row],[Order Date]], "mmmm")</f>
        <v>April</v>
      </c>
      <c r="E835" s="16">
        <f>Table1[[#This Row],[Order Quantity]]*Table1[[#This Row],[Unit Price]]</f>
        <v>363.96000000000004</v>
      </c>
      <c r="F835">
        <v>27</v>
      </c>
      <c r="G835" s="16">
        <v>13.48</v>
      </c>
      <c r="H835" t="s">
        <v>8</v>
      </c>
      <c r="I835" t="s">
        <v>133</v>
      </c>
      <c r="J835" t="s">
        <v>13</v>
      </c>
      <c r="K835" t="s">
        <v>11</v>
      </c>
    </row>
    <row r="836" spans="1:11" x14ac:dyDescent="0.45">
      <c r="A836">
        <v>5472</v>
      </c>
      <c r="B836" s="15">
        <v>44296</v>
      </c>
      <c r="C836" t="str">
        <f>TEXT(Table1[[#This Row],[Order Date]], "yyyy")</f>
        <v>2021</v>
      </c>
      <c r="D836" t="str">
        <f>TEXT(Table1[[#This Row],[Order Date]], "mmmm")</f>
        <v>April</v>
      </c>
      <c r="E836" s="16">
        <f>Table1[[#This Row],[Order Quantity]]*Table1[[#This Row],[Unit Price]]</f>
        <v>1391.8799999999999</v>
      </c>
      <c r="F836">
        <v>12</v>
      </c>
      <c r="G836" s="16">
        <v>115.99</v>
      </c>
      <c r="H836" t="s">
        <v>8</v>
      </c>
      <c r="I836" t="s">
        <v>133</v>
      </c>
      <c r="J836" t="s">
        <v>13</v>
      </c>
      <c r="K836" t="s">
        <v>17</v>
      </c>
    </row>
    <row r="837" spans="1:11" x14ac:dyDescent="0.45">
      <c r="A837">
        <v>5473</v>
      </c>
      <c r="B837" s="15">
        <v>45009</v>
      </c>
      <c r="C837" t="str">
        <f>TEXT(Table1[[#This Row],[Order Date]], "yyyy")</f>
        <v>2023</v>
      </c>
      <c r="D837" t="str">
        <f>TEXT(Table1[[#This Row],[Order Date]], "mmmm")</f>
        <v>March</v>
      </c>
      <c r="E837" s="16">
        <f>Table1[[#This Row],[Order Quantity]]*Table1[[#This Row],[Unit Price]]</f>
        <v>367.08</v>
      </c>
      <c r="F837">
        <v>42</v>
      </c>
      <c r="G837" s="16">
        <v>8.74</v>
      </c>
      <c r="H837" t="s">
        <v>8</v>
      </c>
      <c r="I837" t="s">
        <v>372</v>
      </c>
      <c r="J837" t="s">
        <v>10</v>
      </c>
      <c r="K837" t="s">
        <v>11</v>
      </c>
    </row>
    <row r="838" spans="1:11" x14ac:dyDescent="0.45">
      <c r="A838">
        <v>5504</v>
      </c>
      <c r="B838" s="15">
        <v>44201</v>
      </c>
      <c r="C838" t="str">
        <f>TEXT(Table1[[#This Row],[Order Date]], "yyyy")</f>
        <v>2021</v>
      </c>
      <c r="D838" t="str">
        <f>TEXT(Table1[[#This Row],[Order Date]], "mmmm")</f>
        <v>January</v>
      </c>
      <c r="E838" s="16">
        <f>Table1[[#This Row],[Order Quantity]]*Table1[[#This Row],[Unit Price]]</f>
        <v>689.85</v>
      </c>
      <c r="F838">
        <v>15</v>
      </c>
      <c r="G838" s="16">
        <v>45.99</v>
      </c>
      <c r="H838" t="s">
        <v>8</v>
      </c>
      <c r="I838" t="s">
        <v>373</v>
      </c>
      <c r="J838" t="s">
        <v>10</v>
      </c>
      <c r="K838" t="s">
        <v>17</v>
      </c>
    </row>
    <row r="839" spans="1:11" x14ac:dyDescent="0.45">
      <c r="A839">
        <v>5506</v>
      </c>
      <c r="B839" s="15">
        <v>44507</v>
      </c>
      <c r="C839" t="str">
        <f>TEXT(Table1[[#This Row],[Order Date]], "yyyy")</f>
        <v>2021</v>
      </c>
      <c r="D839" t="str">
        <f>TEXT(Table1[[#This Row],[Order Date]], "mmmm")</f>
        <v>November</v>
      </c>
      <c r="E839" s="16">
        <f>Table1[[#This Row],[Order Quantity]]*Table1[[#This Row],[Unit Price]]</f>
        <v>129.35999999999999</v>
      </c>
      <c r="F839">
        <v>22</v>
      </c>
      <c r="G839" s="16">
        <v>5.88</v>
      </c>
      <c r="H839" t="s">
        <v>8</v>
      </c>
      <c r="I839" t="s">
        <v>374</v>
      </c>
      <c r="J839" t="s">
        <v>13</v>
      </c>
      <c r="K839" t="s">
        <v>11</v>
      </c>
    </row>
    <row r="840" spans="1:11" x14ac:dyDescent="0.45">
      <c r="A840">
        <v>5509</v>
      </c>
      <c r="B840" s="15">
        <v>43928</v>
      </c>
      <c r="C840" t="str">
        <f>TEXT(Table1[[#This Row],[Order Date]], "yyyy")</f>
        <v>2020</v>
      </c>
      <c r="D840" t="str">
        <f>TEXT(Table1[[#This Row],[Order Date]], "mmmm")</f>
        <v>April</v>
      </c>
      <c r="E840" s="16">
        <f>Table1[[#This Row],[Order Quantity]]*Table1[[#This Row],[Unit Price]]</f>
        <v>61.38</v>
      </c>
      <c r="F840">
        <v>11</v>
      </c>
      <c r="G840" s="16">
        <v>5.58</v>
      </c>
      <c r="H840" t="s">
        <v>8</v>
      </c>
      <c r="I840" t="s">
        <v>375</v>
      </c>
      <c r="J840" t="s">
        <v>20</v>
      </c>
      <c r="K840" t="s">
        <v>11</v>
      </c>
    </row>
    <row r="841" spans="1:11" x14ac:dyDescent="0.45">
      <c r="A841">
        <v>5509</v>
      </c>
      <c r="B841" s="15">
        <v>43928</v>
      </c>
      <c r="C841" t="str">
        <f>TEXT(Table1[[#This Row],[Order Date]], "yyyy")</f>
        <v>2020</v>
      </c>
      <c r="D841" t="str">
        <f>TEXT(Table1[[#This Row],[Order Date]], "mmmm")</f>
        <v>April</v>
      </c>
      <c r="E841" s="16">
        <f>Table1[[#This Row],[Order Quantity]]*Table1[[#This Row],[Unit Price]]</f>
        <v>858.69</v>
      </c>
      <c r="F841">
        <v>21</v>
      </c>
      <c r="G841" s="16">
        <v>40.89</v>
      </c>
      <c r="H841" t="s">
        <v>8</v>
      </c>
      <c r="I841" t="s">
        <v>375</v>
      </c>
      <c r="J841" t="s">
        <v>20</v>
      </c>
      <c r="K841" t="s">
        <v>15</v>
      </c>
    </row>
    <row r="842" spans="1:11" x14ac:dyDescent="0.45">
      <c r="A842">
        <v>5510</v>
      </c>
      <c r="B842" s="15">
        <v>44203</v>
      </c>
      <c r="C842" t="str">
        <f>TEXT(Table1[[#This Row],[Order Date]], "yyyy")</f>
        <v>2021</v>
      </c>
      <c r="D842" t="str">
        <f>TEXT(Table1[[#This Row],[Order Date]], "mmmm")</f>
        <v>January</v>
      </c>
      <c r="E842" s="16">
        <f>Table1[[#This Row],[Order Quantity]]*Table1[[#This Row],[Unit Price]]</f>
        <v>116.16</v>
      </c>
      <c r="F842">
        <v>12</v>
      </c>
      <c r="G842" s="16">
        <v>9.68</v>
      </c>
      <c r="H842" t="s">
        <v>8</v>
      </c>
      <c r="I842" t="s">
        <v>302</v>
      </c>
      <c r="J842" t="s">
        <v>20</v>
      </c>
      <c r="K842" t="s">
        <v>11</v>
      </c>
    </row>
    <row r="843" spans="1:11" x14ac:dyDescent="0.45">
      <c r="A843">
        <v>5511</v>
      </c>
      <c r="B843" s="15">
        <v>44163</v>
      </c>
      <c r="C843" t="str">
        <f>TEXT(Table1[[#This Row],[Order Date]], "yyyy")</f>
        <v>2020</v>
      </c>
      <c r="D843" t="str">
        <f>TEXT(Table1[[#This Row],[Order Date]], "mmmm")</f>
        <v>November</v>
      </c>
      <c r="E843" s="16">
        <f>Table1[[#This Row],[Order Quantity]]*Table1[[#This Row],[Unit Price]]</f>
        <v>2111.6799999999998</v>
      </c>
      <c r="F843">
        <v>32</v>
      </c>
      <c r="G843" s="16">
        <v>65.989999999999995</v>
      </c>
      <c r="H843" t="s">
        <v>8</v>
      </c>
      <c r="I843" t="s">
        <v>171</v>
      </c>
      <c r="J843" t="s">
        <v>13</v>
      </c>
      <c r="K843" t="s">
        <v>17</v>
      </c>
    </row>
    <row r="844" spans="1:11" x14ac:dyDescent="0.45">
      <c r="A844">
        <v>5538</v>
      </c>
      <c r="B844" s="15">
        <v>44554</v>
      </c>
      <c r="C844" t="str">
        <f>TEXT(Table1[[#This Row],[Order Date]], "yyyy")</f>
        <v>2021</v>
      </c>
      <c r="D844" t="str">
        <f>TEXT(Table1[[#This Row],[Order Date]], "mmmm")</f>
        <v>December</v>
      </c>
      <c r="E844" s="16">
        <f>Table1[[#This Row],[Order Quantity]]*Table1[[#This Row],[Unit Price]]</f>
        <v>1254.3100000000002</v>
      </c>
      <c r="F844">
        <v>43</v>
      </c>
      <c r="G844" s="16">
        <v>29.17</v>
      </c>
      <c r="H844" t="s">
        <v>8</v>
      </c>
      <c r="I844" t="s">
        <v>291</v>
      </c>
      <c r="J844" t="s">
        <v>23</v>
      </c>
      <c r="K844" t="s">
        <v>11</v>
      </c>
    </row>
    <row r="845" spans="1:11" x14ac:dyDescent="0.45">
      <c r="A845">
        <v>5538</v>
      </c>
      <c r="B845" s="15">
        <v>44554</v>
      </c>
      <c r="C845" t="str">
        <f>TEXT(Table1[[#This Row],[Order Date]], "yyyy")</f>
        <v>2021</v>
      </c>
      <c r="D845" t="str">
        <f>TEXT(Table1[[#This Row],[Order Date]], "mmmm")</f>
        <v>December</v>
      </c>
      <c r="E845" s="16">
        <f>Table1[[#This Row],[Order Quantity]]*Table1[[#This Row],[Unit Price]]</f>
        <v>503.96</v>
      </c>
      <c r="F845">
        <v>4</v>
      </c>
      <c r="G845" s="16">
        <v>125.99</v>
      </c>
      <c r="H845" t="s">
        <v>8</v>
      </c>
      <c r="I845" t="s">
        <v>291</v>
      </c>
      <c r="J845" t="s">
        <v>23</v>
      </c>
      <c r="K845" t="s">
        <v>17</v>
      </c>
    </row>
    <row r="846" spans="1:11" x14ac:dyDescent="0.45">
      <c r="A846">
        <v>5543</v>
      </c>
      <c r="B846" s="15">
        <v>44463</v>
      </c>
      <c r="C846" t="str">
        <f>TEXT(Table1[[#This Row],[Order Date]], "yyyy")</f>
        <v>2021</v>
      </c>
      <c r="D846" t="str">
        <f>TEXT(Table1[[#This Row],[Order Date]], "mmmm")</f>
        <v>September</v>
      </c>
      <c r="E846" s="16">
        <f>Table1[[#This Row],[Order Quantity]]*Table1[[#This Row],[Unit Price]]</f>
        <v>728.69999999999993</v>
      </c>
      <c r="F846">
        <v>15</v>
      </c>
      <c r="G846" s="16">
        <v>48.58</v>
      </c>
      <c r="H846" t="s">
        <v>8</v>
      </c>
      <c r="I846" t="s">
        <v>376</v>
      </c>
      <c r="J846" t="s">
        <v>13</v>
      </c>
      <c r="K846" t="s">
        <v>11</v>
      </c>
    </row>
    <row r="847" spans="1:11" x14ac:dyDescent="0.45">
      <c r="A847">
        <v>5543</v>
      </c>
      <c r="B847" s="15">
        <v>44463</v>
      </c>
      <c r="C847" t="str">
        <f>TEXT(Table1[[#This Row],[Order Date]], "yyyy")</f>
        <v>2021</v>
      </c>
      <c r="D847" t="str">
        <f>TEXT(Table1[[#This Row],[Order Date]], "mmmm")</f>
        <v>September</v>
      </c>
      <c r="E847" s="16">
        <f>Table1[[#This Row],[Order Quantity]]*Table1[[#This Row],[Unit Price]]</f>
        <v>61.86</v>
      </c>
      <c r="F847">
        <v>6</v>
      </c>
      <c r="G847" s="16">
        <v>10.31</v>
      </c>
      <c r="H847" t="s">
        <v>8</v>
      </c>
      <c r="I847" t="s">
        <v>376</v>
      </c>
      <c r="J847" t="s">
        <v>13</v>
      </c>
      <c r="K847" t="s">
        <v>11</v>
      </c>
    </row>
    <row r="848" spans="1:11" x14ac:dyDescent="0.45">
      <c r="A848">
        <v>5543</v>
      </c>
      <c r="B848" s="15">
        <v>44463</v>
      </c>
      <c r="C848" t="str">
        <f>TEXT(Table1[[#This Row],[Order Date]], "yyyy")</f>
        <v>2021</v>
      </c>
      <c r="D848" t="str">
        <f>TEXT(Table1[[#This Row],[Order Date]], "mmmm")</f>
        <v>September</v>
      </c>
      <c r="E848" s="16">
        <f>Table1[[#This Row],[Order Quantity]]*Table1[[#This Row],[Unit Price]]</f>
        <v>58.860000000000007</v>
      </c>
      <c r="F848">
        <v>27</v>
      </c>
      <c r="G848" s="16">
        <v>2.1800000000000002</v>
      </c>
      <c r="H848" t="s">
        <v>8</v>
      </c>
      <c r="I848" t="s">
        <v>376</v>
      </c>
      <c r="J848" t="s">
        <v>13</v>
      </c>
      <c r="K848" t="s">
        <v>11</v>
      </c>
    </row>
    <row r="849" spans="1:11" x14ac:dyDescent="0.45">
      <c r="A849">
        <v>5568</v>
      </c>
      <c r="B849" s="15">
        <v>44718</v>
      </c>
      <c r="C849" t="str">
        <f>TEXT(Table1[[#This Row],[Order Date]], "yyyy")</f>
        <v>2022</v>
      </c>
      <c r="D849" t="str">
        <f>TEXT(Table1[[#This Row],[Order Date]], "mmmm")</f>
        <v>June</v>
      </c>
      <c r="E849" s="16">
        <f>Table1[[#This Row],[Order Quantity]]*Table1[[#This Row],[Unit Price]]</f>
        <v>114.72</v>
      </c>
      <c r="F849">
        <v>8</v>
      </c>
      <c r="G849" s="16">
        <v>14.34</v>
      </c>
      <c r="H849" t="s">
        <v>8</v>
      </c>
      <c r="I849" t="s">
        <v>377</v>
      </c>
      <c r="J849" t="s">
        <v>20</v>
      </c>
      <c r="K849" t="s">
        <v>15</v>
      </c>
    </row>
    <row r="850" spans="1:11" x14ac:dyDescent="0.45">
      <c r="A850">
        <v>5569</v>
      </c>
      <c r="B850" s="15">
        <v>44315</v>
      </c>
      <c r="C850" t="str">
        <f>TEXT(Table1[[#This Row],[Order Date]], "yyyy")</f>
        <v>2021</v>
      </c>
      <c r="D850" t="str">
        <f>TEXT(Table1[[#This Row],[Order Date]], "mmmm")</f>
        <v>April</v>
      </c>
      <c r="E850" s="16">
        <f>Table1[[#This Row],[Order Quantity]]*Table1[[#This Row],[Unit Price]]</f>
        <v>115.80000000000001</v>
      </c>
      <c r="F850">
        <v>12</v>
      </c>
      <c r="G850" s="16">
        <v>9.65</v>
      </c>
      <c r="H850" t="s">
        <v>8</v>
      </c>
      <c r="I850" t="s">
        <v>378</v>
      </c>
      <c r="J850" t="s">
        <v>13</v>
      </c>
      <c r="K850" t="s">
        <v>15</v>
      </c>
    </row>
    <row r="851" spans="1:11" x14ac:dyDescent="0.45">
      <c r="A851">
        <v>5572</v>
      </c>
      <c r="B851" s="15">
        <v>44028</v>
      </c>
      <c r="C851" t="str">
        <f>TEXT(Table1[[#This Row],[Order Date]], "yyyy")</f>
        <v>2020</v>
      </c>
      <c r="D851" t="str">
        <f>TEXT(Table1[[#This Row],[Order Date]], "mmmm")</f>
        <v>July</v>
      </c>
      <c r="E851" s="16">
        <f>Table1[[#This Row],[Order Quantity]]*Table1[[#This Row],[Unit Price]]</f>
        <v>272.69</v>
      </c>
      <c r="F851">
        <v>37</v>
      </c>
      <c r="G851" s="16">
        <v>7.37</v>
      </c>
      <c r="H851" t="s">
        <v>8</v>
      </c>
      <c r="I851" t="s">
        <v>379</v>
      </c>
      <c r="J851" t="s">
        <v>13</v>
      </c>
      <c r="K851" t="s">
        <v>17</v>
      </c>
    </row>
    <row r="852" spans="1:11" x14ac:dyDescent="0.45">
      <c r="A852">
        <v>5575</v>
      </c>
      <c r="B852" s="15">
        <v>44765</v>
      </c>
      <c r="C852" t="str">
        <f>TEXT(Table1[[#This Row],[Order Date]], "yyyy")</f>
        <v>2022</v>
      </c>
      <c r="D852" t="str">
        <f>TEXT(Table1[[#This Row],[Order Date]], "mmmm")</f>
        <v>July</v>
      </c>
      <c r="E852" s="16">
        <f>Table1[[#This Row],[Order Quantity]]*Table1[[#This Row],[Unit Price]]</f>
        <v>245.18</v>
      </c>
      <c r="F852">
        <v>41</v>
      </c>
      <c r="G852" s="16">
        <v>5.98</v>
      </c>
      <c r="H852" t="s">
        <v>8</v>
      </c>
      <c r="I852" t="s">
        <v>380</v>
      </c>
      <c r="J852" t="s">
        <v>13</v>
      </c>
      <c r="K852" t="s">
        <v>11</v>
      </c>
    </row>
    <row r="853" spans="1:11" x14ac:dyDescent="0.45">
      <c r="A853">
        <v>5601</v>
      </c>
      <c r="B853" s="15">
        <v>44931</v>
      </c>
      <c r="C853" t="str">
        <f>TEXT(Table1[[#This Row],[Order Date]], "yyyy")</f>
        <v>2023</v>
      </c>
      <c r="D853" t="str">
        <f>TEXT(Table1[[#This Row],[Order Date]], "mmmm")</f>
        <v>January</v>
      </c>
      <c r="E853" s="16">
        <f>Table1[[#This Row],[Order Quantity]]*Table1[[#This Row],[Unit Price]]</f>
        <v>122.2</v>
      </c>
      <c r="F853">
        <v>10</v>
      </c>
      <c r="G853" s="16">
        <v>12.22</v>
      </c>
      <c r="H853" t="s">
        <v>8</v>
      </c>
      <c r="I853" t="s">
        <v>381</v>
      </c>
      <c r="J853" t="s">
        <v>23</v>
      </c>
      <c r="K853" t="s">
        <v>15</v>
      </c>
    </row>
    <row r="854" spans="1:11" x14ac:dyDescent="0.45">
      <c r="A854">
        <v>5607</v>
      </c>
      <c r="B854" s="15">
        <v>44926</v>
      </c>
      <c r="C854" t="str">
        <f>TEXT(Table1[[#This Row],[Order Date]], "yyyy")</f>
        <v>2022</v>
      </c>
      <c r="D854" t="str">
        <f>TEXT(Table1[[#This Row],[Order Date]], "mmmm")</f>
        <v>December</v>
      </c>
      <c r="E854" s="16">
        <f>Table1[[#This Row],[Order Quantity]]*Table1[[#This Row],[Unit Price]]</f>
        <v>63.92</v>
      </c>
      <c r="F854">
        <v>8</v>
      </c>
      <c r="G854" s="16">
        <v>7.99</v>
      </c>
      <c r="H854" t="s">
        <v>8</v>
      </c>
      <c r="I854" t="s">
        <v>382</v>
      </c>
      <c r="J854" t="s">
        <v>20</v>
      </c>
      <c r="K854" t="s">
        <v>17</v>
      </c>
    </row>
    <row r="855" spans="1:11" x14ac:dyDescent="0.45">
      <c r="A855">
        <v>5635</v>
      </c>
      <c r="B855" s="15">
        <v>45153</v>
      </c>
      <c r="C855" t="str">
        <f>TEXT(Table1[[#This Row],[Order Date]], "yyyy")</f>
        <v>2023</v>
      </c>
      <c r="D855" t="str">
        <f>TEXT(Table1[[#This Row],[Order Date]], "mmmm")</f>
        <v>August</v>
      </c>
      <c r="E855" s="16">
        <f>Table1[[#This Row],[Order Quantity]]*Table1[[#This Row],[Unit Price]]</f>
        <v>195.5</v>
      </c>
      <c r="F855">
        <v>17</v>
      </c>
      <c r="G855" s="16">
        <v>11.5</v>
      </c>
      <c r="H855" t="s">
        <v>8</v>
      </c>
      <c r="I855" t="s">
        <v>383</v>
      </c>
      <c r="J855" t="s">
        <v>13</v>
      </c>
      <c r="K855" t="s">
        <v>11</v>
      </c>
    </row>
    <row r="856" spans="1:11" x14ac:dyDescent="0.45">
      <c r="A856">
        <v>5635</v>
      </c>
      <c r="B856" s="15">
        <v>45153</v>
      </c>
      <c r="C856" t="str">
        <f>TEXT(Table1[[#This Row],[Order Date]], "yyyy")</f>
        <v>2023</v>
      </c>
      <c r="D856" t="str">
        <f>TEXT(Table1[[#This Row],[Order Date]], "mmmm")</f>
        <v>August</v>
      </c>
      <c r="E856" s="16">
        <f>Table1[[#This Row],[Order Quantity]]*Table1[[#This Row],[Unit Price]]</f>
        <v>288.5</v>
      </c>
      <c r="F856">
        <v>50</v>
      </c>
      <c r="G856" s="16">
        <v>5.77</v>
      </c>
      <c r="H856" t="s">
        <v>8</v>
      </c>
      <c r="I856" t="s">
        <v>383</v>
      </c>
      <c r="J856" t="s">
        <v>13</v>
      </c>
      <c r="K856" t="s">
        <v>15</v>
      </c>
    </row>
    <row r="857" spans="1:11" x14ac:dyDescent="0.45">
      <c r="A857">
        <v>5636</v>
      </c>
      <c r="B857" s="15">
        <v>44607</v>
      </c>
      <c r="C857" t="str">
        <f>TEXT(Table1[[#This Row],[Order Date]], "yyyy")</f>
        <v>2022</v>
      </c>
      <c r="D857" t="str">
        <f>TEXT(Table1[[#This Row],[Order Date]], "mmmm")</f>
        <v>February</v>
      </c>
      <c r="E857" s="16">
        <f>Table1[[#This Row],[Order Quantity]]*Table1[[#This Row],[Unit Price]]</f>
        <v>134.54999999999998</v>
      </c>
      <c r="F857">
        <v>23</v>
      </c>
      <c r="G857" s="16">
        <v>5.85</v>
      </c>
      <c r="H857" t="s">
        <v>8</v>
      </c>
      <c r="I857" t="s">
        <v>384</v>
      </c>
      <c r="J857" t="s">
        <v>10</v>
      </c>
      <c r="K857" t="s">
        <v>11</v>
      </c>
    </row>
    <row r="858" spans="1:11" x14ac:dyDescent="0.45">
      <c r="A858">
        <v>5639</v>
      </c>
      <c r="B858" s="15">
        <v>43983</v>
      </c>
      <c r="C858" t="str">
        <f>TEXT(Table1[[#This Row],[Order Date]], "yyyy")</f>
        <v>2020</v>
      </c>
      <c r="D858" t="str">
        <f>TEXT(Table1[[#This Row],[Order Date]], "mmmm")</f>
        <v>June</v>
      </c>
      <c r="E858" s="16">
        <f>Table1[[#This Row],[Order Quantity]]*Table1[[#This Row],[Unit Price]]</f>
        <v>474.61</v>
      </c>
      <c r="F858">
        <v>31</v>
      </c>
      <c r="G858" s="16">
        <v>15.31</v>
      </c>
      <c r="H858" t="s">
        <v>8</v>
      </c>
      <c r="I858" t="s">
        <v>385</v>
      </c>
      <c r="J858" t="s">
        <v>10</v>
      </c>
      <c r="K858" t="s">
        <v>11</v>
      </c>
    </row>
    <row r="859" spans="1:11" x14ac:dyDescent="0.45">
      <c r="A859">
        <v>5696</v>
      </c>
      <c r="B859" s="15">
        <v>44684</v>
      </c>
      <c r="C859" t="str">
        <f>TEXT(Table1[[#This Row],[Order Date]], "yyyy")</f>
        <v>2022</v>
      </c>
      <c r="D859" t="str">
        <f>TEXT(Table1[[#This Row],[Order Date]], "mmmm")</f>
        <v>May</v>
      </c>
      <c r="E859" s="16">
        <f>Table1[[#This Row],[Order Quantity]]*Table1[[#This Row],[Unit Price]]</f>
        <v>2103.92</v>
      </c>
      <c r="F859">
        <v>4</v>
      </c>
      <c r="G859" s="16">
        <v>525.98</v>
      </c>
      <c r="H859" t="s">
        <v>8</v>
      </c>
      <c r="I859" t="s">
        <v>386</v>
      </c>
      <c r="J859" t="s">
        <v>23</v>
      </c>
      <c r="K859" t="s">
        <v>11</v>
      </c>
    </row>
    <row r="860" spans="1:11" x14ac:dyDescent="0.45">
      <c r="A860">
        <v>5696</v>
      </c>
      <c r="B860" s="15">
        <v>44684</v>
      </c>
      <c r="C860" t="str">
        <f>TEXT(Table1[[#This Row],[Order Date]], "yyyy")</f>
        <v>2022</v>
      </c>
      <c r="D860" t="str">
        <f>TEXT(Table1[[#This Row],[Order Date]], "mmmm")</f>
        <v>May</v>
      </c>
      <c r="E860" s="16">
        <f>Table1[[#This Row],[Order Quantity]]*Table1[[#This Row],[Unit Price]]</f>
        <v>660.40000000000009</v>
      </c>
      <c r="F860">
        <v>40</v>
      </c>
      <c r="G860" s="16">
        <v>16.510000000000002</v>
      </c>
      <c r="H860" t="s">
        <v>8</v>
      </c>
      <c r="I860" t="s">
        <v>386</v>
      </c>
      <c r="J860" t="s">
        <v>23</v>
      </c>
      <c r="K860" t="s">
        <v>11</v>
      </c>
    </row>
    <row r="861" spans="1:11" x14ac:dyDescent="0.45">
      <c r="A861">
        <v>5696</v>
      </c>
      <c r="B861" s="15">
        <v>44684</v>
      </c>
      <c r="C861" t="str">
        <f>TEXT(Table1[[#This Row],[Order Date]], "yyyy")</f>
        <v>2022</v>
      </c>
      <c r="D861" t="str">
        <f>TEXT(Table1[[#This Row],[Order Date]], "mmmm")</f>
        <v>May</v>
      </c>
      <c r="E861" s="16">
        <f>Table1[[#This Row],[Order Quantity]]*Table1[[#This Row],[Unit Price]]</f>
        <v>185.38000000000002</v>
      </c>
      <c r="F861">
        <v>31</v>
      </c>
      <c r="G861" s="16">
        <v>5.98</v>
      </c>
      <c r="H861" t="s">
        <v>8</v>
      </c>
      <c r="I861" t="s">
        <v>386</v>
      </c>
      <c r="J861" t="s">
        <v>23</v>
      </c>
      <c r="K861" t="s">
        <v>17</v>
      </c>
    </row>
    <row r="862" spans="1:11" x14ac:dyDescent="0.45">
      <c r="A862">
        <v>5697</v>
      </c>
      <c r="B862" s="15">
        <v>45203</v>
      </c>
      <c r="C862" t="str">
        <f>TEXT(Table1[[#This Row],[Order Date]], "yyyy")</f>
        <v>2023</v>
      </c>
      <c r="D862" t="str">
        <f>TEXT(Table1[[#This Row],[Order Date]], "mmmm")</f>
        <v>October</v>
      </c>
      <c r="E862" s="16">
        <f>Table1[[#This Row],[Order Quantity]]*Table1[[#This Row],[Unit Price]]</f>
        <v>349.98999999999995</v>
      </c>
      <c r="F862">
        <v>31</v>
      </c>
      <c r="G862" s="16">
        <v>11.29</v>
      </c>
      <c r="H862" t="s">
        <v>8</v>
      </c>
      <c r="I862" t="s">
        <v>121</v>
      </c>
      <c r="J862" t="s">
        <v>20</v>
      </c>
      <c r="K862" t="s">
        <v>11</v>
      </c>
    </row>
    <row r="863" spans="1:11" x14ac:dyDescent="0.45">
      <c r="A863">
        <v>5698</v>
      </c>
      <c r="B863" s="15">
        <v>43971</v>
      </c>
      <c r="C863" t="str">
        <f>TEXT(Table1[[#This Row],[Order Date]], "yyyy")</f>
        <v>2020</v>
      </c>
      <c r="D863" t="str">
        <f>TEXT(Table1[[#This Row],[Order Date]], "mmmm")</f>
        <v>May</v>
      </c>
      <c r="E863" s="16">
        <f>Table1[[#This Row],[Order Quantity]]*Table1[[#This Row],[Unit Price]]</f>
        <v>307.2</v>
      </c>
      <c r="F863">
        <v>15</v>
      </c>
      <c r="G863" s="16">
        <v>20.48</v>
      </c>
      <c r="H863" t="s">
        <v>8</v>
      </c>
      <c r="I863" t="s">
        <v>387</v>
      </c>
      <c r="J863" t="s">
        <v>23</v>
      </c>
      <c r="K863" t="s">
        <v>11</v>
      </c>
    </row>
    <row r="864" spans="1:11" x14ac:dyDescent="0.45">
      <c r="A864">
        <v>5698</v>
      </c>
      <c r="B864" s="15">
        <v>43971</v>
      </c>
      <c r="C864" t="str">
        <f>TEXT(Table1[[#This Row],[Order Date]], "yyyy")</f>
        <v>2020</v>
      </c>
      <c r="D864" t="str">
        <f>TEXT(Table1[[#This Row],[Order Date]], "mmmm")</f>
        <v>May</v>
      </c>
      <c r="E864" s="16">
        <f>Table1[[#This Row],[Order Quantity]]*Table1[[#This Row],[Unit Price]]</f>
        <v>109.69</v>
      </c>
      <c r="F864">
        <v>7</v>
      </c>
      <c r="G864" s="16">
        <v>15.67</v>
      </c>
      <c r="H864" t="s">
        <v>8</v>
      </c>
      <c r="I864" t="s">
        <v>387</v>
      </c>
      <c r="J864" t="s">
        <v>23</v>
      </c>
      <c r="K864" t="s">
        <v>11</v>
      </c>
    </row>
    <row r="865" spans="1:11" x14ac:dyDescent="0.45">
      <c r="A865">
        <v>5699</v>
      </c>
      <c r="B865" s="15">
        <v>45136</v>
      </c>
      <c r="C865" t="str">
        <f>TEXT(Table1[[#This Row],[Order Date]], "yyyy")</f>
        <v>2023</v>
      </c>
      <c r="D865" t="str">
        <f>TEXT(Table1[[#This Row],[Order Date]], "mmmm")</f>
        <v>July</v>
      </c>
      <c r="E865" s="16">
        <f>Table1[[#This Row],[Order Quantity]]*Table1[[#This Row],[Unit Price]]</f>
        <v>8.26</v>
      </c>
      <c r="F865">
        <v>2</v>
      </c>
      <c r="G865" s="16">
        <v>4.13</v>
      </c>
      <c r="H865" t="s">
        <v>8</v>
      </c>
      <c r="I865" t="s">
        <v>388</v>
      </c>
      <c r="J865" t="s">
        <v>10</v>
      </c>
      <c r="K865" t="s">
        <v>11</v>
      </c>
    </row>
    <row r="866" spans="1:11" x14ac:dyDescent="0.45">
      <c r="A866">
        <v>5702</v>
      </c>
      <c r="B866" s="15">
        <v>44445</v>
      </c>
      <c r="C866" t="str">
        <f>TEXT(Table1[[#This Row],[Order Date]], "yyyy")</f>
        <v>2021</v>
      </c>
      <c r="D866" t="str">
        <f>TEXT(Table1[[#This Row],[Order Date]], "mmmm")</f>
        <v>September</v>
      </c>
      <c r="E866" s="16">
        <f>Table1[[#This Row],[Order Quantity]]*Table1[[#This Row],[Unit Price]]</f>
        <v>1999.8</v>
      </c>
      <c r="F866">
        <v>20</v>
      </c>
      <c r="G866" s="16">
        <v>99.99</v>
      </c>
      <c r="H866" t="s">
        <v>8</v>
      </c>
      <c r="I866" t="s">
        <v>158</v>
      </c>
      <c r="J866" t="s">
        <v>13</v>
      </c>
      <c r="K866" t="s">
        <v>17</v>
      </c>
    </row>
    <row r="867" spans="1:11" x14ac:dyDescent="0.45">
      <c r="A867">
        <v>5703</v>
      </c>
      <c r="B867" s="15">
        <v>44331</v>
      </c>
      <c r="C867" t="str">
        <f>TEXT(Table1[[#This Row],[Order Date]], "yyyy")</f>
        <v>2021</v>
      </c>
      <c r="D867" t="str">
        <f>TEXT(Table1[[#This Row],[Order Date]], "mmmm")</f>
        <v>May</v>
      </c>
      <c r="E867" s="16">
        <f>Table1[[#This Row],[Order Quantity]]*Table1[[#This Row],[Unit Price]]</f>
        <v>356.12</v>
      </c>
      <c r="F867">
        <v>29</v>
      </c>
      <c r="G867" s="16">
        <v>12.28</v>
      </c>
      <c r="H867" t="s">
        <v>8</v>
      </c>
      <c r="I867" t="s">
        <v>176</v>
      </c>
      <c r="J867" t="s">
        <v>23</v>
      </c>
      <c r="K867" t="s">
        <v>11</v>
      </c>
    </row>
    <row r="868" spans="1:11" x14ac:dyDescent="0.45">
      <c r="A868">
        <v>5764</v>
      </c>
      <c r="B868" s="15">
        <v>44471</v>
      </c>
      <c r="C868" t="str">
        <f>TEXT(Table1[[#This Row],[Order Date]], "yyyy")</f>
        <v>2021</v>
      </c>
      <c r="D868" t="str">
        <f>TEXT(Table1[[#This Row],[Order Date]], "mmmm")</f>
        <v>October</v>
      </c>
      <c r="E868" s="16">
        <f>Table1[[#This Row],[Order Quantity]]*Table1[[#This Row],[Unit Price]]</f>
        <v>184.92</v>
      </c>
      <c r="F868">
        <v>23</v>
      </c>
      <c r="G868" s="16">
        <v>8.0399999999999991</v>
      </c>
      <c r="H868" t="s">
        <v>8</v>
      </c>
      <c r="I868" t="s">
        <v>390</v>
      </c>
      <c r="J868" t="s">
        <v>10</v>
      </c>
      <c r="K868" t="s">
        <v>11</v>
      </c>
    </row>
    <row r="869" spans="1:11" x14ac:dyDescent="0.45">
      <c r="A869">
        <v>5765</v>
      </c>
      <c r="B869" s="15">
        <v>44179</v>
      </c>
      <c r="C869" t="str">
        <f>TEXT(Table1[[#This Row],[Order Date]], "yyyy")</f>
        <v>2020</v>
      </c>
      <c r="D869" t="str">
        <f>TEXT(Table1[[#This Row],[Order Date]], "mmmm")</f>
        <v>December</v>
      </c>
      <c r="E869" s="16">
        <f>Table1[[#This Row],[Order Quantity]]*Table1[[#This Row],[Unit Price]]</f>
        <v>815.11999999999989</v>
      </c>
      <c r="F869">
        <v>23</v>
      </c>
      <c r="G869" s="16">
        <v>35.44</v>
      </c>
      <c r="H869" t="s">
        <v>8</v>
      </c>
      <c r="I869" t="s">
        <v>24</v>
      </c>
      <c r="J869" t="s">
        <v>13</v>
      </c>
      <c r="K869" t="s">
        <v>11</v>
      </c>
    </row>
    <row r="870" spans="1:11" x14ac:dyDescent="0.45">
      <c r="A870">
        <v>5767</v>
      </c>
      <c r="B870" s="15">
        <v>45044</v>
      </c>
      <c r="C870" t="str">
        <f>TEXT(Table1[[#This Row],[Order Date]], "yyyy")</f>
        <v>2023</v>
      </c>
      <c r="D870" t="str">
        <f>TEXT(Table1[[#This Row],[Order Date]], "mmmm")</f>
        <v>April</v>
      </c>
      <c r="E870" s="16">
        <f>Table1[[#This Row],[Order Quantity]]*Table1[[#This Row],[Unit Price]]</f>
        <v>2572.69</v>
      </c>
      <c r="F870">
        <v>31</v>
      </c>
      <c r="G870" s="16">
        <v>82.99</v>
      </c>
      <c r="H870" t="s">
        <v>8</v>
      </c>
      <c r="I870" t="s">
        <v>391</v>
      </c>
      <c r="J870" t="s">
        <v>10</v>
      </c>
      <c r="K870" t="s">
        <v>17</v>
      </c>
    </row>
    <row r="871" spans="1:11" x14ac:dyDescent="0.45">
      <c r="A871">
        <v>5830</v>
      </c>
      <c r="B871" s="15">
        <v>44279</v>
      </c>
      <c r="C871" t="str">
        <f>TEXT(Table1[[#This Row],[Order Date]], "yyyy")</f>
        <v>2021</v>
      </c>
      <c r="D871" t="str">
        <f>TEXT(Table1[[#This Row],[Order Date]], "mmmm")</f>
        <v>March</v>
      </c>
      <c r="E871" s="16">
        <f>Table1[[#This Row],[Order Quantity]]*Table1[[#This Row],[Unit Price]]</f>
        <v>2007.53</v>
      </c>
      <c r="F871">
        <v>49</v>
      </c>
      <c r="G871" s="16">
        <v>40.97</v>
      </c>
      <c r="H871" t="s">
        <v>8</v>
      </c>
      <c r="I871" t="s">
        <v>392</v>
      </c>
      <c r="J871" t="s">
        <v>13</v>
      </c>
      <c r="K871" t="s">
        <v>15</v>
      </c>
    </row>
    <row r="872" spans="1:11" x14ac:dyDescent="0.45">
      <c r="A872">
        <v>5858</v>
      </c>
      <c r="B872" s="15">
        <v>45120</v>
      </c>
      <c r="C872" t="str">
        <f>TEXT(Table1[[#This Row],[Order Date]], "yyyy")</f>
        <v>2023</v>
      </c>
      <c r="D872" t="str">
        <f>TEXT(Table1[[#This Row],[Order Date]], "mmmm")</f>
        <v>July</v>
      </c>
      <c r="E872" s="16">
        <f>Table1[[#This Row],[Order Quantity]]*Table1[[#This Row],[Unit Price]]</f>
        <v>2447.04</v>
      </c>
      <c r="F872">
        <v>48</v>
      </c>
      <c r="G872" s="16">
        <v>50.98</v>
      </c>
      <c r="H872" t="s">
        <v>8</v>
      </c>
      <c r="I872" t="s">
        <v>94</v>
      </c>
      <c r="J872" t="s">
        <v>10</v>
      </c>
      <c r="K872" t="s">
        <v>11</v>
      </c>
    </row>
    <row r="873" spans="1:11" x14ac:dyDescent="0.45">
      <c r="A873">
        <v>5858</v>
      </c>
      <c r="B873" s="15">
        <v>45120</v>
      </c>
      <c r="C873" t="str">
        <f>TEXT(Table1[[#This Row],[Order Date]], "yyyy")</f>
        <v>2023</v>
      </c>
      <c r="D873" t="str">
        <f>TEXT(Table1[[#This Row],[Order Date]], "mmmm")</f>
        <v>July</v>
      </c>
      <c r="E873" s="16">
        <f>Table1[[#This Row],[Order Quantity]]*Table1[[#This Row],[Unit Price]]</f>
        <v>5973.71</v>
      </c>
      <c r="F873">
        <v>29</v>
      </c>
      <c r="G873" s="16">
        <v>205.99</v>
      </c>
      <c r="H873" t="s">
        <v>8</v>
      </c>
      <c r="I873" t="s">
        <v>94</v>
      </c>
      <c r="J873" t="s">
        <v>10</v>
      </c>
      <c r="K873" t="s">
        <v>17</v>
      </c>
    </row>
    <row r="874" spans="1:11" x14ac:dyDescent="0.45">
      <c r="A874">
        <v>5860</v>
      </c>
      <c r="B874" s="15">
        <v>44976</v>
      </c>
      <c r="C874" t="str">
        <f>TEXT(Table1[[#This Row],[Order Date]], "yyyy")</f>
        <v>2023</v>
      </c>
      <c r="D874" t="str">
        <f>TEXT(Table1[[#This Row],[Order Date]], "mmmm")</f>
        <v>February</v>
      </c>
      <c r="E874" s="16">
        <f>Table1[[#This Row],[Order Quantity]]*Table1[[#This Row],[Unit Price]]</f>
        <v>58.08</v>
      </c>
      <c r="F874">
        <v>12</v>
      </c>
      <c r="G874" s="16">
        <v>4.84</v>
      </c>
      <c r="H874" t="s">
        <v>8</v>
      </c>
      <c r="I874" t="s">
        <v>268</v>
      </c>
      <c r="J874" t="s">
        <v>23</v>
      </c>
      <c r="K874" t="s">
        <v>11</v>
      </c>
    </row>
    <row r="875" spans="1:11" x14ac:dyDescent="0.45">
      <c r="A875">
        <v>5863</v>
      </c>
      <c r="B875" s="15">
        <v>44521</v>
      </c>
      <c r="C875" t="str">
        <f>TEXT(Table1[[#This Row],[Order Date]], "yyyy")</f>
        <v>2021</v>
      </c>
      <c r="D875" t="str">
        <f>TEXT(Table1[[#This Row],[Order Date]], "mmmm")</f>
        <v>November</v>
      </c>
      <c r="E875" s="16">
        <f>Table1[[#This Row],[Order Quantity]]*Table1[[#This Row],[Unit Price]]</f>
        <v>919.2</v>
      </c>
      <c r="F875">
        <v>40</v>
      </c>
      <c r="G875" s="16">
        <v>22.98</v>
      </c>
      <c r="H875" t="s">
        <v>8</v>
      </c>
      <c r="I875" t="s">
        <v>393</v>
      </c>
      <c r="J875" t="s">
        <v>13</v>
      </c>
      <c r="K875" t="s">
        <v>15</v>
      </c>
    </row>
    <row r="876" spans="1:11" x14ac:dyDescent="0.45">
      <c r="A876">
        <v>5891</v>
      </c>
      <c r="B876" s="15">
        <v>45288</v>
      </c>
      <c r="C876" t="str">
        <f>TEXT(Table1[[#This Row],[Order Date]], "yyyy")</f>
        <v>2023</v>
      </c>
      <c r="D876" t="str">
        <f>TEXT(Table1[[#This Row],[Order Date]], "mmmm")</f>
        <v>December</v>
      </c>
      <c r="E876" s="16">
        <f>Table1[[#This Row],[Order Quantity]]*Table1[[#This Row],[Unit Price]]</f>
        <v>41.96</v>
      </c>
      <c r="F876">
        <v>2</v>
      </c>
      <c r="G876" s="16">
        <v>20.98</v>
      </c>
      <c r="H876" t="s">
        <v>8</v>
      </c>
      <c r="I876" t="s">
        <v>68</v>
      </c>
      <c r="J876" t="s">
        <v>20</v>
      </c>
      <c r="K876" t="s">
        <v>11</v>
      </c>
    </row>
    <row r="877" spans="1:11" x14ac:dyDescent="0.45">
      <c r="A877">
        <v>5894</v>
      </c>
      <c r="B877" s="15">
        <v>44055</v>
      </c>
      <c r="C877" t="str">
        <f>TEXT(Table1[[#This Row],[Order Date]], "yyyy")</f>
        <v>2020</v>
      </c>
      <c r="D877" t="str">
        <f>TEXT(Table1[[#This Row],[Order Date]], "mmmm")</f>
        <v>August</v>
      </c>
      <c r="E877" s="16">
        <f>Table1[[#This Row],[Order Quantity]]*Table1[[#This Row],[Unit Price]]</f>
        <v>406.7</v>
      </c>
      <c r="F877">
        <v>7</v>
      </c>
      <c r="G877" s="16">
        <v>58.1</v>
      </c>
      <c r="H877" t="s">
        <v>8</v>
      </c>
      <c r="I877" t="s">
        <v>395</v>
      </c>
      <c r="J877" t="s">
        <v>13</v>
      </c>
      <c r="K877" t="s">
        <v>11</v>
      </c>
    </row>
    <row r="878" spans="1:11" x14ac:dyDescent="0.45">
      <c r="A878">
        <v>5894</v>
      </c>
      <c r="B878" s="15">
        <v>44055</v>
      </c>
      <c r="C878" t="str">
        <f>TEXT(Table1[[#This Row],[Order Date]], "yyyy")</f>
        <v>2020</v>
      </c>
      <c r="D878" t="str">
        <f>TEXT(Table1[[#This Row],[Order Date]], "mmmm")</f>
        <v>August</v>
      </c>
      <c r="E878" s="16">
        <f>Table1[[#This Row],[Order Quantity]]*Table1[[#This Row],[Unit Price]]</f>
        <v>241.44</v>
      </c>
      <c r="F878">
        <v>3</v>
      </c>
      <c r="G878" s="16">
        <v>80.48</v>
      </c>
      <c r="H878" t="s">
        <v>8</v>
      </c>
      <c r="I878" t="s">
        <v>395</v>
      </c>
      <c r="J878" t="s">
        <v>13</v>
      </c>
      <c r="K878" t="s">
        <v>11</v>
      </c>
    </row>
    <row r="879" spans="1:11" x14ac:dyDescent="0.45">
      <c r="A879">
        <v>5920</v>
      </c>
      <c r="B879" s="15">
        <v>44154</v>
      </c>
      <c r="C879" t="str">
        <f>TEXT(Table1[[#This Row],[Order Date]], "yyyy")</f>
        <v>2020</v>
      </c>
      <c r="D879" t="str">
        <f>TEXT(Table1[[#This Row],[Order Date]], "mmmm")</f>
        <v>November</v>
      </c>
      <c r="E879" s="16">
        <f>Table1[[#This Row],[Order Quantity]]*Table1[[#This Row],[Unit Price]]</f>
        <v>620.24</v>
      </c>
      <c r="F879">
        <v>4</v>
      </c>
      <c r="G879" s="16">
        <v>155.06</v>
      </c>
      <c r="H879" t="s">
        <v>8</v>
      </c>
      <c r="I879" t="s">
        <v>396</v>
      </c>
      <c r="J879" t="s">
        <v>23</v>
      </c>
      <c r="K879" t="s">
        <v>11</v>
      </c>
    </row>
    <row r="880" spans="1:11" x14ac:dyDescent="0.45">
      <c r="A880">
        <v>5925</v>
      </c>
      <c r="B880" s="15">
        <v>44877</v>
      </c>
      <c r="C880" t="str">
        <f>TEXT(Table1[[#This Row],[Order Date]], "yyyy")</f>
        <v>2022</v>
      </c>
      <c r="D880" t="str">
        <f>TEXT(Table1[[#This Row],[Order Date]], "mmmm")</f>
        <v>November</v>
      </c>
      <c r="E880" s="16">
        <f>Table1[[#This Row],[Order Quantity]]*Table1[[#This Row],[Unit Price]]</f>
        <v>4058.1200000000003</v>
      </c>
      <c r="F880">
        <v>44</v>
      </c>
      <c r="G880" s="16">
        <v>92.23</v>
      </c>
      <c r="H880" t="s">
        <v>8</v>
      </c>
      <c r="I880" t="s">
        <v>398</v>
      </c>
      <c r="J880" t="s">
        <v>20</v>
      </c>
      <c r="K880" t="s">
        <v>15</v>
      </c>
    </row>
    <row r="881" spans="1:11" x14ac:dyDescent="0.45">
      <c r="A881">
        <v>5925</v>
      </c>
      <c r="B881" s="15">
        <v>44877</v>
      </c>
      <c r="C881" t="str">
        <f>TEXT(Table1[[#This Row],[Order Date]], "yyyy")</f>
        <v>2022</v>
      </c>
      <c r="D881" t="str">
        <f>TEXT(Table1[[#This Row],[Order Date]], "mmmm")</f>
        <v>November</v>
      </c>
      <c r="E881" s="16">
        <f>Table1[[#This Row],[Order Quantity]]*Table1[[#This Row],[Unit Price]]</f>
        <v>2149.75</v>
      </c>
      <c r="F881">
        <v>25</v>
      </c>
      <c r="G881" s="16">
        <v>85.99</v>
      </c>
      <c r="H881" t="s">
        <v>8</v>
      </c>
      <c r="I881" t="s">
        <v>398</v>
      </c>
      <c r="J881" t="s">
        <v>20</v>
      </c>
      <c r="K881" t="s">
        <v>17</v>
      </c>
    </row>
    <row r="882" spans="1:11" x14ac:dyDescent="0.45">
      <c r="A882">
        <v>5957</v>
      </c>
      <c r="B882" s="15">
        <v>44556</v>
      </c>
      <c r="C882" t="str">
        <f>TEXT(Table1[[#This Row],[Order Date]], "yyyy")</f>
        <v>2021</v>
      </c>
      <c r="D882" t="str">
        <f>TEXT(Table1[[#This Row],[Order Date]], "mmmm")</f>
        <v>December</v>
      </c>
      <c r="E882" s="16">
        <f>Table1[[#This Row],[Order Quantity]]*Table1[[#This Row],[Unit Price]]</f>
        <v>64.2</v>
      </c>
      <c r="F882">
        <v>15</v>
      </c>
      <c r="G882" s="16">
        <v>4.28</v>
      </c>
      <c r="H882" t="s">
        <v>8</v>
      </c>
      <c r="I882" t="s">
        <v>130</v>
      </c>
      <c r="J882" t="s">
        <v>10</v>
      </c>
      <c r="K882" t="s">
        <v>11</v>
      </c>
    </row>
    <row r="883" spans="1:11" x14ac:dyDescent="0.45">
      <c r="A883">
        <v>5957</v>
      </c>
      <c r="B883" s="15">
        <v>44556</v>
      </c>
      <c r="C883" t="str">
        <f>TEXT(Table1[[#This Row],[Order Date]], "yyyy")</f>
        <v>2021</v>
      </c>
      <c r="D883" t="str">
        <f>TEXT(Table1[[#This Row],[Order Date]], "mmmm")</f>
        <v>December</v>
      </c>
      <c r="E883" s="16">
        <f>Table1[[#This Row],[Order Quantity]]*Table1[[#This Row],[Unit Price]]</f>
        <v>482.77</v>
      </c>
      <c r="F883">
        <v>23</v>
      </c>
      <c r="G883" s="16">
        <v>20.99</v>
      </c>
      <c r="H883" t="s">
        <v>8</v>
      </c>
      <c r="I883" t="s">
        <v>130</v>
      </c>
      <c r="J883" t="s">
        <v>10</v>
      </c>
      <c r="K883" t="s">
        <v>17</v>
      </c>
    </row>
    <row r="884" spans="1:11" x14ac:dyDescent="0.45">
      <c r="A884">
        <v>5958</v>
      </c>
      <c r="B884" s="15">
        <v>44819</v>
      </c>
      <c r="C884" t="str">
        <f>TEXT(Table1[[#This Row],[Order Date]], "yyyy")</f>
        <v>2022</v>
      </c>
      <c r="D884" t="str">
        <f>TEXT(Table1[[#This Row],[Order Date]], "mmmm")</f>
        <v>September</v>
      </c>
      <c r="E884" s="16">
        <f>Table1[[#This Row],[Order Quantity]]*Table1[[#This Row],[Unit Price]]</f>
        <v>2099.9700000000003</v>
      </c>
      <c r="F884">
        <v>3</v>
      </c>
      <c r="G884" s="16">
        <v>699.99</v>
      </c>
      <c r="H884" t="s">
        <v>8</v>
      </c>
      <c r="I884" t="s">
        <v>351</v>
      </c>
      <c r="J884" t="s">
        <v>10</v>
      </c>
      <c r="K884" t="s">
        <v>17</v>
      </c>
    </row>
    <row r="885" spans="1:11" x14ac:dyDescent="0.45">
      <c r="A885">
        <v>5984</v>
      </c>
      <c r="B885" s="15">
        <v>43999</v>
      </c>
      <c r="C885" t="str">
        <f>TEXT(Table1[[#This Row],[Order Date]], "yyyy")</f>
        <v>2020</v>
      </c>
      <c r="D885" t="str">
        <f>TEXT(Table1[[#This Row],[Order Date]], "mmmm")</f>
        <v>June</v>
      </c>
      <c r="E885" s="16">
        <f>Table1[[#This Row],[Order Quantity]]*Table1[[#This Row],[Unit Price]]</f>
        <v>402.93</v>
      </c>
      <c r="F885">
        <v>37</v>
      </c>
      <c r="G885" s="16">
        <v>10.89</v>
      </c>
      <c r="H885" t="s">
        <v>8</v>
      </c>
      <c r="I885" t="s">
        <v>216</v>
      </c>
      <c r="J885" t="s">
        <v>23</v>
      </c>
      <c r="K885" t="s">
        <v>11</v>
      </c>
    </row>
    <row r="886" spans="1:11" x14ac:dyDescent="0.45">
      <c r="A886">
        <v>5984</v>
      </c>
      <c r="B886" s="15">
        <v>43999</v>
      </c>
      <c r="C886" t="str">
        <f>TEXT(Table1[[#This Row],[Order Date]], "yyyy")</f>
        <v>2020</v>
      </c>
      <c r="D886" t="str">
        <f>TEXT(Table1[[#This Row],[Order Date]], "mmmm")</f>
        <v>June</v>
      </c>
      <c r="E886" s="16">
        <f>Table1[[#This Row],[Order Quantity]]*Table1[[#This Row],[Unit Price]]</f>
        <v>446.88</v>
      </c>
      <c r="F886">
        <v>42</v>
      </c>
      <c r="G886" s="16">
        <v>10.64</v>
      </c>
      <c r="H886" t="s">
        <v>8</v>
      </c>
      <c r="I886" t="s">
        <v>216</v>
      </c>
      <c r="J886" t="s">
        <v>23</v>
      </c>
      <c r="K886" t="s">
        <v>15</v>
      </c>
    </row>
    <row r="887" spans="1:11" x14ac:dyDescent="0.45">
      <c r="A887">
        <v>5984</v>
      </c>
      <c r="B887" s="15">
        <v>43999</v>
      </c>
      <c r="C887" t="str">
        <f>TEXT(Table1[[#This Row],[Order Date]], "yyyy")</f>
        <v>2020</v>
      </c>
      <c r="D887" t="str">
        <f>TEXT(Table1[[#This Row],[Order Date]], "mmmm")</f>
        <v>June</v>
      </c>
      <c r="E887" s="16">
        <f>Table1[[#This Row],[Order Quantity]]*Table1[[#This Row],[Unit Price]]</f>
        <v>87.56</v>
      </c>
      <c r="F887">
        <v>11</v>
      </c>
      <c r="G887" s="16">
        <v>7.96</v>
      </c>
      <c r="H887" t="s">
        <v>8</v>
      </c>
      <c r="I887" t="s">
        <v>216</v>
      </c>
      <c r="J887" t="s">
        <v>23</v>
      </c>
      <c r="K887" t="s">
        <v>15</v>
      </c>
    </row>
    <row r="888" spans="1:11" x14ac:dyDescent="0.45">
      <c r="A888">
        <v>5986</v>
      </c>
      <c r="B888" s="15">
        <v>45037</v>
      </c>
      <c r="C888" t="str">
        <f>TEXT(Table1[[#This Row],[Order Date]], "yyyy")</f>
        <v>2023</v>
      </c>
      <c r="D888" t="str">
        <f>TEXT(Table1[[#This Row],[Order Date]], "mmmm")</f>
        <v>April</v>
      </c>
      <c r="E888" s="16">
        <f>Table1[[#This Row],[Order Quantity]]*Table1[[#This Row],[Unit Price]]</f>
        <v>5807.04</v>
      </c>
      <c r="F888">
        <v>48</v>
      </c>
      <c r="G888" s="16">
        <v>120.98</v>
      </c>
      <c r="H888" t="s">
        <v>8</v>
      </c>
      <c r="I888" t="s">
        <v>399</v>
      </c>
      <c r="J888" t="s">
        <v>10</v>
      </c>
      <c r="K888" t="s">
        <v>11</v>
      </c>
    </row>
    <row r="889" spans="1:11" x14ac:dyDescent="0.45">
      <c r="A889">
        <v>5986</v>
      </c>
      <c r="B889" s="15">
        <v>45037</v>
      </c>
      <c r="C889" t="str">
        <f>TEXT(Table1[[#This Row],[Order Date]], "yyyy")</f>
        <v>2023</v>
      </c>
      <c r="D889" t="str">
        <f>TEXT(Table1[[#This Row],[Order Date]], "mmmm")</f>
        <v>April</v>
      </c>
      <c r="E889" s="16">
        <f>Table1[[#This Row],[Order Quantity]]*Table1[[#This Row],[Unit Price]]</f>
        <v>200.48999999999998</v>
      </c>
      <c r="F889">
        <v>41</v>
      </c>
      <c r="G889" s="16">
        <v>4.8899999999999997</v>
      </c>
      <c r="H889" t="s">
        <v>8</v>
      </c>
      <c r="I889" t="s">
        <v>399</v>
      </c>
      <c r="J889" t="s">
        <v>10</v>
      </c>
      <c r="K889" t="s">
        <v>17</v>
      </c>
    </row>
    <row r="890" spans="1:11" x14ac:dyDescent="0.45">
      <c r="A890">
        <v>5989</v>
      </c>
      <c r="B890" s="15">
        <v>44848</v>
      </c>
      <c r="C890" t="str">
        <f>TEXT(Table1[[#This Row],[Order Date]], "yyyy")</f>
        <v>2022</v>
      </c>
      <c r="D890" t="str">
        <f>TEXT(Table1[[#This Row],[Order Date]], "mmmm")</f>
        <v>October</v>
      </c>
      <c r="E890" s="16">
        <f>Table1[[#This Row],[Order Quantity]]*Table1[[#This Row],[Unit Price]]</f>
        <v>155.88</v>
      </c>
      <c r="F890">
        <v>6</v>
      </c>
      <c r="G890" s="16">
        <v>25.98</v>
      </c>
      <c r="H890" t="s">
        <v>8</v>
      </c>
      <c r="I890" t="s">
        <v>400</v>
      </c>
      <c r="J890" t="s">
        <v>13</v>
      </c>
      <c r="K890" t="s">
        <v>11</v>
      </c>
    </row>
    <row r="891" spans="1:11" x14ac:dyDescent="0.45">
      <c r="A891">
        <v>5989</v>
      </c>
      <c r="B891" s="15">
        <v>44848</v>
      </c>
      <c r="C891" t="str">
        <f>TEXT(Table1[[#This Row],[Order Date]], "yyyy")</f>
        <v>2022</v>
      </c>
      <c r="D891" t="str">
        <f>TEXT(Table1[[#This Row],[Order Date]], "mmmm")</f>
        <v>October</v>
      </c>
      <c r="E891" s="16">
        <f>Table1[[#This Row],[Order Quantity]]*Table1[[#This Row],[Unit Price]]</f>
        <v>58.379999999999995</v>
      </c>
      <c r="F891">
        <v>21</v>
      </c>
      <c r="G891" s="16">
        <v>2.78</v>
      </c>
      <c r="H891" t="s">
        <v>8</v>
      </c>
      <c r="I891" t="s">
        <v>400</v>
      </c>
      <c r="J891" t="s">
        <v>13</v>
      </c>
      <c r="K891" t="s">
        <v>11</v>
      </c>
    </row>
    <row r="892" spans="1:11" x14ac:dyDescent="0.45">
      <c r="A892">
        <v>5990</v>
      </c>
      <c r="B892" s="15">
        <v>44293</v>
      </c>
      <c r="C892" t="str">
        <f>TEXT(Table1[[#This Row],[Order Date]], "yyyy")</f>
        <v>2021</v>
      </c>
      <c r="D892" t="str">
        <f>TEXT(Table1[[#This Row],[Order Date]], "mmmm")</f>
        <v>April</v>
      </c>
      <c r="E892" s="16">
        <f>Table1[[#This Row],[Order Quantity]]*Table1[[#This Row],[Unit Price]]</f>
        <v>58.320000000000007</v>
      </c>
      <c r="F892">
        <v>9</v>
      </c>
      <c r="G892" s="16">
        <v>6.48</v>
      </c>
      <c r="H892" t="s">
        <v>8</v>
      </c>
      <c r="I892" t="s">
        <v>401</v>
      </c>
      <c r="J892" t="s">
        <v>20</v>
      </c>
      <c r="K892" t="s">
        <v>11</v>
      </c>
    </row>
    <row r="893" spans="1:11" x14ac:dyDescent="0.45">
      <c r="A893">
        <v>6016</v>
      </c>
      <c r="B893" s="15">
        <v>44946</v>
      </c>
      <c r="C893" t="str">
        <f>TEXT(Table1[[#This Row],[Order Date]], "yyyy")</f>
        <v>2023</v>
      </c>
      <c r="D893" t="str">
        <f>TEXT(Table1[[#This Row],[Order Date]], "mmmm")</f>
        <v>January</v>
      </c>
      <c r="E893" s="16">
        <f>Table1[[#This Row],[Order Quantity]]*Table1[[#This Row],[Unit Price]]</f>
        <v>218.12</v>
      </c>
      <c r="F893">
        <v>19</v>
      </c>
      <c r="G893" s="16">
        <v>11.48</v>
      </c>
      <c r="H893" t="s">
        <v>8</v>
      </c>
      <c r="I893" t="s">
        <v>402</v>
      </c>
      <c r="J893" t="s">
        <v>20</v>
      </c>
      <c r="K893" t="s">
        <v>11</v>
      </c>
    </row>
    <row r="894" spans="1:11" x14ac:dyDescent="0.45">
      <c r="A894">
        <v>6018</v>
      </c>
      <c r="B894" s="15">
        <v>45156</v>
      </c>
      <c r="C894" t="str">
        <f>TEXT(Table1[[#This Row],[Order Date]], "yyyy")</f>
        <v>2023</v>
      </c>
      <c r="D894" t="str">
        <f>TEXT(Table1[[#This Row],[Order Date]], "mmmm")</f>
        <v>August</v>
      </c>
      <c r="E894" s="16">
        <f>Table1[[#This Row],[Order Quantity]]*Table1[[#This Row],[Unit Price]]</f>
        <v>198.12</v>
      </c>
      <c r="F894">
        <v>39</v>
      </c>
      <c r="G894" s="16">
        <v>5.08</v>
      </c>
      <c r="H894" t="s">
        <v>8</v>
      </c>
      <c r="I894" t="s">
        <v>403</v>
      </c>
      <c r="J894" t="s">
        <v>20</v>
      </c>
      <c r="K894" t="s">
        <v>15</v>
      </c>
    </row>
    <row r="895" spans="1:11" x14ac:dyDescent="0.45">
      <c r="A895">
        <v>6018</v>
      </c>
      <c r="B895" s="15">
        <v>45156</v>
      </c>
      <c r="C895" t="str">
        <f>TEXT(Table1[[#This Row],[Order Date]], "yyyy")</f>
        <v>2023</v>
      </c>
      <c r="D895" t="str">
        <f>TEXT(Table1[[#This Row],[Order Date]], "mmmm")</f>
        <v>August</v>
      </c>
      <c r="E895" s="16">
        <f>Table1[[#This Row],[Order Quantity]]*Table1[[#This Row],[Unit Price]]</f>
        <v>111.96</v>
      </c>
      <c r="F895">
        <v>2</v>
      </c>
      <c r="G895" s="16">
        <v>55.98</v>
      </c>
      <c r="H895" t="s">
        <v>8</v>
      </c>
      <c r="I895" t="s">
        <v>403</v>
      </c>
      <c r="J895" t="s">
        <v>20</v>
      </c>
      <c r="K895" t="s">
        <v>11</v>
      </c>
    </row>
    <row r="896" spans="1:11" x14ac:dyDescent="0.45">
      <c r="A896">
        <v>6020</v>
      </c>
      <c r="B896" s="15">
        <v>44095</v>
      </c>
      <c r="C896" t="str">
        <f>TEXT(Table1[[#This Row],[Order Date]], "yyyy")</f>
        <v>2020</v>
      </c>
      <c r="D896" t="str">
        <f>TEXT(Table1[[#This Row],[Order Date]], "mmmm")</f>
        <v>September</v>
      </c>
      <c r="E896" s="16">
        <f>Table1[[#This Row],[Order Quantity]]*Table1[[#This Row],[Unit Price]]</f>
        <v>66.239999999999995</v>
      </c>
      <c r="F896">
        <v>23</v>
      </c>
      <c r="G896" s="16">
        <v>2.88</v>
      </c>
      <c r="H896" t="s">
        <v>8</v>
      </c>
      <c r="I896" t="s">
        <v>404</v>
      </c>
      <c r="J896" t="s">
        <v>13</v>
      </c>
      <c r="K896" t="s">
        <v>11</v>
      </c>
    </row>
    <row r="897" spans="1:11" x14ac:dyDescent="0.45">
      <c r="A897">
        <v>6050</v>
      </c>
      <c r="B897" s="15">
        <v>44283</v>
      </c>
      <c r="C897" t="str">
        <f>TEXT(Table1[[#This Row],[Order Date]], "yyyy")</f>
        <v>2021</v>
      </c>
      <c r="D897" t="str">
        <f>TEXT(Table1[[#This Row],[Order Date]], "mmmm")</f>
        <v>March</v>
      </c>
      <c r="E897" s="16">
        <f>Table1[[#This Row],[Order Quantity]]*Table1[[#This Row],[Unit Price]]</f>
        <v>9840.39</v>
      </c>
      <c r="F897">
        <v>47</v>
      </c>
      <c r="G897" s="16">
        <v>209.37</v>
      </c>
      <c r="H897" t="s">
        <v>8</v>
      </c>
      <c r="I897" t="s">
        <v>405</v>
      </c>
      <c r="J897" t="s">
        <v>10</v>
      </c>
      <c r="K897" t="s">
        <v>15</v>
      </c>
    </row>
    <row r="898" spans="1:11" x14ac:dyDescent="0.45">
      <c r="A898">
        <v>6053</v>
      </c>
      <c r="B898" s="15">
        <v>44541</v>
      </c>
      <c r="C898" t="str">
        <f>TEXT(Table1[[#This Row],[Order Date]], "yyyy")</f>
        <v>2021</v>
      </c>
      <c r="D898" t="str">
        <f>TEXT(Table1[[#This Row],[Order Date]], "mmmm")</f>
        <v>December</v>
      </c>
      <c r="E898" s="16">
        <f>Table1[[#This Row],[Order Quantity]]*Table1[[#This Row],[Unit Price]]</f>
        <v>15.2</v>
      </c>
      <c r="F898">
        <v>4</v>
      </c>
      <c r="G898" s="16">
        <v>3.8</v>
      </c>
      <c r="H898" t="s">
        <v>8</v>
      </c>
      <c r="I898" t="s">
        <v>406</v>
      </c>
      <c r="J898" t="s">
        <v>13</v>
      </c>
      <c r="K898" t="s">
        <v>11</v>
      </c>
    </row>
    <row r="899" spans="1:11" x14ac:dyDescent="0.45">
      <c r="A899">
        <v>6086</v>
      </c>
      <c r="B899" s="15">
        <v>44826</v>
      </c>
      <c r="C899" t="str">
        <f>TEXT(Table1[[#This Row],[Order Date]], "yyyy")</f>
        <v>2022</v>
      </c>
      <c r="D899" t="str">
        <f>TEXT(Table1[[#This Row],[Order Date]], "mmmm")</f>
        <v>September</v>
      </c>
      <c r="E899" s="16">
        <f>Table1[[#This Row],[Order Quantity]]*Table1[[#This Row],[Unit Price]]</f>
        <v>1701.12</v>
      </c>
      <c r="F899">
        <v>48</v>
      </c>
      <c r="G899" s="16">
        <v>35.44</v>
      </c>
      <c r="H899" t="s">
        <v>8</v>
      </c>
      <c r="I899" t="s">
        <v>407</v>
      </c>
      <c r="J899" t="s">
        <v>13</v>
      </c>
      <c r="K899" t="s">
        <v>11</v>
      </c>
    </row>
    <row r="900" spans="1:11" x14ac:dyDescent="0.45">
      <c r="A900">
        <v>6112</v>
      </c>
      <c r="B900" s="15">
        <v>44066</v>
      </c>
      <c r="C900" t="str">
        <f>TEXT(Table1[[#This Row],[Order Date]], "yyyy")</f>
        <v>2020</v>
      </c>
      <c r="D900" t="str">
        <f>TEXT(Table1[[#This Row],[Order Date]], "mmmm")</f>
        <v>August</v>
      </c>
      <c r="E900" s="16">
        <f>Table1[[#This Row],[Order Quantity]]*Table1[[#This Row],[Unit Price]]</f>
        <v>2045.6899999999998</v>
      </c>
      <c r="F900">
        <v>31</v>
      </c>
      <c r="G900" s="16">
        <v>65.989999999999995</v>
      </c>
      <c r="H900" t="s">
        <v>8</v>
      </c>
      <c r="I900" t="s">
        <v>404</v>
      </c>
      <c r="J900" t="s">
        <v>13</v>
      </c>
      <c r="K900" t="s">
        <v>17</v>
      </c>
    </row>
    <row r="901" spans="1:11" x14ac:dyDescent="0.45">
      <c r="A901">
        <v>6115</v>
      </c>
      <c r="B901" s="15">
        <v>44450</v>
      </c>
      <c r="C901" t="str">
        <f>TEXT(Table1[[#This Row],[Order Date]], "yyyy")</f>
        <v>2021</v>
      </c>
      <c r="D901" t="str">
        <f>TEXT(Table1[[#This Row],[Order Date]], "mmmm")</f>
        <v>September</v>
      </c>
      <c r="E901" s="16">
        <f>Table1[[#This Row],[Order Quantity]]*Table1[[#This Row],[Unit Price]]</f>
        <v>444.5</v>
      </c>
      <c r="F901">
        <v>25</v>
      </c>
      <c r="G901" s="16">
        <v>17.78</v>
      </c>
      <c r="H901" t="s">
        <v>8</v>
      </c>
      <c r="I901" t="s">
        <v>66</v>
      </c>
      <c r="J901" t="s">
        <v>23</v>
      </c>
      <c r="K901" t="s">
        <v>15</v>
      </c>
    </row>
    <row r="902" spans="1:11" x14ac:dyDescent="0.45">
      <c r="A902">
        <v>6116</v>
      </c>
      <c r="B902" s="15">
        <v>43910</v>
      </c>
      <c r="C902" t="str">
        <f>TEXT(Table1[[#This Row],[Order Date]], "yyyy")</f>
        <v>2020</v>
      </c>
      <c r="D902" t="str">
        <f>TEXT(Table1[[#This Row],[Order Date]], "mmmm")</f>
        <v>March</v>
      </c>
      <c r="E902" s="16">
        <f>Table1[[#This Row],[Order Quantity]]*Table1[[#This Row],[Unit Price]]</f>
        <v>139.86000000000001</v>
      </c>
      <c r="F902">
        <v>7</v>
      </c>
      <c r="G902" s="16">
        <v>19.98</v>
      </c>
      <c r="H902" t="s">
        <v>8</v>
      </c>
      <c r="I902" t="s">
        <v>408</v>
      </c>
      <c r="J902" t="s">
        <v>13</v>
      </c>
      <c r="K902" t="s">
        <v>17</v>
      </c>
    </row>
    <row r="903" spans="1:11" x14ac:dyDescent="0.45">
      <c r="A903">
        <v>6116</v>
      </c>
      <c r="B903" s="15">
        <v>43910</v>
      </c>
      <c r="C903" t="str">
        <f>TEXT(Table1[[#This Row],[Order Date]], "yyyy")</f>
        <v>2020</v>
      </c>
      <c r="D903" t="str">
        <f>TEXT(Table1[[#This Row],[Order Date]], "mmmm")</f>
        <v>March</v>
      </c>
      <c r="E903" s="16">
        <f>Table1[[#This Row],[Order Quantity]]*Table1[[#This Row],[Unit Price]]</f>
        <v>9825.18</v>
      </c>
      <c r="F903">
        <v>6</v>
      </c>
      <c r="G903" s="16">
        <v>1637.53</v>
      </c>
      <c r="H903" t="s">
        <v>8</v>
      </c>
      <c r="I903" t="s">
        <v>408</v>
      </c>
      <c r="J903" t="s">
        <v>13</v>
      </c>
      <c r="K903" t="s">
        <v>11</v>
      </c>
    </row>
    <row r="904" spans="1:11" x14ac:dyDescent="0.45">
      <c r="A904">
        <v>6117</v>
      </c>
      <c r="B904" s="15">
        <v>45281</v>
      </c>
      <c r="C904" t="str">
        <f>TEXT(Table1[[#This Row],[Order Date]], "yyyy")</f>
        <v>2023</v>
      </c>
      <c r="D904" t="str">
        <f>TEXT(Table1[[#This Row],[Order Date]], "mmmm")</f>
        <v>December</v>
      </c>
      <c r="E904" s="16">
        <f>Table1[[#This Row],[Order Quantity]]*Table1[[#This Row],[Unit Price]]</f>
        <v>155.61000000000001</v>
      </c>
      <c r="F904">
        <v>7</v>
      </c>
      <c r="G904" s="16">
        <v>22.23</v>
      </c>
      <c r="H904" t="s">
        <v>8</v>
      </c>
      <c r="I904" t="s">
        <v>268</v>
      </c>
      <c r="J904" t="s">
        <v>20</v>
      </c>
      <c r="K904" t="s">
        <v>15</v>
      </c>
    </row>
    <row r="905" spans="1:11" x14ac:dyDescent="0.45">
      <c r="A905">
        <v>6144</v>
      </c>
      <c r="B905" s="15">
        <v>44003</v>
      </c>
      <c r="C905" t="str">
        <f>TEXT(Table1[[#This Row],[Order Date]], "yyyy")</f>
        <v>2020</v>
      </c>
      <c r="D905" t="str">
        <f>TEXT(Table1[[#This Row],[Order Date]], "mmmm")</f>
        <v>June</v>
      </c>
      <c r="E905" s="16">
        <f>Table1[[#This Row],[Order Quantity]]*Table1[[#This Row],[Unit Price]]</f>
        <v>69.12</v>
      </c>
      <c r="F905">
        <v>24</v>
      </c>
      <c r="G905" s="16">
        <v>2.88</v>
      </c>
      <c r="H905" t="s">
        <v>8</v>
      </c>
      <c r="I905" t="s">
        <v>348</v>
      </c>
      <c r="J905" t="s">
        <v>13</v>
      </c>
      <c r="K905" t="s">
        <v>11</v>
      </c>
    </row>
    <row r="906" spans="1:11" x14ac:dyDescent="0.45">
      <c r="A906">
        <v>6148</v>
      </c>
      <c r="B906" s="15">
        <v>44919</v>
      </c>
      <c r="C906" t="str">
        <f>TEXT(Table1[[#This Row],[Order Date]], "yyyy")</f>
        <v>2022</v>
      </c>
      <c r="D906" t="str">
        <f>TEXT(Table1[[#This Row],[Order Date]], "mmmm")</f>
        <v>December</v>
      </c>
      <c r="E906" s="16">
        <f>Table1[[#This Row],[Order Quantity]]*Table1[[#This Row],[Unit Price]]</f>
        <v>532</v>
      </c>
      <c r="F906">
        <v>50</v>
      </c>
      <c r="G906" s="16">
        <v>10.64</v>
      </c>
      <c r="H906" t="s">
        <v>8</v>
      </c>
      <c r="I906" t="s">
        <v>409</v>
      </c>
      <c r="J906" t="s">
        <v>10</v>
      </c>
      <c r="K906" t="s">
        <v>15</v>
      </c>
    </row>
    <row r="907" spans="1:11" x14ac:dyDescent="0.45">
      <c r="A907">
        <v>6150</v>
      </c>
      <c r="B907" s="15">
        <v>45200</v>
      </c>
      <c r="C907" t="str">
        <f>TEXT(Table1[[#This Row],[Order Date]], "yyyy")</f>
        <v>2023</v>
      </c>
      <c r="D907" t="str">
        <f>TEXT(Table1[[#This Row],[Order Date]], "mmmm")</f>
        <v>October</v>
      </c>
      <c r="E907" s="16">
        <f>Table1[[#This Row],[Order Quantity]]*Table1[[#This Row],[Unit Price]]</f>
        <v>189.24</v>
      </c>
      <c r="F907">
        <v>38</v>
      </c>
      <c r="G907" s="16">
        <v>4.9800000000000004</v>
      </c>
      <c r="H907" t="s">
        <v>8</v>
      </c>
      <c r="I907" t="s">
        <v>410</v>
      </c>
      <c r="J907" t="s">
        <v>10</v>
      </c>
      <c r="K907" t="s">
        <v>11</v>
      </c>
    </row>
    <row r="908" spans="1:11" x14ac:dyDescent="0.45">
      <c r="A908">
        <v>6179</v>
      </c>
      <c r="B908" s="15">
        <v>43984</v>
      </c>
      <c r="C908" t="str">
        <f>TEXT(Table1[[#This Row],[Order Date]], "yyyy")</f>
        <v>2020</v>
      </c>
      <c r="D908" t="str">
        <f>TEXT(Table1[[#This Row],[Order Date]], "mmmm")</f>
        <v>June</v>
      </c>
      <c r="E908" s="16">
        <f>Table1[[#This Row],[Order Quantity]]*Table1[[#This Row],[Unit Price]]</f>
        <v>488.99999999999994</v>
      </c>
      <c r="F908">
        <v>50</v>
      </c>
      <c r="G908" s="16">
        <v>9.7799999999999994</v>
      </c>
      <c r="H908" t="s">
        <v>8</v>
      </c>
      <c r="I908" t="s">
        <v>208</v>
      </c>
      <c r="J908" t="s">
        <v>23</v>
      </c>
      <c r="K908" t="s">
        <v>11</v>
      </c>
    </row>
    <row r="909" spans="1:11" x14ac:dyDescent="0.45">
      <c r="A909">
        <v>6179</v>
      </c>
      <c r="B909" s="15">
        <v>43984</v>
      </c>
      <c r="C909" t="str">
        <f>TEXT(Table1[[#This Row],[Order Date]], "yyyy")</f>
        <v>2020</v>
      </c>
      <c r="D909" t="str">
        <f>TEXT(Table1[[#This Row],[Order Date]], "mmmm")</f>
        <v>June</v>
      </c>
      <c r="E909" s="16">
        <f>Table1[[#This Row],[Order Quantity]]*Table1[[#This Row],[Unit Price]]</f>
        <v>3014.8500000000004</v>
      </c>
      <c r="F909">
        <v>15</v>
      </c>
      <c r="G909" s="16">
        <v>200.99</v>
      </c>
      <c r="H909" t="s">
        <v>8</v>
      </c>
      <c r="I909" t="s">
        <v>208</v>
      </c>
      <c r="J909" t="s">
        <v>23</v>
      </c>
      <c r="K909" t="s">
        <v>17</v>
      </c>
    </row>
    <row r="910" spans="1:11" x14ac:dyDescent="0.45">
      <c r="A910">
        <v>6180</v>
      </c>
      <c r="B910" s="15">
        <v>44662</v>
      </c>
      <c r="C910" t="str">
        <f>TEXT(Table1[[#This Row],[Order Date]], "yyyy")</f>
        <v>2022</v>
      </c>
      <c r="D910" t="str">
        <f>TEXT(Table1[[#This Row],[Order Date]], "mmmm")</f>
        <v>April</v>
      </c>
      <c r="E910" s="16">
        <f>Table1[[#This Row],[Order Quantity]]*Table1[[#This Row],[Unit Price]]</f>
        <v>2903.56</v>
      </c>
      <c r="F910">
        <v>44</v>
      </c>
      <c r="G910" s="16">
        <v>65.989999999999995</v>
      </c>
      <c r="H910" t="s">
        <v>8</v>
      </c>
      <c r="I910" t="s">
        <v>74</v>
      </c>
      <c r="J910" t="s">
        <v>20</v>
      </c>
      <c r="K910" t="s">
        <v>17</v>
      </c>
    </row>
    <row r="911" spans="1:11" x14ac:dyDescent="0.45">
      <c r="A911">
        <v>6182</v>
      </c>
      <c r="B911" s="15">
        <v>45128</v>
      </c>
      <c r="C911" t="str">
        <f>TEXT(Table1[[#This Row],[Order Date]], "yyyy")</f>
        <v>2023</v>
      </c>
      <c r="D911" t="str">
        <f>TEXT(Table1[[#This Row],[Order Date]], "mmmm")</f>
        <v>July</v>
      </c>
      <c r="E911" s="16">
        <f>Table1[[#This Row],[Order Quantity]]*Table1[[#This Row],[Unit Price]]</f>
        <v>259.20000000000005</v>
      </c>
      <c r="F911">
        <v>40</v>
      </c>
      <c r="G911" s="16">
        <v>6.48</v>
      </c>
      <c r="H911" t="s">
        <v>8</v>
      </c>
      <c r="I911" t="s">
        <v>211</v>
      </c>
      <c r="J911" t="s">
        <v>13</v>
      </c>
      <c r="K911" t="s">
        <v>11</v>
      </c>
    </row>
    <row r="912" spans="1:11" x14ac:dyDescent="0.45">
      <c r="A912">
        <v>6183</v>
      </c>
      <c r="B912" s="15">
        <v>45092</v>
      </c>
      <c r="C912" t="str">
        <f>TEXT(Table1[[#This Row],[Order Date]], "yyyy")</f>
        <v>2023</v>
      </c>
      <c r="D912" t="str">
        <f>TEXT(Table1[[#This Row],[Order Date]], "mmmm")</f>
        <v>June</v>
      </c>
      <c r="E912" s="16">
        <f>Table1[[#This Row],[Order Quantity]]*Table1[[#This Row],[Unit Price]]</f>
        <v>2006.54</v>
      </c>
      <c r="F912">
        <v>41</v>
      </c>
      <c r="G912" s="16">
        <v>48.94</v>
      </c>
      <c r="H912" t="s">
        <v>8</v>
      </c>
      <c r="I912" t="s">
        <v>130</v>
      </c>
      <c r="J912" t="s">
        <v>10</v>
      </c>
      <c r="K912" t="s">
        <v>11</v>
      </c>
    </row>
    <row r="913" spans="1:11" x14ac:dyDescent="0.45">
      <c r="A913">
        <v>6211</v>
      </c>
      <c r="B913" s="15">
        <v>44158</v>
      </c>
      <c r="C913" t="str">
        <f>TEXT(Table1[[#This Row],[Order Date]], "yyyy")</f>
        <v>2020</v>
      </c>
      <c r="D913" t="str">
        <f>TEXT(Table1[[#This Row],[Order Date]], "mmmm")</f>
        <v>November</v>
      </c>
      <c r="E913" s="16">
        <f>Table1[[#This Row],[Order Quantity]]*Table1[[#This Row],[Unit Price]]</f>
        <v>60.480000000000004</v>
      </c>
      <c r="F913">
        <v>28</v>
      </c>
      <c r="G913" s="16">
        <v>2.16</v>
      </c>
      <c r="H913" t="s">
        <v>8</v>
      </c>
      <c r="I913" t="s">
        <v>170</v>
      </c>
      <c r="J913" t="s">
        <v>13</v>
      </c>
      <c r="K913" t="s">
        <v>11</v>
      </c>
    </row>
    <row r="914" spans="1:11" x14ac:dyDescent="0.45">
      <c r="A914">
        <v>6211</v>
      </c>
      <c r="B914" s="15">
        <v>44158</v>
      </c>
      <c r="C914" t="str">
        <f>TEXT(Table1[[#This Row],[Order Date]], "yyyy")</f>
        <v>2020</v>
      </c>
      <c r="D914" t="str">
        <f>TEXT(Table1[[#This Row],[Order Date]], "mmmm")</f>
        <v>November</v>
      </c>
      <c r="E914" s="16">
        <f>Table1[[#This Row],[Order Quantity]]*Table1[[#This Row],[Unit Price]]</f>
        <v>64.14</v>
      </c>
      <c r="F914">
        <v>3</v>
      </c>
      <c r="G914" s="16">
        <v>21.38</v>
      </c>
      <c r="H914" t="s">
        <v>8</v>
      </c>
      <c r="I914" t="s">
        <v>170</v>
      </c>
      <c r="J914" t="s">
        <v>13</v>
      </c>
      <c r="K914" t="s">
        <v>11</v>
      </c>
    </row>
    <row r="915" spans="1:11" x14ac:dyDescent="0.45">
      <c r="A915">
        <v>6241</v>
      </c>
      <c r="B915" s="15">
        <v>44194</v>
      </c>
      <c r="C915" t="str">
        <f>TEXT(Table1[[#This Row],[Order Date]], "yyyy")</f>
        <v>2020</v>
      </c>
      <c r="D915" t="str">
        <f>TEXT(Table1[[#This Row],[Order Date]], "mmmm")</f>
        <v>December</v>
      </c>
      <c r="E915" s="16">
        <f>Table1[[#This Row],[Order Quantity]]*Table1[[#This Row],[Unit Price]]</f>
        <v>5973.71</v>
      </c>
      <c r="F915">
        <v>29</v>
      </c>
      <c r="G915" s="16">
        <v>205.99</v>
      </c>
      <c r="H915" t="s">
        <v>8</v>
      </c>
      <c r="I915" t="s">
        <v>411</v>
      </c>
      <c r="J915" t="s">
        <v>10</v>
      </c>
      <c r="K915" t="s">
        <v>17</v>
      </c>
    </row>
    <row r="916" spans="1:11" x14ac:dyDescent="0.45">
      <c r="A916">
        <v>6246</v>
      </c>
      <c r="B916" s="15">
        <v>44125</v>
      </c>
      <c r="C916" t="str">
        <f>TEXT(Table1[[#This Row],[Order Date]], "yyyy")</f>
        <v>2020</v>
      </c>
      <c r="D916" t="str">
        <f>TEXT(Table1[[#This Row],[Order Date]], "mmmm")</f>
        <v>October</v>
      </c>
      <c r="E916" s="16">
        <f>Table1[[#This Row],[Order Quantity]]*Table1[[#This Row],[Unit Price]]</f>
        <v>51.09</v>
      </c>
      <c r="F916">
        <v>13</v>
      </c>
      <c r="G916" s="16">
        <v>3.93</v>
      </c>
      <c r="H916" t="s">
        <v>8</v>
      </c>
      <c r="I916" t="s">
        <v>242</v>
      </c>
      <c r="J916" t="s">
        <v>20</v>
      </c>
      <c r="K916" t="s">
        <v>11</v>
      </c>
    </row>
    <row r="917" spans="1:11" x14ac:dyDescent="0.45">
      <c r="A917">
        <v>6272</v>
      </c>
      <c r="B917" s="15">
        <v>44254</v>
      </c>
      <c r="C917" t="str">
        <f>TEXT(Table1[[#This Row],[Order Date]], "yyyy")</f>
        <v>2021</v>
      </c>
      <c r="D917" t="str">
        <f>TEXT(Table1[[#This Row],[Order Date]], "mmmm")</f>
        <v>February</v>
      </c>
      <c r="E917" s="16">
        <f>Table1[[#This Row],[Order Quantity]]*Table1[[#This Row],[Unit Price]]</f>
        <v>494.34000000000003</v>
      </c>
      <c r="F917">
        <v>33</v>
      </c>
      <c r="G917" s="16">
        <v>14.98</v>
      </c>
      <c r="H917" t="s">
        <v>8</v>
      </c>
      <c r="I917" t="s">
        <v>377</v>
      </c>
      <c r="J917" t="s">
        <v>13</v>
      </c>
      <c r="K917" t="s">
        <v>15</v>
      </c>
    </row>
    <row r="918" spans="1:11" x14ac:dyDescent="0.45">
      <c r="A918">
        <v>6272</v>
      </c>
      <c r="B918" s="15">
        <v>44254</v>
      </c>
      <c r="C918" t="str">
        <f>TEXT(Table1[[#This Row],[Order Date]], "yyyy")</f>
        <v>2021</v>
      </c>
      <c r="D918" t="str">
        <f>TEXT(Table1[[#This Row],[Order Date]], "mmmm")</f>
        <v>February</v>
      </c>
      <c r="E918" s="16">
        <f>Table1[[#This Row],[Order Quantity]]*Table1[[#This Row],[Unit Price]]</f>
        <v>3285.38</v>
      </c>
      <c r="F918">
        <v>31</v>
      </c>
      <c r="G918" s="16">
        <v>105.98</v>
      </c>
      <c r="H918" t="s">
        <v>8</v>
      </c>
      <c r="I918" t="s">
        <v>377</v>
      </c>
      <c r="J918" t="s">
        <v>13</v>
      </c>
      <c r="K918" t="s">
        <v>15</v>
      </c>
    </row>
    <row r="919" spans="1:11" x14ac:dyDescent="0.45">
      <c r="A919">
        <v>6279</v>
      </c>
      <c r="B919" s="15">
        <v>44225</v>
      </c>
      <c r="C919" t="str">
        <f>TEXT(Table1[[#This Row],[Order Date]], "yyyy")</f>
        <v>2021</v>
      </c>
      <c r="D919" t="str">
        <f>TEXT(Table1[[#This Row],[Order Date]], "mmmm")</f>
        <v>January</v>
      </c>
      <c r="E919" s="16">
        <f>Table1[[#This Row],[Order Quantity]]*Table1[[#This Row],[Unit Price]]</f>
        <v>3296.7200000000003</v>
      </c>
      <c r="F919">
        <v>49</v>
      </c>
      <c r="G919" s="16">
        <v>67.28</v>
      </c>
      <c r="H919" t="s">
        <v>8</v>
      </c>
      <c r="I919" t="s">
        <v>200</v>
      </c>
      <c r="J919" t="s">
        <v>23</v>
      </c>
      <c r="K919" t="s">
        <v>11</v>
      </c>
    </row>
    <row r="920" spans="1:11" x14ac:dyDescent="0.45">
      <c r="A920">
        <v>6304</v>
      </c>
      <c r="B920" s="15">
        <v>44784</v>
      </c>
      <c r="C920" t="str">
        <f>TEXT(Table1[[#This Row],[Order Date]], "yyyy")</f>
        <v>2022</v>
      </c>
      <c r="D920" t="str">
        <f>TEXT(Table1[[#This Row],[Order Date]], "mmmm")</f>
        <v>August</v>
      </c>
      <c r="E920" s="16">
        <f>Table1[[#This Row],[Order Quantity]]*Table1[[#This Row],[Unit Price]]</f>
        <v>194.4</v>
      </c>
      <c r="F920">
        <v>30</v>
      </c>
      <c r="G920" s="16">
        <v>6.48</v>
      </c>
      <c r="H920" t="s">
        <v>8</v>
      </c>
      <c r="I920" t="s">
        <v>412</v>
      </c>
      <c r="J920" t="s">
        <v>13</v>
      </c>
      <c r="K920" t="s">
        <v>11</v>
      </c>
    </row>
    <row r="921" spans="1:11" x14ac:dyDescent="0.45">
      <c r="A921">
        <v>6309</v>
      </c>
      <c r="B921" s="15">
        <v>44356</v>
      </c>
      <c r="C921" t="str">
        <f>TEXT(Table1[[#This Row],[Order Date]], "yyyy")</f>
        <v>2021</v>
      </c>
      <c r="D921" t="str">
        <f>TEXT(Table1[[#This Row],[Order Date]], "mmmm")</f>
        <v>June</v>
      </c>
      <c r="E921" s="16">
        <f>Table1[[#This Row],[Order Quantity]]*Table1[[#This Row],[Unit Price]]</f>
        <v>28.799999999999997</v>
      </c>
      <c r="F921">
        <v>10</v>
      </c>
      <c r="G921" s="16">
        <v>2.88</v>
      </c>
      <c r="H921" t="s">
        <v>8</v>
      </c>
      <c r="I921" t="s">
        <v>232</v>
      </c>
      <c r="J921" t="s">
        <v>13</v>
      </c>
      <c r="K921" t="s">
        <v>11</v>
      </c>
    </row>
    <row r="922" spans="1:11" x14ac:dyDescent="0.45">
      <c r="A922">
        <v>6310</v>
      </c>
      <c r="B922" s="15">
        <v>43954</v>
      </c>
      <c r="C922" t="str">
        <f>TEXT(Table1[[#This Row],[Order Date]], "yyyy")</f>
        <v>2020</v>
      </c>
      <c r="D922" t="str">
        <f>TEXT(Table1[[#This Row],[Order Date]], "mmmm")</f>
        <v>May</v>
      </c>
      <c r="E922" s="16">
        <f>Table1[[#This Row],[Order Quantity]]*Table1[[#This Row],[Unit Price]]</f>
        <v>218.43</v>
      </c>
      <c r="F922">
        <v>27</v>
      </c>
      <c r="G922" s="16">
        <v>8.09</v>
      </c>
      <c r="H922" t="s">
        <v>8</v>
      </c>
      <c r="I922" t="s">
        <v>413</v>
      </c>
      <c r="J922" t="s">
        <v>23</v>
      </c>
      <c r="K922" t="s">
        <v>15</v>
      </c>
    </row>
    <row r="923" spans="1:11" x14ac:dyDescent="0.45">
      <c r="A923">
        <v>6311</v>
      </c>
      <c r="B923" s="15">
        <v>44237</v>
      </c>
      <c r="C923" t="str">
        <f>TEXT(Table1[[#This Row],[Order Date]], "yyyy")</f>
        <v>2021</v>
      </c>
      <c r="D923" t="str">
        <f>TEXT(Table1[[#This Row],[Order Date]], "mmmm")</f>
        <v>February</v>
      </c>
      <c r="E923" s="16">
        <f>Table1[[#This Row],[Order Quantity]]*Table1[[#This Row],[Unit Price]]</f>
        <v>1547.82</v>
      </c>
      <c r="F923">
        <v>18</v>
      </c>
      <c r="G923" s="16">
        <v>85.99</v>
      </c>
      <c r="H923" t="s">
        <v>8</v>
      </c>
      <c r="I923" t="s">
        <v>379</v>
      </c>
      <c r="J923" t="s">
        <v>13</v>
      </c>
      <c r="K923" t="s">
        <v>17</v>
      </c>
    </row>
    <row r="924" spans="1:11" x14ac:dyDescent="0.45">
      <c r="A924">
        <v>6337</v>
      </c>
      <c r="B924" s="15">
        <v>44804</v>
      </c>
      <c r="C924" t="str">
        <f>TEXT(Table1[[#This Row],[Order Date]], "yyyy")</f>
        <v>2022</v>
      </c>
      <c r="D924" t="str">
        <f>TEXT(Table1[[#This Row],[Order Date]], "mmmm")</f>
        <v>August</v>
      </c>
      <c r="E924" s="16">
        <f>Table1[[#This Row],[Order Quantity]]*Table1[[#This Row],[Unit Price]]</f>
        <v>3394.08</v>
      </c>
      <c r="F924">
        <v>48</v>
      </c>
      <c r="G924" s="16">
        <v>70.709999999999994</v>
      </c>
      <c r="H924" t="s">
        <v>8</v>
      </c>
      <c r="I924" t="s">
        <v>143</v>
      </c>
      <c r="J924" t="s">
        <v>13</v>
      </c>
      <c r="K924" t="s">
        <v>15</v>
      </c>
    </row>
    <row r="925" spans="1:11" x14ac:dyDescent="0.45">
      <c r="A925">
        <v>6339</v>
      </c>
      <c r="B925" s="15">
        <v>45271</v>
      </c>
      <c r="C925" t="str">
        <f>TEXT(Table1[[#This Row],[Order Date]], "yyyy")</f>
        <v>2023</v>
      </c>
      <c r="D925" t="str">
        <f>TEXT(Table1[[#This Row],[Order Date]], "mmmm")</f>
        <v>December</v>
      </c>
      <c r="E925" s="16">
        <f>Table1[[#This Row],[Order Quantity]]*Table1[[#This Row],[Unit Price]]</f>
        <v>299.60000000000002</v>
      </c>
      <c r="F925">
        <v>20</v>
      </c>
      <c r="G925" s="16">
        <v>14.98</v>
      </c>
      <c r="H925" t="s">
        <v>8</v>
      </c>
      <c r="I925" t="s">
        <v>24</v>
      </c>
      <c r="J925" t="s">
        <v>13</v>
      </c>
      <c r="K925" t="s">
        <v>11</v>
      </c>
    </row>
    <row r="926" spans="1:11" x14ac:dyDescent="0.45">
      <c r="A926">
        <v>6373</v>
      </c>
      <c r="B926" s="15">
        <v>44949</v>
      </c>
      <c r="C926" t="str">
        <f>TEXT(Table1[[#This Row],[Order Date]], "yyyy")</f>
        <v>2023</v>
      </c>
      <c r="D926" t="str">
        <f>TEXT(Table1[[#This Row],[Order Date]], "mmmm")</f>
        <v>January</v>
      </c>
      <c r="E926" s="16">
        <f>Table1[[#This Row],[Order Quantity]]*Table1[[#This Row],[Unit Price]]</f>
        <v>60.97</v>
      </c>
      <c r="F926">
        <v>1</v>
      </c>
      <c r="G926" s="16">
        <v>60.97</v>
      </c>
      <c r="H926" t="s">
        <v>8</v>
      </c>
      <c r="I926" t="s">
        <v>302</v>
      </c>
      <c r="J926" t="s">
        <v>20</v>
      </c>
      <c r="K926" t="s">
        <v>11</v>
      </c>
    </row>
    <row r="927" spans="1:11" x14ac:dyDescent="0.45">
      <c r="A927">
        <v>6374</v>
      </c>
      <c r="B927" s="15">
        <v>44780</v>
      </c>
      <c r="C927" t="str">
        <f>TEXT(Table1[[#This Row],[Order Date]], "yyyy")</f>
        <v>2022</v>
      </c>
      <c r="D927" t="str">
        <f>TEXT(Table1[[#This Row],[Order Date]], "mmmm")</f>
        <v>August</v>
      </c>
      <c r="E927" s="16">
        <f>Table1[[#This Row],[Order Quantity]]*Table1[[#This Row],[Unit Price]]</f>
        <v>1.48</v>
      </c>
      <c r="F927">
        <v>1</v>
      </c>
      <c r="G927" s="16">
        <v>1.48</v>
      </c>
      <c r="H927" t="s">
        <v>8</v>
      </c>
      <c r="I927" t="s">
        <v>415</v>
      </c>
      <c r="J927" t="s">
        <v>13</v>
      </c>
      <c r="K927" t="s">
        <v>11</v>
      </c>
    </row>
    <row r="928" spans="1:11" x14ac:dyDescent="0.45">
      <c r="A928">
        <v>6402</v>
      </c>
      <c r="B928" s="15">
        <v>44674</v>
      </c>
      <c r="C928" t="str">
        <f>TEXT(Table1[[#This Row],[Order Date]], "yyyy")</f>
        <v>2022</v>
      </c>
      <c r="D928" t="str">
        <f>TEXT(Table1[[#This Row],[Order Date]], "mmmm")</f>
        <v>April</v>
      </c>
      <c r="E928" s="16">
        <f>Table1[[#This Row],[Order Quantity]]*Table1[[#This Row],[Unit Price]]</f>
        <v>358.05</v>
      </c>
      <c r="F928">
        <v>35</v>
      </c>
      <c r="G928" s="16">
        <v>10.23</v>
      </c>
      <c r="H928" t="s">
        <v>8</v>
      </c>
      <c r="I928" t="s">
        <v>416</v>
      </c>
      <c r="J928" t="s">
        <v>13</v>
      </c>
      <c r="K928" t="s">
        <v>11</v>
      </c>
    </row>
    <row r="929" spans="1:11" x14ac:dyDescent="0.45">
      <c r="A929">
        <v>6403</v>
      </c>
      <c r="B929" s="15">
        <v>44603</v>
      </c>
      <c r="C929" t="str">
        <f>TEXT(Table1[[#This Row],[Order Date]], "yyyy")</f>
        <v>2022</v>
      </c>
      <c r="D929" t="str">
        <f>TEXT(Table1[[#This Row],[Order Date]], "mmmm")</f>
        <v>February</v>
      </c>
      <c r="E929" s="16">
        <f>Table1[[#This Row],[Order Quantity]]*Table1[[#This Row],[Unit Price]]</f>
        <v>17186.79</v>
      </c>
      <c r="F929">
        <v>41</v>
      </c>
      <c r="G929" s="16">
        <v>419.19</v>
      </c>
      <c r="H929" t="s">
        <v>8</v>
      </c>
      <c r="I929" t="s">
        <v>169</v>
      </c>
      <c r="J929" t="s">
        <v>10</v>
      </c>
      <c r="K929" t="s">
        <v>11</v>
      </c>
    </row>
    <row r="930" spans="1:11" x14ac:dyDescent="0.45">
      <c r="A930">
        <v>6406</v>
      </c>
      <c r="B930" s="15">
        <v>44057</v>
      </c>
      <c r="C930" t="str">
        <f>TEXT(Table1[[#This Row],[Order Date]], "yyyy")</f>
        <v>2020</v>
      </c>
      <c r="D930" t="str">
        <f>TEXT(Table1[[#This Row],[Order Date]], "mmmm")</f>
        <v>August</v>
      </c>
      <c r="E930" s="16">
        <f>Table1[[#This Row],[Order Quantity]]*Table1[[#This Row],[Unit Price]]</f>
        <v>89.44</v>
      </c>
      <c r="F930">
        <v>43</v>
      </c>
      <c r="G930" s="16">
        <v>2.08</v>
      </c>
      <c r="H930" t="s">
        <v>8</v>
      </c>
      <c r="I930" t="s">
        <v>292</v>
      </c>
      <c r="J930" t="s">
        <v>20</v>
      </c>
      <c r="K930" t="s">
        <v>11</v>
      </c>
    </row>
    <row r="931" spans="1:11" x14ac:dyDescent="0.45">
      <c r="A931">
        <v>6432</v>
      </c>
      <c r="B931" s="15">
        <v>44875</v>
      </c>
      <c r="C931" t="str">
        <f>TEXT(Table1[[#This Row],[Order Date]], "yyyy")</f>
        <v>2022</v>
      </c>
      <c r="D931" t="str">
        <f>TEXT(Table1[[#This Row],[Order Date]], "mmmm")</f>
        <v>November</v>
      </c>
      <c r="E931" s="16">
        <f>Table1[[#This Row],[Order Quantity]]*Table1[[#This Row],[Unit Price]]</f>
        <v>326.70000000000005</v>
      </c>
      <c r="F931">
        <v>30</v>
      </c>
      <c r="G931" s="16">
        <v>10.89</v>
      </c>
      <c r="H931" t="s">
        <v>8</v>
      </c>
      <c r="I931" t="s">
        <v>141</v>
      </c>
      <c r="J931" t="s">
        <v>13</v>
      </c>
      <c r="K931" t="s">
        <v>11</v>
      </c>
    </row>
    <row r="932" spans="1:11" x14ac:dyDescent="0.45">
      <c r="A932">
        <v>6433</v>
      </c>
      <c r="B932" s="15">
        <v>44887</v>
      </c>
      <c r="C932" t="str">
        <f>TEXT(Table1[[#This Row],[Order Date]], "yyyy")</f>
        <v>2022</v>
      </c>
      <c r="D932" t="str">
        <f>TEXT(Table1[[#This Row],[Order Date]], "mmmm")</f>
        <v>November</v>
      </c>
      <c r="E932" s="16">
        <f>Table1[[#This Row],[Order Quantity]]*Table1[[#This Row],[Unit Price]]</f>
        <v>151.29</v>
      </c>
      <c r="F932">
        <v>41</v>
      </c>
      <c r="G932" s="16">
        <v>3.69</v>
      </c>
      <c r="H932" t="s">
        <v>8</v>
      </c>
      <c r="I932" t="s">
        <v>266</v>
      </c>
      <c r="J932" t="s">
        <v>20</v>
      </c>
      <c r="K932" t="s">
        <v>11</v>
      </c>
    </row>
    <row r="933" spans="1:11" x14ac:dyDescent="0.45">
      <c r="A933">
        <v>6434</v>
      </c>
      <c r="B933" s="15">
        <v>43989</v>
      </c>
      <c r="C933" t="str">
        <f>TEXT(Table1[[#This Row],[Order Date]], "yyyy")</f>
        <v>2020</v>
      </c>
      <c r="D933" t="str">
        <f>TEXT(Table1[[#This Row],[Order Date]], "mmmm")</f>
        <v>June</v>
      </c>
      <c r="E933" s="16">
        <f>Table1[[#This Row],[Order Quantity]]*Table1[[#This Row],[Unit Price]]</f>
        <v>61.879999999999995</v>
      </c>
      <c r="F933">
        <v>13</v>
      </c>
      <c r="G933" s="16">
        <v>4.76</v>
      </c>
      <c r="H933" t="s">
        <v>8</v>
      </c>
      <c r="I933" t="s">
        <v>212</v>
      </c>
      <c r="J933" t="s">
        <v>13</v>
      </c>
      <c r="K933" t="s">
        <v>11</v>
      </c>
    </row>
    <row r="934" spans="1:11" x14ac:dyDescent="0.45">
      <c r="A934">
        <v>6438</v>
      </c>
      <c r="B934" s="15">
        <v>44332</v>
      </c>
      <c r="C934" t="str">
        <f>TEXT(Table1[[#This Row],[Order Date]], "yyyy")</f>
        <v>2021</v>
      </c>
      <c r="D934" t="str">
        <f>TEXT(Table1[[#This Row],[Order Date]], "mmmm")</f>
        <v>May</v>
      </c>
      <c r="E934" s="16">
        <f>Table1[[#This Row],[Order Quantity]]*Table1[[#This Row],[Unit Price]]</f>
        <v>68.39</v>
      </c>
      <c r="F934">
        <v>7</v>
      </c>
      <c r="G934" s="16">
        <v>9.77</v>
      </c>
      <c r="H934" t="s">
        <v>8</v>
      </c>
      <c r="I934" t="s">
        <v>417</v>
      </c>
      <c r="J934" t="s">
        <v>13</v>
      </c>
      <c r="K934" t="s">
        <v>15</v>
      </c>
    </row>
    <row r="935" spans="1:11" x14ac:dyDescent="0.45">
      <c r="A935">
        <v>6438</v>
      </c>
      <c r="B935" s="15">
        <v>44332</v>
      </c>
      <c r="C935" t="str">
        <f>TEXT(Table1[[#This Row],[Order Date]], "yyyy")</f>
        <v>2021</v>
      </c>
      <c r="D935" t="str">
        <f>TEXT(Table1[[#This Row],[Order Date]], "mmmm")</f>
        <v>May</v>
      </c>
      <c r="E935" s="16">
        <f>Table1[[#This Row],[Order Quantity]]*Table1[[#This Row],[Unit Price]]</f>
        <v>227.24</v>
      </c>
      <c r="F935">
        <v>38</v>
      </c>
      <c r="G935" s="16">
        <v>5.98</v>
      </c>
      <c r="H935" t="s">
        <v>8</v>
      </c>
      <c r="I935" t="s">
        <v>417</v>
      </c>
      <c r="J935" t="s">
        <v>13</v>
      </c>
      <c r="K935" t="s">
        <v>11</v>
      </c>
    </row>
    <row r="936" spans="1:11" x14ac:dyDescent="0.45">
      <c r="A936">
        <v>6464</v>
      </c>
      <c r="B936" s="15">
        <v>43979</v>
      </c>
      <c r="C936" t="str">
        <f>TEXT(Table1[[#This Row],[Order Date]], "yyyy")</f>
        <v>2020</v>
      </c>
      <c r="D936" t="str">
        <f>TEXT(Table1[[#This Row],[Order Date]], "mmmm")</f>
        <v>May</v>
      </c>
      <c r="E936" s="16">
        <f>Table1[[#This Row],[Order Quantity]]*Table1[[#This Row],[Unit Price]]</f>
        <v>60.97</v>
      </c>
      <c r="F936">
        <v>1</v>
      </c>
      <c r="G936" s="16">
        <v>60.97</v>
      </c>
      <c r="H936" t="s">
        <v>8</v>
      </c>
      <c r="I936" t="s">
        <v>418</v>
      </c>
      <c r="J936" t="s">
        <v>23</v>
      </c>
      <c r="K936" t="s">
        <v>11</v>
      </c>
    </row>
    <row r="937" spans="1:11" x14ac:dyDescent="0.45">
      <c r="A937">
        <v>6464</v>
      </c>
      <c r="B937" s="15">
        <v>43979</v>
      </c>
      <c r="C937" t="str">
        <f>TEXT(Table1[[#This Row],[Order Date]], "yyyy")</f>
        <v>2020</v>
      </c>
      <c r="D937" t="str">
        <f>TEXT(Table1[[#This Row],[Order Date]], "mmmm")</f>
        <v>May</v>
      </c>
      <c r="E937" s="16">
        <f>Table1[[#This Row],[Order Quantity]]*Table1[[#This Row],[Unit Price]]</f>
        <v>3821.1600000000003</v>
      </c>
      <c r="F937">
        <v>42</v>
      </c>
      <c r="G937" s="16">
        <v>90.98</v>
      </c>
      <c r="H937" t="s">
        <v>8</v>
      </c>
      <c r="I937" t="s">
        <v>418</v>
      </c>
      <c r="J937" t="s">
        <v>23</v>
      </c>
      <c r="K937" t="s">
        <v>15</v>
      </c>
    </row>
    <row r="938" spans="1:11" x14ac:dyDescent="0.45">
      <c r="A938">
        <v>6500</v>
      </c>
      <c r="B938" s="15">
        <v>45211</v>
      </c>
      <c r="C938" t="str">
        <f>TEXT(Table1[[#This Row],[Order Date]], "yyyy")</f>
        <v>2023</v>
      </c>
      <c r="D938" t="str">
        <f>TEXT(Table1[[#This Row],[Order Date]], "mmmm")</f>
        <v>October</v>
      </c>
      <c r="E938" s="16">
        <f>Table1[[#This Row],[Order Quantity]]*Table1[[#This Row],[Unit Price]]</f>
        <v>456.3</v>
      </c>
      <c r="F938">
        <v>15</v>
      </c>
      <c r="G938" s="16">
        <v>30.42</v>
      </c>
      <c r="H938" t="s">
        <v>8</v>
      </c>
      <c r="I938" t="s">
        <v>64</v>
      </c>
      <c r="J938" t="s">
        <v>20</v>
      </c>
      <c r="K938" t="s">
        <v>17</v>
      </c>
    </row>
    <row r="939" spans="1:11" x14ac:dyDescent="0.45">
      <c r="A939">
        <v>6500</v>
      </c>
      <c r="B939" s="15">
        <v>45211</v>
      </c>
      <c r="C939" t="str">
        <f>TEXT(Table1[[#This Row],[Order Date]], "yyyy")</f>
        <v>2023</v>
      </c>
      <c r="D939" t="str">
        <f>TEXT(Table1[[#This Row],[Order Date]], "mmmm")</f>
        <v>October</v>
      </c>
      <c r="E939" s="16">
        <f>Table1[[#This Row],[Order Quantity]]*Table1[[#This Row],[Unit Price]]</f>
        <v>39</v>
      </c>
      <c r="F939">
        <v>20</v>
      </c>
      <c r="G939" s="16">
        <v>1.95</v>
      </c>
      <c r="H939" t="s">
        <v>8</v>
      </c>
      <c r="I939" t="s">
        <v>64</v>
      </c>
      <c r="J939" t="s">
        <v>20</v>
      </c>
      <c r="K939" t="s">
        <v>11</v>
      </c>
    </row>
    <row r="940" spans="1:11" x14ac:dyDescent="0.45">
      <c r="A940">
        <v>6501</v>
      </c>
      <c r="B940" s="15">
        <v>44939</v>
      </c>
      <c r="C940" t="str">
        <f>TEXT(Table1[[#This Row],[Order Date]], "yyyy")</f>
        <v>2023</v>
      </c>
      <c r="D940" t="str">
        <f>TEXT(Table1[[#This Row],[Order Date]], "mmmm")</f>
        <v>January</v>
      </c>
      <c r="E940" s="16">
        <f>Table1[[#This Row],[Order Quantity]]*Table1[[#This Row],[Unit Price]]</f>
        <v>226.8</v>
      </c>
      <c r="F940">
        <v>35</v>
      </c>
      <c r="G940" s="16">
        <v>6.48</v>
      </c>
      <c r="H940" t="s">
        <v>8</v>
      </c>
      <c r="I940" t="s">
        <v>404</v>
      </c>
      <c r="J940" t="s">
        <v>13</v>
      </c>
      <c r="K940" t="s">
        <v>11</v>
      </c>
    </row>
    <row r="941" spans="1:11" x14ac:dyDescent="0.45">
      <c r="A941">
        <v>6501</v>
      </c>
      <c r="B941" s="15">
        <v>44939</v>
      </c>
      <c r="C941" t="str">
        <f>TEXT(Table1[[#This Row],[Order Date]], "yyyy")</f>
        <v>2023</v>
      </c>
      <c r="D941" t="str">
        <f>TEXT(Table1[[#This Row],[Order Date]], "mmmm")</f>
        <v>January</v>
      </c>
      <c r="E941" s="16">
        <f>Table1[[#This Row],[Order Quantity]]*Table1[[#This Row],[Unit Price]]</f>
        <v>5795.54</v>
      </c>
      <c r="F941">
        <v>46</v>
      </c>
      <c r="G941" s="16">
        <v>125.99</v>
      </c>
      <c r="H941" t="s">
        <v>8</v>
      </c>
      <c r="I941" t="s">
        <v>404</v>
      </c>
      <c r="J941" t="s">
        <v>13</v>
      </c>
      <c r="K941" t="s">
        <v>17</v>
      </c>
    </row>
    <row r="942" spans="1:11" x14ac:dyDescent="0.45">
      <c r="A942">
        <v>6502</v>
      </c>
      <c r="B942" s="15">
        <v>44793</v>
      </c>
      <c r="C942" t="str">
        <f>TEXT(Table1[[#This Row],[Order Date]], "yyyy")</f>
        <v>2022</v>
      </c>
      <c r="D942" t="str">
        <f>TEXT(Table1[[#This Row],[Order Date]], "mmmm")</f>
        <v>August</v>
      </c>
      <c r="E942" s="16">
        <f>Table1[[#This Row],[Order Quantity]]*Table1[[#This Row],[Unit Price]]</f>
        <v>299.7</v>
      </c>
      <c r="F942">
        <v>30</v>
      </c>
      <c r="G942" s="16">
        <v>9.99</v>
      </c>
      <c r="H942" t="s">
        <v>8</v>
      </c>
      <c r="I942" t="s">
        <v>121</v>
      </c>
      <c r="J942" t="s">
        <v>20</v>
      </c>
      <c r="K942" t="s">
        <v>11</v>
      </c>
    </row>
    <row r="943" spans="1:11" x14ac:dyDescent="0.45">
      <c r="A943">
        <v>6529</v>
      </c>
      <c r="B943" s="15">
        <v>45256</v>
      </c>
      <c r="C943" t="str">
        <f>TEXT(Table1[[#This Row],[Order Date]], "yyyy")</f>
        <v>2023</v>
      </c>
      <c r="D943" t="str">
        <f>TEXT(Table1[[#This Row],[Order Date]], "mmmm")</f>
        <v>November</v>
      </c>
      <c r="E943" s="16">
        <f>Table1[[#This Row],[Order Quantity]]*Table1[[#This Row],[Unit Price]]</f>
        <v>91.7</v>
      </c>
      <c r="F943">
        <v>35</v>
      </c>
      <c r="G943" s="16">
        <v>2.62</v>
      </c>
      <c r="H943" t="s">
        <v>8</v>
      </c>
      <c r="I943" t="s">
        <v>421</v>
      </c>
      <c r="J943" t="s">
        <v>10</v>
      </c>
      <c r="K943" t="s">
        <v>11</v>
      </c>
    </row>
    <row r="944" spans="1:11" x14ac:dyDescent="0.45">
      <c r="A944">
        <v>6531</v>
      </c>
      <c r="B944" s="15">
        <v>44394</v>
      </c>
      <c r="C944" t="str">
        <f>TEXT(Table1[[#This Row],[Order Date]], "yyyy")</f>
        <v>2021</v>
      </c>
      <c r="D944" t="str">
        <f>TEXT(Table1[[#This Row],[Order Date]], "mmmm")</f>
        <v>July</v>
      </c>
      <c r="E944" s="16">
        <f>Table1[[#This Row],[Order Quantity]]*Table1[[#This Row],[Unit Price]]</f>
        <v>183.54</v>
      </c>
      <c r="F944">
        <v>42</v>
      </c>
      <c r="G944" s="16">
        <v>4.37</v>
      </c>
      <c r="H944" t="s">
        <v>8</v>
      </c>
      <c r="I944" t="s">
        <v>422</v>
      </c>
      <c r="J944" t="s">
        <v>20</v>
      </c>
      <c r="K944" t="s">
        <v>11</v>
      </c>
    </row>
    <row r="945" spans="1:11" x14ac:dyDescent="0.45">
      <c r="A945">
        <v>6531</v>
      </c>
      <c r="B945" s="15">
        <v>44394</v>
      </c>
      <c r="C945" t="str">
        <f>TEXT(Table1[[#This Row],[Order Date]], "yyyy")</f>
        <v>2021</v>
      </c>
      <c r="D945" t="str">
        <f>TEXT(Table1[[#This Row],[Order Date]], "mmmm")</f>
        <v>July</v>
      </c>
      <c r="E945" s="16">
        <f>Table1[[#This Row],[Order Quantity]]*Table1[[#This Row],[Unit Price]]</f>
        <v>555.52</v>
      </c>
      <c r="F945">
        <v>28</v>
      </c>
      <c r="G945" s="16">
        <v>19.84</v>
      </c>
      <c r="H945" t="s">
        <v>8</v>
      </c>
      <c r="I945" t="s">
        <v>422</v>
      </c>
      <c r="J945" t="s">
        <v>20</v>
      </c>
      <c r="K945" t="s">
        <v>11</v>
      </c>
    </row>
    <row r="946" spans="1:11" x14ac:dyDescent="0.45">
      <c r="A946">
        <v>6560</v>
      </c>
      <c r="B946" s="15">
        <v>44565</v>
      </c>
      <c r="C946" t="str">
        <f>TEXT(Table1[[#This Row],[Order Date]], "yyyy")</f>
        <v>2022</v>
      </c>
      <c r="D946" t="str">
        <f>TEXT(Table1[[#This Row],[Order Date]], "mmmm")</f>
        <v>January</v>
      </c>
      <c r="E946" s="16">
        <f>Table1[[#This Row],[Order Quantity]]*Table1[[#This Row],[Unit Price]]</f>
        <v>173.4</v>
      </c>
      <c r="F946">
        <v>20</v>
      </c>
      <c r="G946" s="16">
        <v>8.67</v>
      </c>
      <c r="H946" t="s">
        <v>8</v>
      </c>
      <c r="I946" t="s">
        <v>423</v>
      </c>
      <c r="J946" t="s">
        <v>13</v>
      </c>
      <c r="K946" t="s">
        <v>11</v>
      </c>
    </row>
    <row r="947" spans="1:11" x14ac:dyDescent="0.45">
      <c r="A947">
        <v>6564</v>
      </c>
      <c r="B947" s="15">
        <v>44582</v>
      </c>
      <c r="C947" t="str">
        <f>TEXT(Table1[[#This Row],[Order Date]], "yyyy")</f>
        <v>2022</v>
      </c>
      <c r="D947" t="str">
        <f>TEXT(Table1[[#This Row],[Order Date]], "mmmm")</f>
        <v>January</v>
      </c>
      <c r="E947" s="16">
        <f>Table1[[#This Row],[Order Quantity]]*Table1[[#This Row],[Unit Price]]</f>
        <v>415.48</v>
      </c>
      <c r="F947">
        <v>26</v>
      </c>
      <c r="G947" s="16">
        <v>15.98</v>
      </c>
      <c r="H947" t="s">
        <v>8</v>
      </c>
      <c r="I947" t="s">
        <v>424</v>
      </c>
      <c r="J947" t="s">
        <v>23</v>
      </c>
      <c r="K947" t="s">
        <v>17</v>
      </c>
    </row>
    <row r="948" spans="1:11" x14ac:dyDescent="0.45">
      <c r="A948">
        <v>6566</v>
      </c>
      <c r="B948" s="15">
        <v>44702</v>
      </c>
      <c r="C948" t="str">
        <f>TEXT(Table1[[#This Row],[Order Date]], "yyyy")</f>
        <v>2022</v>
      </c>
      <c r="D948" t="str">
        <f>TEXT(Table1[[#This Row],[Order Date]], "mmmm")</f>
        <v>May</v>
      </c>
      <c r="E948" s="16">
        <f>Table1[[#This Row],[Order Quantity]]*Table1[[#This Row],[Unit Price]]</f>
        <v>713.57999999999993</v>
      </c>
      <c r="F948">
        <v>21</v>
      </c>
      <c r="G948" s="16">
        <v>33.979999999999997</v>
      </c>
      <c r="H948" t="s">
        <v>8</v>
      </c>
      <c r="I948" t="s">
        <v>185</v>
      </c>
      <c r="J948" t="s">
        <v>13</v>
      </c>
      <c r="K948" t="s">
        <v>17</v>
      </c>
    </row>
    <row r="949" spans="1:11" x14ac:dyDescent="0.45">
      <c r="A949">
        <v>6592</v>
      </c>
      <c r="B949" s="15">
        <v>44166</v>
      </c>
      <c r="C949" t="str">
        <f>TEXT(Table1[[#This Row],[Order Date]], "yyyy")</f>
        <v>2020</v>
      </c>
      <c r="D949" t="str">
        <f>TEXT(Table1[[#This Row],[Order Date]], "mmmm")</f>
        <v>December</v>
      </c>
      <c r="E949" s="16">
        <f>Table1[[#This Row],[Order Quantity]]*Table1[[#This Row],[Unit Price]]</f>
        <v>198.35999999999999</v>
      </c>
      <c r="F949">
        <v>29</v>
      </c>
      <c r="G949" s="16">
        <v>6.84</v>
      </c>
      <c r="H949" t="s">
        <v>8</v>
      </c>
      <c r="I949" t="s">
        <v>80</v>
      </c>
      <c r="J949" t="s">
        <v>23</v>
      </c>
      <c r="K949" t="s">
        <v>11</v>
      </c>
    </row>
    <row r="950" spans="1:11" x14ac:dyDescent="0.45">
      <c r="A950">
        <v>6656</v>
      </c>
      <c r="B950" s="15">
        <v>43966</v>
      </c>
      <c r="C950" t="str">
        <f>TEXT(Table1[[#This Row],[Order Date]], "yyyy")</f>
        <v>2020</v>
      </c>
      <c r="D950" t="str">
        <f>TEXT(Table1[[#This Row],[Order Date]], "mmmm")</f>
        <v>May</v>
      </c>
      <c r="E950" s="16">
        <f>Table1[[#This Row],[Order Quantity]]*Table1[[#This Row],[Unit Price]]</f>
        <v>1757.7</v>
      </c>
      <c r="F950">
        <v>45</v>
      </c>
      <c r="G950" s="16">
        <v>39.06</v>
      </c>
      <c r="H950" t="s">
        <v>8</v>
      </c>
      <c r="I950" t="s">
        <v>339</v>
      </c>
      <c r="J950" t="s">
        <v>10</v>
      </c>
      <c r="K950" t="s">
        <v>11</v>
      </c>
    </row>
    <row r="951" spans="1:11" x14ac:dyDescent="0.45">
      <c r="A951">
        <v>6656</v>
      </c>
      <c r="B951" s="15">
        <v>43966</v>
      </c>
      <c r="C951" t="str">
        <f>TEXT(Table1[[#This Row],[Order Date]], "yyyy")</f>
        <v>2020</v>
      </c>
      <c r="D951" t="str">
        <f>TEXT(Table1[[#This Row],[Order Date]], "mmmm")</f>
        <v>May</v>
      </c>
      <c r="E951" s="16">
        <f>Table1[[#This Row],[Order Quantity]]*Table1[[#This Row],[Unit Price]]</f>
        <v>1885.0000000000002</v>
      </c>
      <c r="F951">
        <v>50</v>
      </c>
      <c r="G951" s="16">
        <v>37.700000000000003</v>
      </c>
      <c r="H951" t="s">
        <v>8</v>
      </c>
      <c r="I951" t="s">
        <v>339</v>
      </c>
      <c r="J951" t="s">
        <v>10</v>
      </c>
      <c r="K951" t="s">
        <v>11</v>
      </c>
    </row>
    <row r="952" spans="1:11" x14ac:dyDescent="0.45">
      <c r="A952">
        <v>6661</v>
      </c>
      <c r="B952" s="15">
        <v>44302</v>
      </c>
      <c r="C952" t="str">
        <f>TEXT(Table1[[#This Row],[Order Date]], "yyyy")</f>
        <v>2021</v>
      </c>
      <c r="D952" t="str">
        <f>TEXT(Table1[[#This Row],[Order Date]], "mmmm")</f>
        <v>April</v>
      </c>
      <c r="E952" s="16">
        <f>Table1[[#This Row],[Order Quantity]]*Table1[[#This Row],[Unit Price]]</f>
        <v>749.97</v>
      </c>
      <c r="F952">
        <v>39</v>
      </c>
      <c r="G952" s="16">
        <v>19.23</v>
      </c>
      <c r="H952" t="s">
        <v>8</v>
      </c>
      <c r="I952" t="s">
        <v>342</v>
      </c>
      <c r="J952" t="s">
        <v>10</v>
      </c>
      <c r="K952" t="s">
        <v>15</v>
      </c>
    </row>
    <row r="953" spans="1:11" x14ac:dyDescent="0.45">
      <c r="A953">
        <v>6693</v>
      </c>
      <c r="B953" s="15">
        <v>45070</v>
      </c>
      <c r="C953" t="str">
        <f>TEXT(Table1[[#This Row],[Order Date]], "yyyy")</f>
        <v>2023</v>
      </c>
      <c r="D953" t="str">
        <f>TEXT(Table1[[#This Row],[Order Date]], "mmmm")</f>
        <v>May</v>
      </c>
      <c r="E953" s="16">
        <f>Table1[[#This Row],[Order Quantity]]*Table1[[#This Row],[Unit Price]]</f>
        <v>41.92</v>
      </c>
      <c r="F953">
        <v>16</v>
      </c>
      <c r="G953" s="16">
        <v>2.62</v>
      </c>
      <c r="H953" t="s">
        <v>8</v>
      </c>
      <c r="I953" t="s">
        <v>426</v>
      </c>
      <c r="J953" t="s">
        <v>13</v>
      </c>
      <c r="K953" t="s">
        <v>11</v>
      </c>
    </row>
    <row r="954" spans="1:11" x14ac:dyDescent="0.45">
      <c r="A954">
        <v>6720</v>
      </c>
      <c r="B954" s="15">
        <v>44448</v>
      </c>
      <c r="C954" t="str">
        <f>TEXT(Table1[[#This Row],[Order Date]], "yyyy")</f>
        <v>2021</v>
      </c>
      <c r="D954" t="str">
        <f>TEXT(Table1[[#This Row],[Order Date]], "mmmm")</f>
        <v>September</v>
      </c>
      <c r="E954" s="16">
        <f>Table1[[#This Row],[Order Quantity]]*Table1[[#This Row],[Unit Price]]</f>
        <v>160.57999999999998</v>
      </c>
      <c r="F954">
        <v>31</v>
      </c>
      <c r="G954" s="16">
        <v>5.18</v>
      </c>
      <c r="H954" t="s">
        <v>8</v>
      </c>
      <c r="I954" t="s">
        <v>294</v>
      </c>
      <c r="J954" t="s">
        <v>20</v>
      </c>
      <c r="K954" t="s">
        <v>11</v>
      </c>
    </row>
    <row r="955" spans="1:11" x14ac:dyDescent="0.45">
      <c r="A955">
        <v>6720</v>
      </c>
      <c r="B955" s="15">
        <v>44448</v>
      </c>
      <c r="C955" t="str">
        <f>TEXT(Table1[[#This Row],[Order Date]], "yyyy")</f>
        <v>2021</v>
      </c>
      <c r="D955" t="str">
        <f>TEXT(Table1[[#This Row],[Order Date]], "mmmm")</f>
        <v>September</v>
      </c>
      <c r="E955" s="16">
        <f>Table1[[#This Row],[Order Quantity]]*Table1[[#This Row],[Unit Price]]</f>
        <v>50.4</v>
      </c>
      <c r="F955">
        <v>8</v>
      </c>
      <c r="G955" s="16">
        <v>6.3</v>
      </c>
      <c r="H955" t="s">
        <v>8</v>
      </c>
      <c r="I955" t="s">
        <v>294</v>
      </c>
      <c r="J955" t="s">
        <v>20</v>
      </c>
      <c r="K955" t="s">
        <v>11</v>
      </c>
    </row>
    <row r="956" spans="1:11" x14ac:dyDescent="0.45">
      <c r="A956">
        <v>6727</v>
      </c>
      <c r="B956" s="15">
        <v>44072</v>
      </c>
      <c r="C956" t="str">
        <f>TEXT(Table1[[#This Row],[Order Date]], "yyyy")</f>
        <v>2020</v>
      </c>
      <c r="D956" t="str">
        <f>TEXT(Table1[[#This Row],[Order Date]], "mmmm")</f>
        <v>August</v>
      </c>
      <c r="E956" s="16">
        <f>Table1[[#This Row],[Order Quantity]]*Table1[[#This Row],[Unit Price]]</f>
        <v>34.68</v>
      </c>
      <c r="F956">
        <v>12</v>
      </c>
      <c r="G956" s="16">
        <v>2.89</v>
      </c>
      <c r="H956" t="s">
        <v>8</v>
      </c>
      <c r="I956" t="s">
        <v>428</v>
      </c>
      <c r="J956" t="s">
        <v>23</v>
      </c>
      <c r="K956" t="s">
        <v>11</v>
      </c>
    </row>
    <row r="957" spans="1:11" x14ac:dyDescent="0.45">
      <c r="A957">
        <v>6753</v>
      </c>
      <c r="B957" s="15">
        <v>44465</v>
      </c>
      <c r="C957" t="str">
        <f>TEXT(Table1[[#This Row],[Order Date]], "yyyy")</f>
        <v>2021</v>
      </c>
      <c r="D957" t="str">
        <f>TEXT(Table1[[#This Row],[Order Date]], "mmmm")</f>
        <v>September</v>
      </c>
      <c r="E957" s="16">
        <f>Table1[[#This Row],[Order Quantity]]*Table1[[#This Row],[Unit Price]]</f>
        <v>46.48</v>
      </c>
      <c r="F957">
        <v>7</v>
      </c>
      <c r="G957" s="16">
        <v>6.64</v>
      </c>
      <c r="H957" t="s">
        <v>8</v>
      </c>
      <c r="I957" t="s">
        <v>63</v>
      </c>
      <c r="J957" t="s">
        <v>10</v>
      </c>
      <c r="K957" t="s">
        <v>15</v>
      </c>
    </row>
    <row r="958" spans="1:11" x14ac:dyDescent="0.45">
      <c r="A958">
        <v>6754</v>
      </c>
      <c r="B958" s="15">
        <v>44784</v>
      </c>
      <c r="C958" t="str">
        <f>TEXT(Table1[[#This Row],[Order Date]], "yyyy")</f>
        <v>2022</v>
      </c>
      <c r="D958" t="str">
        <f>TEXT(Table1[[#This Row],[Order Date]], "mmmm")</f>
        <v>August</v>
      </c>
      <c r="E958" s="16">
        <f>Table1[[#This Row],[Order Quantity]]*Table1[[#This Row],[Unit Price]]</f>
        <v>2677.87</v>
      </c>
      <c r="F958">
        <v>13</v>
      </c>
      <c r="G958" s="16">
        <v>205.99</v>
      </c>
      <c r="H958" t="s">
        <v>8</v>
      </c>
      <c r="I958" t="s">
        <v>429</v>
      </c>
      <c r="J958" t="s">
        <v>13</v>
      </c>
      <c r="K958" t="s">
        <v>17</v>
      </c>
    </row>
    <row r="959" spans="1:11" x14ac:dyDescent="0.45">
      <c r="A959">
        <v>6755</v>
      </c>
      <c r="B959" s="15">
        <v>44682</v>
      </c>
      <c r="C959" t="str">
        <f>TEXT(Table1[[#This Row],[Order Date]], "yyyy")</f>
        <v>2022</v>
      </c>
      <c r="D959" t="str">
        <f>TEXT(Table1[[#This Row],[Order Date]], "mmmm")</f>
        <v>May</v>
      </c>
      <c r="E959" s="16">
        <f>Table1[[#This Row],[Order Quantity]]*Table1[[#This Row],[Unit Price]]</f>
        <v>142</v>
      </c>
      <c r="F959">
        <v>20</v>
      </c>
      <c r="G959" s="16">
        <v>7.1</v>
      </c>
      <c r="H959" t="s">
        <v>8</v>
      </c>
      <c r="I959" t="s">
        <v>119</v>
      </c>
      <c r="J959" t="s">
        <v>20</v>
      </c>
      <c r="K959" t="s">
        <v>11</v>
      </c>
    </row>
    <row r="960" spans="1:11" x14ac:dyDescent="0.45">
      <c r="A960">
        <v>6757</v>
      </c>
      <c r="B960" s="15">
        <v>44958</v>
      </c>
      <c r="C960" t="str">
        <f>TEXT(Table1[[#This Row],[Order Date]], "yyyy")</f>
        <v>2023</v>
      </c>
      <c r="D960" t="str">
        <f>TEXT(Table1[[#This Row],[Order Date]], "mmmm")</f>
        <v>February</v>
      </c>
      <c r="E960" s="16">
        <f>Table1[[#This Row],[Order Quantity]]*Table1[[#This Row],[Unit Price]]</f>
        <v>938.52</v>
      </c>
      <c r="F960">
        <v>27</v>
      </c>
      <c r="G960" s="16">
        <v>34.76</v>
      </c>
      <c r="H960" t="s">
        <v>8</v>
      </c>
      <c r="I960" t="s">
        <v>430</v>
      </c>
      <c r="J960" t="s">
        <v>10</v>
      </c>
      <c r="K960" t="s">
        <v>11</v>
      </c>
    </row>
    <row r="961" spans="1:11" x14ac:dyDescent="0.45">
      <c r="A961">
        <v>6785</v>
      </c>
      <c r="B961" s="15">
        <v>45052</v>
      </c>
      <c r="C961" t="str">
        <f>TEXT(Table1[[#This Row],[Order Date]], "yyyy")</f>
        <v>2023</v>
      </c>
      <c r="D961" t="str">
        <f>TEXT(Table1[[#This Row],[Order Date]], "mmmm")</f>
        <v>May</v>
      </c>
      <c r="E961" s="16">
        <f>Table1[[#This Row],[Order Quantity]]*Table1[[#This Row],[Unit Price]]</f>
        <v>177.66</v>
      </c>
      <c r="F961">
        <v>7</v>
      </c>
      <c r="G961" s="16">
        <v>25.38</v>
      </c>
      <c r="H961" t="s">
        <v>8</v>
      </c>
      <c r="I961" t="s">
        <v>416</v>
      </c>
      <c r="J961" t="s">
        <v>20</v>
      </c>
      <c r="K961" t="s">
        <v>15</v>
      </c>
    </row>
    <row r="962" spans="1:11" x14ac:dyDescent="0.45">
      <c r="A962">
        <v>6788</v>
      </c>
      <c r="B962" s="15">
        <v>44777</v>
      </c>
      <c r="C962" t="str">
        <f>TEXT(Table1[[#This Row],[Order Date]], "yyyy")</f>
        <v>2022</v>
      </c>
      <c r="D962" t="str">
        <f>TEXT(Table1[[#This Row],[Order Date]], "mmmm")</f>
        <v>August</v>
      </c>
      <c r="E962" s="16">
        <f>Table1[[#This Row],[Order Quantity]]*Table1[[#This Row],[Unit Price]]</f>
        <v>10.86</v>
      </c>
      <c r="F962">
        <v>6</v>
      </c>
      <c r="G962" s="16">
        <v>1.81</v>
      </c>
      <c r="H962" t="s">
        <v>8</v>
      </c>
      <c r="I962" t="s">
        <v>226</v>
      </c>
      <c r="J962" t="s">
        <v>10</v>
      </c>
      <c r="K962" t="s">
        <v>11</v>
      </c>
    </row>
    <row r="963" spans="1:11" x14ac:dyDescent="0.45">
      <c r="A963">
        <v>6823</v>
      </c>
      <c r="B963" s="15">
        <v>44033</v>
      </c>
      <c r="C963" t="str">
        <f>TEXT(Table1[[#This Row],[Order Date]], "yyyy")</f>
        <v>2020</v>
      </c>
      <c r="D963" t="str">
        <f>TEXT(Table1[[#This Row],[Order Date]], "mmmm")</f>
        <v>July</v>
      </c>
      <c r="E963" s="16">
        <f>Table1[[#This Row],[Order Quantity]]*Table1[[#This Row],[Unit Price]]</f>
        <v>1247.5</v>
      </c>
      <c r="F963">
        <v>50</v>
      </c>
      <c r="G963" s="16">
        <v>24.95</v>
      </c>
      <c r="H963" t="s">
        <v>8</v>
      </c>
      <c r="I963" t="s">
        <v>199</v>
      </c>
      <c r="J963" t="s">
        <v>10</v>
      </c>
      <c r="K963" t="s">
        <v>11</v>
      </c>
    </row>
    <row r="964" spans="1:11" x14ac:dyDescent="0.45">
      <c r="A964">
        <v>6823</v>
      </c>
      <c r="B964" s="15">
        <v>44033</v>
      </c>
      <c r="C964" t="str">
        <f>TEXT(Table1[[#This Row],[Order Date]], "yyyy")</f>
        <v>2020</v>
      </c>
      <c r="D964" t="str">
        <f>TEXT(Table1[[#This Row],[Order Date]], "mmmm")</f>
        <v>July</v>
      </c>
      <c r="E964" s="16">
        <f>Table1[[#This Row],[Order Quantity]]*Table1[[#This Row],[Unit Price]]</f>
        <v>495.38</v>
      </c>
      <c r="F964">
        <v>31</v>
      </c>
      <c r="G964" s="16">
        <v>15.98</v>
      </c>
      <c r="H964" t="s">
        <v>8</v>
      </c>
      <c r="I964" t="s">
        <v>199</v>
      </c>
      <c r="J964" t="s">
        <v>10</v>
      </c>
      <c r="K964" t="s">
        <v>17</v>
      </c>
    </row>
    <row r="965" spans="1:11" x14ac:dyDescent="0.45">
      <c r="A965">
        <v>6848</v>
      </c>
      <c r="B965" s="15">
        <v>44452</v>
      </c>
      <c r="C965" t="str">
        <f>TEXT(Table1[[#This Row],[Order Date]], "yyyy")</f>
        <v>2021</v>
      </c>
      <c r="D965" t="str">
        <f>TEXT(Table1[[#This Row],[Order Date]], "mmmm")</f>
        <v>September</v>
      </c>
      <c r="E965" s="16">
        <f>Table1[[#This Row],[Order Quantity]]*Table1[[#This Row],[Unit Price]]</f>
        <v>118.80000000000001</v>
      </c>
      <c r="F965">
        <v>22</v>
      </c>
      <c r="G965" s="16">
        <v>5.4</v>
      </c>
      <c r="H965" t="s">
        <v>8</v>
      </c>
      <c r="I965" t="s">
        <v>432</v>
      </c>
      <c r="J965" t="s">
        <v>23</v>
      </c>
      <c r="K965" t="s">
        <v>11</v>
      </c>
    </row>
    <row r="966" spans="1:11" x14ac:dyDescent="0.45">
      <c r="A966">
        <v>6850</v>
      </c>
      <c r="B966" s="15">
        <v>44238</v>
      </c>
      <c r="C966" t="str">
        <f>TEXT(Table1[[#This Row],[Order Date]], "yyyy")</f>
        <v>2021</v>
      </c>
      <c r="D966" t="str">
        <f>TEXT(Table1[[#This Row],[Order Date]], "mmmm")</f>
        <v>February</v>
      </c>
      <c r="E966" s="16">
        <f>Table1[[#This Row],[Order Quantity]]*Table1[[#This Row],[Unit Price]]</f>
        <v>80.08</v>
      </c>
      <c r="F966">
        <v>8</v>
      </c>
      <c r="G966" s="16">
        <v>10.01</v>
      </c>
      <c r="H966" t="s">
        <v>8</v>
      </c>
      <c r="I966" t="s">
        <v>433</v>
      </c>
      <c r="J966" t="s">
        <v>13</v>
      </c>
      <c r="K966" t="s">
        <v>17</v>
      </c>
    </row>
    <row r="967" spans="1:11" x14ac:dyDescent="0.45">
      <c r="A967">
        <v>6850</v>
      </c>
      <c r="B967" s="15">
        <v>44238</v>
      </c>
      <c r="C967" t="str">
        <f>TEXT(Table1[[#This Row],[Order Date]], "yyyy")</f>
        <v>2021</v>
      </c>
      <c r="D967" t="str">
        <f>TEXT(Table1[[#This Row],[Order Date]], "mmmm")</f>
        <v>February</v>
      </c>
      <c r="E967" s="16">
        <f>Table1[[#This Row],[Order Quantity]]*Table1[[#This Row],[Unit Price]]</f>
        <v>2131.1799999999998</v>
      </c>
      <c r="F967">
        <v>41</v>
      </c>
      <c r="G967" s="16">
        <v>51.98</v>
      </c>
      <c r="H967" t="s">
        <v>8</v>
      </c>
      <c r="I967" t="s">
        <v>433</v>
      </c>
      <c r="J967" t="s">
        <v>13</v>
      </c>
      <c r="K967" t="s">
        <v>17</v>
      </c>
    </row>
    <row r="968" spans="1:11" x14ac:dyDescent="0.45">
      <c r="A968">
        <v>6850</v>
      </c>
      <c r="B968" s="15">
        <v>44238</v>
      </c>
      <c r="C968" t="str">
        <f>TEXT(Table1[[#This Row],[Order Date]], "yyyy")</f>
        <v>2021</v>
      </c>
      <c r="D968" t="str">
        <f>TEXT(Table1[[#This Row],[Order Date]], "mmmm")</f>
        <v>February</v>
      </c>
      <c r="E968" s="16">
        <f>Table1[[#This Row],[Order Quantity]]*Table1[[#This Row],[Unit Price]]</f>
        <v>2209.3200000000002</v>
      </c>
      <c r="F968">
        <v>34</v>
      </c>
      <c r="G968" s="16">
        <v>64.98</v>
      </c>
      <c r="H968" t="s">
        <v>8</v>
      </c>
      <c r="I968" t="s">
        <v>433</v>
      </c>
      <c r="J968" t="s">
        <v>13</v>
      </c>
      <c r="K968" t="s">
        <v>11</v>
      </c>
    </row>
    <row r="969" spans="1:11" x14ac:dyDescent="0.45">
      <c r="A969">
        <v>6880</v>
      </c>
      <c r="B969" s="15">
        <v>43976</v>
      </c>
      <c r="C969" t="str">
        <f>TEXT(Table1[[#This Row],[Order Date]], "yyyy")</f>
        <v>2020</v>
      </c>
      <c r="D969" t="str">
        <f>TEXT(Table1[[#This Row],[Order Date]], "mmmm")</f>
        <v>May</v>
      </c>
      <c r="E969" s="16">
        <f>Table1[[#This Row],[Order Quantity]]*Table1[[#This Row],[Unit Price]]</f>
        <v>239.5</v>
      </c>
      <c r="F969">
        <v>5</v>
      </c>
      <c r="G969" s="16">
        <v>47.9</v>
      </c>
      <c r="H969" t="s">
        <v>8</v>
      </c>
      <c r="I969" t="s">
        <v>435</v>
      </c>
      <c r="J969" t="s">
        <v>23</v>
      </c>
      <c r="K969" t="s">
        <v>11</v>
      </c>
    </row>
    <row r="970" spans="1:11" x14ac:dyDescent="0.45">
      <c r="A970">
        <v>6884</v>
      </c>
      <c r="B970" s="15">
        <v>43845</v>
      </c>
      <c r="C970" t="str">
        <f>TEXT(Table1[[#This Row],[Order Date]], "yyyy")</f>
        <v>2020</v>
      </c>
      <c r="D970" t="str">
        <f>TEXT(Table1[[#This Row],[Order Date]], "mmmm")</f>
        <v>January</v>
      </c>
      <c r="E970" s="16">
        <f>Table1[[#This Row],[Order Quantity]]*Table1[[#This Row],[Unit Price]]</f>
        <v>204.18</v>
      </c>
      <c r="F970">
        <v>41</v>
      </c>
      <c r="G970" s="16">
        <v>4.9800000000000004</v>
      </c>
      <c r="H970" t="s">
        <v>8</v>
      </c>
      <c r="I970" t="s">
        <v>402</v>
      </c>
      <c r="J970" t="s">
        <v>20</v>
      </c>
      <c r="K970" t="s">
        <v>11</v>
      </c>
    </row>
    <row r="971" spans="1:11" x14ac:dyDescent="0.45">
      <c r="A971">
        <v>6884</v>
      </c>
      <c r="B971" s="15">
        <v>43845</v>
      </c>
      <c r="C971" t="str">
        <f>TEXT(Table1[[#This Row],[Order Date]], "yyyy")</f>
        <v>2020</v>
      </c>
      <c r="D971" t="str">
        <f>TEXT(Table1[[#This Row],[Order Date]], "mmmm")</f>
        <v>January</v>
      </c>
      <c r="E971" s="16">
        <f>Table1[[#This Row],[Order Quantity]]*Table1[[#This Row],[Unit Price]]</f>
        <v>298.45</v>
      </c>
      <c r="F971">
        <v>47</v>
      </c>
      <c r="G971" s="16">
        <v>6.35</v>
      </c>
      <c r="H971" t="s">
        <v>8</v>
      </c>
      <c r="I971" t="s">
        <v>402</v>
      </c>
      <c r="J971" t="s">
        <v>20</v>
      </c>
      <c r="K971" t="s">
        <v>11</v>
      </c>
    </row>
    <row r="972" spans="1:11" x14ac:dyDescent="0.45">
      <c r="A972">
        <v>6885</v>
      </c>
      <c r="B972" s="15">
        <v>45096</v>
      </c>
      <c r="C972" t="str">
        <f>TEXT(Table1[[#This Row],[Order Date]], "yyyy")</f>
        <v>2023</v>
      </c>
      <c r="D972" t="str">
        <f>TEXT(Table1[[#This Row],[Order Date]], "mmmm")</f>
        <v>June</v>
      </c>
      <c r="E972" s="16">
        <f>Table1[[#This Row],[Order Quantity]]*Table1[[#This Row],[Unit Price]]</f>
        <v>959.59999999999991</v>
      </c>
      <c r="F972">
        <v>40</v>
      </c>
      <c r="G972" s="16">
        <v>23.99</v>
      </c>
      <c r="H972" t="s">
        <v>8</v>
      </c>
      <c r="I972" t="s">
        <v>436</v>
      </c>
      <c r="J972" t="s">
        <v>13</v>
      </c>
      <c r="K972" t="s">
        <v>17</v>
      </c>
    </row>
    <row r="973" spans="1:11" x14ac:dyDescent="0.45">
      <c r="A973">
        <v>6886</v>
      </c>
      <c r="B973" s="15">
        <v>44945</v>
      </c>
      <c r="C973" t="str">
        <f>TEXT(Table1[[#This Row],[Order Date]], "yyyy")</f>
        <v>2023</v>
      </c>
      <c r="D973" t="str">
        <f>TEXT(Table1[[#This Row],[Order Date]], "mmmm")</f>
        <v>January</v>
      </c>
      <c r="E973" s="16">
        <f>Table1[[#This Row],[Order Quantity]]*Table1[[#This Row],[Unit Price]]</f>
        <v>8209.6200000000008</v>
      </c>
      <c r="F973">
        <v>46</v>
      </c>
      <c r="G973" s="16">
        <v>178.47</v>
      </c>
      <c r="H973" t="s">
        <v>8</v>
      </c>
      <c r="I973" t="s">
        <v>118</v>
      </c>
      <c r="J973" t="s">
        <v>23</v>
      </c>
      <c r="K973" t="s">
        <v>11</v>
      </c>
    </row>
    <row r="974" spans="1:11" x14ac:dyDescent="0.45">
      <c r="A974">
        <v>6912</v>
      </c>
      <c r="B974" s="15">
        <v>44905</v>
      </c>
      <c r="C974" t="str">
        <f>TEXT(Table1[[#This Row],[Order Date]], "yyyy")</f>
        <v>2022</v>
      </c>
      <c r="D974" t="str">
        <f>TEXT(Table1[[#This Row],[Order Date]], "mmmm")</f>
        <v>December</v>
      </c>
      <c r="E974" s="16">
        <f>Table1[[#This Row],[Order Quantity]]*Table1[[#This Row],[Unit Price]]</f>
        <v>304.92</v>
      </c>
      <c r="F974">
        <v>14</v>
      </c>
      <c r="G974" s="16">
        <v>21.78</v>
      </c>
      <c r="H974" t="s">
        <v>8</v>
      </c>
      <c r="I974" t="s">
        <v>419</v>
      </c>
      <c r="J974" t="s">
        <v>10</v>
      </c>
      <c r="K974" t="s">
        <v>11</v>
      </c>
    </row>
    <row r="975" spans="1:11" x14ac:dyDescent="0.45">
      <c r="A975">
        <v>6918</v>
      </c>
      <c r="B975" s="15">
        <v>44743</v>
      </c>
      <c r="C975" t="str">
        <f>TEXT(Table1[[#This Row],[Order Date]], "yyyy")</f>
        <v>2022</v>
      </c>
      <c r="D975" t="str">
        <f>TEXT(Table1[[#This Row],[Order Date]], "mmmm")</f>
        <v>July</v>
      </c>
      <c r="E975" s="16">
        <f>Table1[[#This Row],[Order Quantity]]*Table1[[#This Row],[Unit Price]]</f>
        <v>1500.2399999999998</v>
      </c>
      <c r="F975">
        <v>38</v>
      </c>
      <c r="G975" s="16">
        <v>39.479999999999997</v>
      </c>
      <c r="H975" t="s">
        <v>8</v>
      </c>
      <c r="I975" t="s">
        <v>438</v>
      </c>
      <c r="J975" t="s">
        <v>23</v>
      </c>
      <c r="K975" t="s">
        <v>17</v>
      </c>
    </row>
    <row r="976" spans="1:11" x14ac:dyDescent="0.45">
      <c r="A976">
        <v>6947</v>
      </c>
      <c r="B976" s="15">
        <v>44761</v>
      </c>
      <c r="C976" t="str">
        <f>TEXT(Table1[[#This Row],[Order Date]], "yyyy")</f>
        <v>2022</v>
      </c>
      <c r="D976" t="str">
        <f>TEXT(Table1[[#This Row],[Order Date]], "mmmm")</f>
        <v>July</v>
      </c>
      <c r="E976" s="16">
        <f>Table1[[#This Row],[Order Quantity]]*Table1[[#This Row],[Unit Price]]</f>
        <v>464.84999999999997</v>
      </c>
      <c r="F976">
        <v>9</v>
      </c>
      <c r="G976" s="16">
        <v>51.65</v>
      </c>
      <c r="H976" t="s">
        <v>8</v>
      </c>
      <c r="I976" t="s">
        <v>439</v>
      </c>
      <c r="J976" t="s">
        <v>10</v>
      </c>
      <c r="K976" t="s">
        <v>15</v>
      </c>
    </row>
    <row r="977" spans="1:11" x14ac:dyDescent="0.45">
      <c r="A977">
        <v>6948</v>
      </c>
      <c r="B977" s="15">
        <v>44539</v>
      </c>
      <c r="C977" t="str">
        <f>TEXT(Table1[[#This Row],[Order Date]], "yyyy")</f>
        <v>2021</v>
      </c>
      <c r="D977" t="str">
        <f>TEXT(Table1[[#This Row],[Order Date]], "mmmm")</f>
        <v>December</v>
      </c>
      <c r="E977" s="16">
        <f>Table1[[#This Row],[Order Quantity]]*Table1[[#This Row],[Unit Price]]</f>
        <v>1109.7</v>
      </c>
      <c r="F977">
        <v>15</v>
      </c>
      <c r="G977" s="16">
        <v>73.98</v>
      </c>
      <c r="H977" t="s">
        <v>8</v>
      </c>
      <c r="I977" t="s">
        <v>440</v>
      </c>
      <c r="J977" t="s">
        <v>13</v>
      </c>
      <c r="K977" t="s">
        <v>17</v>
      </c>
    </row>
    <row r="978" spans="1:11" x14ac:dyDescent="0.45">
      <c r="A978">
        <v>6950</v>
      </c>
      <c r="B978" s="15">
        <v>45011</v>
      </c>
      <c r="C978" t="str">
        <f>TEXT(Table1[[#This Row],[Order Date]], "yyyy")</f>
        <v>2023</v>
      </c>
      <c r="D978" t="str">
        <f>TEXT(Table1[[#This Row],[Order Date]], "mmmm")</f>
        <v>March</v>
      </c>
      <c r="E978" s="16">
        <f>Table1[[#This Row],[Order Quantity]]*Table1[[#This Row],[Unit Price]]</f>
        <v>223.96</v>
      </c>
      <c r="F978">
        <v>4</v>
      </c>
      <c r="G978" s="16">
        <v>55.99</v>
      </c>
      <c r="H978" t="s">
        <v>8</v>
      </c>
      <c r="I978" t="s">
        <v>441</v>
      </c>
      <c r="J978" t="s">
        <v>20</v>
      </c>
      <c r="K978" t="s">
        <v>17</v>
      </c>
    </row>
    <row r="979" spans="1:11" x14ac:dyDescent="0.45">
      <c r="A979">
        <v>6978</v>
      </c>
      <c r="B979" s="15">
        <v>44539</v>
      </c>
      <c r="C979" t="str">
        <f>TEXT(Table1[[#This Row],[Order Date]], "yyyy")</f>
        <v>2021</v>
      </c>
      <c r="D979" t="str">
        <f>TEXT(Table1[[#This Row],[Order Date]], "mmmm")</f>
        <v>December</v>
      </c>
      <c r="E979" s="16">
        <f>Table1[[#This Row],[Order Quantity]]*Table1[[#This Row],[Unit Price]]</f>
        <v>381.64</v>
      </c>
      <c r="F979">
        <v>47</v>
      </c>
      <c r="G979" s="16">
        <v>8.1199999999999992</v>
      </c>
      <c r="H979" t="s">
        <v>8</v>
      </c>
      <c r="I979" t="s">
        <v>68</v>
      </c>
      <c r="J979" t="s">
        <v>20</v>
      </c>
      <c r="K979" t="s">
        <v>17</v>
      </c>
    </row>
    <row r="980" spans="1:11" x14ac:dyDescent="0.45">
      <c r="A980">
        <v>6979</v>
      </c>
      <c r="B980" s="15">
        <v>43888</v>
      </c>
      <c r="C980" t="str">
        <f>TEXT(Table1[[#This Row],[Order Date]], "yyyy")</f>
        <v>2020</v>
      </c>
      <c r="D980" t="str">
        <f>TEXT(Table1[[#This Row],[Order Date]], "mmmm")</f>
        <v>February</v>
      </c>
      <c r="E980" s="16">
        <f>Table1[[#This Row],[Order Quantity]]*Table1[[#This Row],[Unit Price]]</f>
        <v>335.72</v>
      </c>
      <c r="F980">
        <v>28</v>
      </c>
      <c r="G980" s="16">
        <v>11.99</v>
      </c>
      <c r="H980" t="s">
        <v>8</v>
      </c>
      <c r="I980" t="s">
        <v>27</v>
      </c>
      <c r="J980" t="s">
        <v>20</v>
      </c>
      <c r="K980" t="s">
        <v>17</v>
      </c>
    </row>
    <row r="981" spans="1:11" x14ac:dyDescent="0.45">
      <c r="A981">
        <v>6980</v>
      </c>
      <c r="B981" s="15">
        <v>44245</v>
      </c>
      <c r="C981" t="str">
        <f>TEXT(Table1[[#This Row],[Order Date]], "yyyy")</f>
        <v>2021</v>
      </c>
      <c r="D981" t="str">
        <f>TEXT(Table1[[#This Row],[Order Date]], "mmmm")</f>
        <v>February</v>
      </c>
      <c r="E981" s="16">
        <f>Table1[[#This Row],[Order Quantity]]*Table1[[#This Row],[Unit Price]]</f>
        <v>131.4</v>
      </c>
      <c r="F981">
        <v>18</v>
      </c>
      <c r="G981" s="16">
        <v>7.3</v>
      </c>
      <c r="H981" t="s">
        <v>8</v>
      </c>
      <c r="I981" t="s">
        <v>442</v>
      </c>
      <c r="J981" t="s">
        <v>23</v>
      </c>
      <c r="K981" t="s">
        <v>11</v>
      </c>
    </row>
    <row r="982" spans="1:11" x14ac:dyDescent="0.45">
      <c r="A982">
        <v>6982</v>
      </c>
      <c r="B982" s="15">
        <v>44881</v>
      </c>
      <c r="C982" t="str">
        <f>TEXT(Table1[[#This Row],[Order Date]], "yyyy")</f>
        <v>2022</v>
      </c>
      <c r="D982" t="str">
        <f>TEXT(Table1[[#This Row],[Order Date]], "mmmm")</f>
        <v>November</v>
      </c>
      <c r="E982" s="16">
        <f>Table1[[#This Row],[Order Quantity]]*Table1[[#This Row],[Unit Price]]</f>
        <v>819.18000000000006</v>
      </c>
      <c r="F982">
        <v>41</v>
      </c>
      <c r="G982" s="16">
        <v>19.98</v>
      </c>
      <c r="H982" t="s">
        <v>8</v>
      </c>
      <c r="I982" t="s">
        <v>317</v>
      </c>
      <c r="J982" t="s">
        <v>13</v>
      </c>
      <c r="K982" t="s">
        <v>15</v>
      </c>
    </row>
    <row r="983" spans="1:11" x14ac:dyDescent="0.45">
      <c r="A983">
        <v>7015</v>
      </c>
      <c r="B983" s="15">
        <v>44481</v>
      </c>
      <c r="C983" t="str">
        <f>TEXT(Table1[[#This Row],[Order Date]], "yyyy")</f>
        <v>2021</v>
      </c>
      <c r="D983" t="str">
        <f>TEXT(Table1[[#This Row],[Order Date]], "mmmm")</f>
        <v>October</v>
      </c>
      <c r="E983" s="16">
        <f>Table1[[#This Row],[Order Quantity]]*Table1[[#This Row],[Unit Price]]</f>
        <v>1926.06</v>
      </c>
      <c r="F983">
        <v>47</v>
      </c>
      <c r="G983" s="16">
        <v>40.98</v>
      </c>
      <c r="H983" t="s">
        <v>8</v>
      </c>
      <c r="I983" t="s">
        <v>41</v>
      </c>
      <c r="J983" t="s">
        <v>20</v>
      </c>
      <c r="K983" t="s">
        <v>17</v>
      </c>
    </row>
    <row r="984" spans="1:11" x14ac:dyDescent="0.45">
      <c r="A984">
        <v>7043</v>
      </c>
      <c r="B984" s="15">
        <v>43855</v>
      </c>
      <c r="C984" t="str">
        <f>TEXT(Table1[[#This Row],[Order Date]], "yyyy")</f>
        <v>2020</v>
      </c>
      <c r="D984" t="str">
        <f>TEXT(Table1[[#This Row],[Order Date]], "mmmm")</f>
        <v>January</v>
      </c>
      <c r="E984" s="16">
        <f>Table1[[#This Row],[Order Quantity]]*Table1[[#This Row],[Unit Price]]</f>
        <v>6.96</v>
      </c>
      <c r="F984">
        <v>4</v>
      </c>
      <c r="G984" s="16">
        <v>1.74</v>
      </c>
      <c r="H984" t="s">
        <v>8</v>
      </c>
      <c r="I984" t="s">
        <v>351</v>
      </c>
      <c r="J984" t="s">
        <v>13</v>
      </c>
      <c r="K984" t="s">
        <v>15</v>
      </c>
    </row>
    <row r="985" spans="1:11" x14ac:dyDescent="0.45">
      <c r="A985">
        <v>7072</v>
      </c>
      <c r="B985" s="15">
        <v>44961</v>
      </c>
      <c r="C985" t="str">
        <f>TEXT(Table1[[#This Row],[Order Date]], "yyyy")</f>
        <v>2023</v>
      </c>
      <c r="D985" t="str">
        <f>TEXT(Table1[[#This Row],[Order Date]], "mmmm")</f>
        <v>February</v>
      </c>
      <c r="E985" s="16">
        <f>Table1[[#This Row],[Order Quantity]]*Table1[[#This Row],[Unit Price]]</f>
        <v>256.64999999999998</v>
      </c>
      <c r="F985">
        <v>29</v>
      </c>
      <c r="G985" s="16">
        <v>8.85</v>
      </c>
      <c r="H985" t="s">
        <v>8</v>
      </c>
      <c r="I985" t="s">
        <v>406</v>
      </c>
      <c r="J985" t="s">
        <v>13</v>
      </c>
      <c r="K985" t="s">
        <v>11</v>
      </c>
    </row>
    <row r="986" spans="1:11" x14ac:dyDescent="0.45">
      <c r="A986">
        <v>7075</v>
      </c>
      <c r="B986" s="15">
        <v>44844</v>
      </c>
      <c r="C986" t="str">
        <f>TEXT(Table1[[#This Row],[Order Date]], "yyyy")</f>
        <v>2022</v>
      </c>
      <c r="D986" t="str">
        <f>TEXT(Table1[[#This Row],[Order Date]], "mmmm")</f>
        <v>October</v>
      </c>
      <c r="E986" s="16">
        <f>Table1[[#This Row],[Order Quantity]]*Table1[[#This Row],[Unit Price]]</f>
        <v>231.3</v>
      </c>
      <c r="F986">
        <v>15</v>
      </c>
      <c r="G986" s="16">
        <v>15.42</v>
      </c>
      <c r="H986" t="s">
        <v>8</v>
      </c>
      <c r="I986" t="s">
        <v>392</v>
      </c>
      <c r="J986" t="s">
        <v>13</v>
      </c>
      <c r="K986" t="s">
        <v>11</v>
      </c>
    </row>
    <row r="987" spans="1:11" x14ac:dyDescent="0.45">
      <c r="A987">
        <v>7075</v>
      </c>
      <c r="B987" s="15">
        <v>44844</v>
      </c>
      <c r="C987" t="str">
        <f>TEXT(Table1[[#This Row],[Order Date]], "yyyy")</f>
        <v>2022</v>
      </c>
      <c r="D987" t="str">
        <f>TEXT(Table1[[#This Row],[Order Date]], "mmmm")</f>
        <v>October</v>
      </c>
      <c r="E987" s="16">
        <f>Table1[[#This Row],[Order Quantity]]*Table1[[#This Row],[Unit Price]]</f>
        <v>79.98</v>
      </c>
      <c r="F987">
        <v>43</v>
      </c>
      <c r="G987" s="16">
        <v>1.86</v>
      </c>
      <c r="H987" t="s">
        <v>8</v>
      </c>
      <c r="I987" t="s">
        <v>392</v>
      </c>
      <c r="J987" t="s">
        <v>13</v>
      </c>
      <c r="K987" t="s">
        <v>11</v>
      </c>
    </row>
    <row r="988" spans="1:11" x14ac:dyDescent="0.45">
      <c r="A988">
        <v>7077</v>
      </c>
      <c r="B988" s="15">
        <v>44916</v>
      </c>
      <c r="C988" t="str">
        <f>TEXT(Table1[[#This Row],[Order Date]], "yyyy")</f>
        <v>2022</v>
      </c>
      <c r="D988" t="str">
        <f>TEXT(Table1[[#This Row],[Order Date]], "mmmm")</f>
        <v>December</v>
      </c>
      <c r="E988" s="16">
        <f>Table1[[#This Row],[Order Quantity]]*Table1[[#This Row],[Unit Price]]</f>
        <v>304.92</v>
      </c>
      <c r="F988">
        <v>14</v>
      </c>
      <c r="G988" s="16">
        <v>21.78</v>
      </c>
      <c r="H988" t="s">
        <v>8</v>
      </c>
      <c r="I988" t="s">
        <v>444</v>
      </c>
      <c r="J988" t="s">
        <v>23</v>
      </c>
      <c r="K988" t="s">
        <v>11</v>
      </c>
    </row>
    <row r="989" spans="1:11" x14ac:dyDescent="0.45">
      <c r="A989">
        <v>7078</v>
      </c>
      <c r="B989" s="15">
        <v>44297</v>
      </c>
      <c r="C989" t="str">
        <f>TEXT(Table1[[#This Row],[Order Date]], "yyyy")</f>
        <v>2021</v>
      </c>
      <c r="D989" t="str">
        <f>TEXT(Table1[[#This Row],[Order Date]], "mmmm")</f>
        <v>April</v>
      </c>
      <c r="E989" s="16">
        <f>Table1[[#This Row],[Order Quantity]]*Table1[[#This Row],[Unit Price]]</f>
        <v>101.97</v>
      </c>
      <c r="F989">
        <v>9</v>
      </c>
      <c r="G989" s="16">
        <v>11.33</v>
      </c>
      <c r="H989" t="s">
        <v>8</v>
      </c>
      <c r="I989" t="s">
        <v>57</v>
      </c>
      <c r="J989" t="s">
        <v>13</v>
      </c>
      <c r="K989" t="s">
        <v>11</v>
      </c>
    </row>
    <row r="990" spans="1:11" x14ac:dyDescent="0.45">
      <c r="A990">
        <v>7079</v>
      </c>
      <c r="B990" s="15">
        <v>44235</v>
      </c>
      <c r="C990" t="str">
        <f>TEXT(Table1[[#This Row],[Order Date]], "yyyy")</f>
        <v>2021</v>
      </c>
      <c r="D990" t="str">
        <f>TEXT(Table1[[#This Row],[Order Date]], "mmmm")</f>
        <v>February</v>
      </c>
      <c r="E990" s="16">
        <f>Table1[[#This Row],[Order Quantity]]*Table1[[#This Row],[Unit Price]]</f>
        <v>116.64000000000001</v>
      </c>
      <c r="F990">
        <v>18</v>
      </c>
      <c r="G990" s="16">
        <v>6.48</v>
      </c>
      <c r="H990" t="s">
        <v>8</v>
      </c>
      <c r="I990" t="s">
        <v>230</v>
      </c>
      <c r="J990" t="s">
        <v>10</v>
      </c>
      <c r="K990" t="s">
        <v>11</v>
      </c>
    </row>
    <row r="991" spans="1:11" x14ac:dyDescent="0.45">
      <c r="A991">
        <v>7105</v>
      </c>
      <c r="B991" s="15">
        <v>44368</v>
      </c>
      <c r="C991" t="str">
        <f>TEXT(Table1[[#This Row],[Order Date]], "yyyy")</f>
        <v>2021</v>
      </c>
      <c r="D991" t="str">
        <f>TEXT(Table1[[#This Row],[Order Date]], "mmmm")</f>
        <v>June</v>
      </c>
      <c r="E991" s="16">
        <f>Table1[[#This Row],[Order Quantity]]*Table1[[#This Row],[Unit Price]]</f>
        <v>69.02</v>
      </c>
      <c r="F991">
        <v>17</v>
      </c>
      <c r="G991" s="16">
        <v>4.0599999999999996</v>
      </c>
      <c r="H991" t="s">
        <v>8</v>
      </c>
      <c r="I991" t="s">
        <v>189</v>
      </c>
      <c r="J991" t="s">
        <v>13</v>
      </c>
      <c r="K991" t="s">
        <v>11</v>
      </c>
    </row>
    <row r="992" spans="1:11" x14ac:dyDescent="0.45">
      <c r="A992">
        <v>7106</v>
      </c>
      <c r="B992" s="15">
        <v>45056</v>
      </c>
      <c r="C992" t="str">
        <f>TEXT(Table1[[#This Row],[Order Date]], "yyyy")</f>
        <v>2023</v>
      </c>
      <c r="D992" t="str">
        <f>TEXT(Table1[[#This Row],[Order Date]], "mmmm")</f>
        <v>May</v>
      </c>
      <c r="E992" s="16">
        <f>Table1[[#This Row],[Order Quantity]]*Table1[[#This Row],[Unit Price]]</f>
        <v>114.16</v>
      </c>
      <c r="F992">
        <v>8</v>
      </c>
      <c r="G992" s="16">
        <v>14.27</v>
      </c>
      <c r="H992" t="s">
        <v>8</v>
      </c>
      <c r="I992" t="s">
        <v>445</v>
      </c>
      <c r="J992" t="s">
        <v>20</v>
      </c>
      <c r="K992" t="s">
        <v>11</v>
      </c>
    </row>
    <row r="993" spans="1:11" x14ac:dyDescent="0.45">
      <c r="A993">
        <v>7106</v>
      </c>
      <c r="B993" s="15">
        <v>45056</v>
      </c>
      <c r="C993" t="str">
        <f>TEXT(Table1[[#This Row],[Order Date]], "yyyy")</f>
        <v>2023</v>
      </c>
      <c r="D993" t="str">
        <f>TEXT(Table1[[#This Row],[Order Date]], "mmmm")</f>
        <v>May</v>
      </c>
      <c r="E993" s="16">
        <f>Table1[[#This Row],[Order Quantity]]*Table1[[#This Row],[Unit Price]]</f>
        <v>4959.6900000000005</v>
      </c>
      <c r="F993">
        <v>31</v>
      </c>
      <c r="G993" s="16">
        <v>159.99</v>
      </c>
      <c r="H993" t="s">
        <v>8</v>
      </c>
      <c r="I993" t="s">
        <v>445</v>
      </c>
      <c r="J993" t="s">
        <v>20</v>
      </c>
      <c r="K993" t="s">
        <v>17</v>
      </c>
    </row>
    <row r="994" spans="1:11" x14ac:dyDescent="0.45">
      <c r="A994">
        <v>7106</v>
      </c>
      <c r="B994" s="15">
        <v>45056</v>
      </c>
      <c r="C994" t="str">
        <f>TEXT(Table1[[#This Row],[Order Date]], "yyyy")</f>
        <v>2023</v>
      </c>
      <c r="D994" t="str">
        <f>TEXT(Table1[[#This Row],[Order Date]], "mmmm")</f>
        <v>May</v>
      </c>
      <c r="E994" s="16">
        <f>Table1[[#This Row],[Order Quantity]]*Table1[[#This Row],[Unit Price]]</f>
        <v>999</v>
      </c>
      <c r="F994">
        <v>36</v>
      </c>
      <c r="G994" s="16">
        <v>27.75</v>
      </c>
      <c r="H994" t="s">
        <v>8</v>
      </c>
      <c r="I994" t="s">
        <v>445</v>
      </c>
      <c r="J994" t="s">
        <v>20</v>
      </c>
      <c r="K994" t="s">
        <v>11</v>
      </c>
    </row>
    <row r="995" spans="1:11" x14ac:dyDescent="0.45">
      <c r="A995">
        <v>7107</v>
      </c>
      <c r="B995" s="15">
        <v>44930</v>
      </c>
      <c r="C995" t="str">
        <f>TEXT(Table1[[#This Row],[Order Date]], "yyyy")</f>
        <v>2023</v>
      </c>
      <c r="D995" t="str">
        <f>TEXT(Table1[[#This Row],[Order Date]], "mmmm")</f>
        <v>January</v>
      </c>
      <c r="E995" s="16">
        <f>Table1[[#This Row],[Order Quantity]]*Table1[[#This Row],[Unit Price]]</f>
        <v>162.60000000000002</v>
      </c>
      <c r="F995">
        <v>3</v>
      </c>
      <c r="G995" s="16">
        <v>54.2</v>
      </c>
      <c r="H995" t="s">
        <v>8</v>
      </c>
      <c r="I995" t="s">
        <v>446</v>
      </c>
      <c r="J995" t="s">
        <v>13</v>
      </c>
      <c r="K995" t="s">
        <v>15</v>
      </c>
    </row>
    <row r="996" spans="1:11" x14ac:dyDescent="0.45">
      <c r="A996">
        <v>7107</v>
      </c>
      <c r="B996" s="15">
        <v>44930</v>
      </c>
      <c r="C996" t="str">
        <f>TEXT(Table1[[#This Row],[Order Date]], "yyyy")</f>
        <v>2023</v>
      </c>
      <c r="D996" t="str">
        <f>TEXT(Table1[[#This Row],[Order Date]], "mmmm")</f>
        <v>January</v>
      </c>
      <c r="E996" s="16">
        <f>Table1[[#This Row],[Order Quantity]]*Table1[[#This Row],[Unit Price]]</f>
        <v>113.82</v>
      </c>
      <c r="F996">
        <v>3</v>
      </c>
      <c r="G996" s="16">
        <v>37.94</v>
      </c>
      <c r="H996" t="s">
        <v>8</v>
      </c>
      <c r="I996" t="s">
        <v>446</v>
      </c>
      <c r="J996" t="s">
        <v>13</v>
      </c>
      <c r="K996" t="s">
        <v>11</v>
      </c>
    </row>
    <row r="997" spans="1:11" x14ac:dyDescent="0.45">
      <c r="A997">
        <v>7107</v>
      </c>
      <c r="B997" s="15">
        <v>44930</v>
      </c>
      <c r="C997" t="str">
        <f>TEXT(Table1[[#This Row],[Order Date]], "yyyy")</f>
        <v>2023</v>
      </c>
      <c r="D997" t="str">
        <f>TEXT(Table1[[#This Row],[Order Date]], "mmmm")</f>
        <v>January</v>
      </c>
      <c r="E997" s="16">
        <f>Table1[[#This Row],[Order Quantity]]*Table1[[#This Row],[Unit Price]]</f>
        <v>1769.28</v>
      </c>
      <c r="F997">
        <v>32</v>
      </c>
      <c r="G997" s="16">
        <v>55.29</v>
      </c>
      <c r="H997" t="s">
        <v>8</v>
      </c>
      <c r="I997" t="s">
        <v>446</v>
      </c>
      <c r="J997" t="s">
        <v>13</v>
      </c>
      <c r="K997" t="s">
        <v>11</v>
      </c>
    </row>
    <row r="998" spans="1:11" x14ac:dyDescent="0.45">
      <c r="A998">
        <v>7110</v>
      </c>
      <c r="B998" s="15">
        <v>44780</v>
      </c>
      <c r="C998" t="str">
        <f>TEXT(Table1[[#This Row],[Order Date]], "yyyy")</f>
        <v>2022</v>
      </c>
      <c r="D998" t="str">
        <f>TEXT(Table1[[#This Row],[Order Date]], "mmmm")</f>
        <v>August</v>
      </c>
      <c r="E998" s="16">
        <f>Table1[[#This Row],[Order Quantity]]*Table1[[#This Row],[Unit Price]]</f>
        <v>6076.4</v>
      </c>
      <c r="F998">
        <v>22</v>
      </c>
      <c r="G998" s="16">
        <v>276.2</v>
      </c>
      <c r="H998" t="s">
        <v>8</v>
      </c>
      <c r="I998" t="s">
        <v>211</v>
      </c>
      <c r="J998" t="s">
        <v>13</v>
      </c>
      <c r="K998" t="s">
        <v>15</v>
      </c>
    </row>
    <row r="999" spans="1:11" x14ac:dyDescent="0.45">
      <c r="A999">
        <v>7136</v>
      </c>
      <c r="B999" s="15">
        <v>43912</v>
      </c>
      <c r="C999" t="str">
        <f>TEXT(Table1[[#This Row],[Order Date]], "yyyy")</f>
        <v>2020</v>
      </c>
      <c r="D999" t="str">
        <f>TEXT(Table1[[#This Row],[Order Date]], "mmmm")</f>
        <v>March</v>
      </c>
      <c r="E999" s="16">
        <f>Table1[[#This Row],[Order Quantity]]*Table1[[#This Row],[Unit Price]]</f>
        <v>671.16</v>
      </c>
      <c r="F999">
        <v>17</v>
      </c>
      <c r="G999" s="16">
        <v>39.479999999999997</v>
      </c>
      <c r="H999" t="s">
        <v>8</v>
      </c>
      <c r="I999" t="s">
        <v>301</v>
      </c>
      <c r="J999" t="s">
        <v>20</v>
      </c>
      <c r="K999" t="s">
        <v>17</v>
      </c>
    </row>
    <row r="1000" spans="1:11" x14ac:dyDescent="0.45">
      <c r="A1000">
        <v>7136</v>
      </c>
      <c r="B1000" s="15">
        <v>43912</v>
      </c>
      <c r="C1000" t="str">
        <f>TEXT(Table1[[#This Row],[Order Date]], "yyyy")</f>
        <v>2020</v>
      </c>
      <c r="D1000" t="str">
        <f>TEXT(Table1[[#This Row],[Order Date]], "mmmm")</f>
        <v>March</v>
      </c>
      <c r="E1000" s="16">
        <f>Table1[[#This Row],[Order Quantity]]*Table1[[#This Row],[Unit Price]]</f>
        <v>44.19</v>
      </c>
      <c r="F1000">
        <v>9</v>
      </c>
      <c r="G1000" s="16">
        <v>4.91</v>
      </c>
      <c r="H1000" t="s">
        <v>8</v>
      </c>
      <c r="I1000" t="s">
        <v>301</v>
      </c>
      <c r="J1000" t="s">
        <v>20</v>
      </c>
      <c r="K1000" t="s">
        <v>11</v>
      </c>
    </row>
    <row r="1001" spans="1:11" x14ac:dyDescent="0.45">
      <c r="A1001">
        <v>7142</v>
      </c>
      <c r="B1001" s="15">
        <v>44763</v>
      </c>
      <c r="C1001" t="str">
        <f>TEXT(Table1[[#This Row],[Order Date]], "yyyy")</f>
        <v>2022</v>
      </c>
      <c r="D1001" t="str">
        <f>TEXT(Table1[[#This Row],[Order Date]], "mmmm")</f>
        <v>July</v>
      </c>
      <c r="E1001" s="16">
        <f>Table1[[#This Row],[Order Quantity]]*Table1[[#This Row],[Unit Price]]</f>
        <v>132.84</v>
      </c>
      <c r="F1001">
        <v>36</v>
      </c>
      <c r="G1001" s="16">
        <v>3.69</v>
      </c>
      <c r="H1001" t="s">
        <v>8</v>
      </c>
      <c r="I1001" t="s">
        <v>58</v>
      </c>
      <c r="J1001" t="s">
        <v>13</v>
      </c>
      <c r="K1001" t="s">
        <v>11</v>
      </c>
    </row>
    <row r="1002" spans="1:11" x14ac:dyDescent="0.45">
      <c r="A1002">
        <v>7169</v>
      </c>
      <c r="B1002" s="15">
        <v>44281</v>
      </c>
      <c r="C1002" t="str">
        <f>TEXT(Table1[[#This Row],[Order Date]], "yyyy")</f>
        <v>2021</v>
      </c>
      <c r="D1002" t="str">
        <f>TEXT(Table1[[#This Row],[Order Date]], "mmmm")</f>
        <v>March</v>
      </c>
      <c r="E1002" s="16">
        <f>Table1[[#This Row],[Order Quantity]]*Table1[[#This Row],[Unit Price]]</f>
        <v>446.16</v>
      </c>
      <c r="F1002">
        <v>22</v>
      </c>
      <c r="G1002" s="16">
        <v>20.28</v>
      </c>
      <c r="H1002" t="s">
        <v>8</v>
      </c>
      <c r="I1002" t="s">
        <v>136</v>
      </c>
      <c r="J1002" t="s">
        <v>13</v>
      </c>
      <c r="K1002" t="s">
        <v>15</v>
      </c>
    </row>
    <row r="1003" spans="1:11" x14ac:dyDescent="0.45">
      <c r="A1003">
        <v>7169</v>
      </c>
      <c r="B1003" s="15">
        <v>44281</v>
      </c>
      <c r="C1003" t="str">
        <f>TEXT(Table1[[#This Row],[Order Date]], "yyyy")</f>
        <v>2021</v>
      </c>
      <c r="D1003" t="str">
        <f>TEXT(Table1[[#This Row],[Order Date]], "mmmm")</f>
        <v>March</v>
      </c>
      <c r="E1003" s="16">
        <f>Table1[[#This Row],[Order Quantity]]*Table1[[#This Row],[Unit Price]]</f>
        <v>1979.6999999999998</v>
      </c>
      <c r="F1003">
        <v>30</v>
      </c>
      <c r="G1003" s="16">
        <v>65.989999999999995</v>
      </c>
      <c r="H1003" t="s">
        <v>8</v>
      </c>
      <c r="I1003" t="s">
        <v>136</v>
      </c>
      <c r="J1003" t="s">
        <v>13</v>
      </c>
      <c r="K1003" t="s">
        <v>17</v>
      </c>
    </row>
    <row r="1004" spans="1:11" x14ac:dyDescent="0.45">
      <c r="A1004">
        <v>7171</v>
      </c>
      <c r="B1004" s="15">
        <v>44605</v>
      </c>
      <c r="C1004" t="str">
        <f>TEXT(Table1[[#This Row],[Order Date]], "yyyy")</f>
        <v>2022</v>
      </c>
      <c r="D1004" t="str">
        <f>TEXT(Table1[[#This Row],[Order Date]], "mmmm")</f>
        <v>February</v>
      </c>
      <c r="E1004" s="16">
        <f>Table1[[#This Row],[Order Quantity]]*Table1[[#This Row],[Unit Price]]</f>
        <v>1847.7199999999998</v>
      </c>
      <c r="F1004">
        <v>28</v>
      </c>
      <c r="G1004" s="16">
        <v>65.989999999999995</v>
      </c>
      <c r="H1004" t="s">
        <v>8</v>
      </c>
      <c r="I1004" t="s">
        <v>447</v>
      </c>
      <c r="J1004" t="s">
        <v>23</v>
      </c>
      <c r="K1004" t="s">
        <v>17</v>
      </c>
    </row>
    <row r="1005" spans="1:11" x14ac:dyDescent="0.45">
      <c r="A1005">
        <v>7171</v>
      </c>
      <c r="B1005" s="15">
        <v>44605</v>
      </c>
      <c r="C1005" t="str">
        <f>TEXT(Table1[[#This Row],[Order Date]], "yyyy")</f>
        <v>2022</v>
      </c>
      <c r="D1005" t="str">
        <f>TEXT(Table1[[#This Row],[Order Date]], "mmmm")</f>
        <v>February</v>
      </c>
      <c r="E1005" s="16">
        <f>Table1[[#This Row],[Order Quantity]]*Table1[[#This Row],[Unit Price]]</f>
        <v>356.83</v>
      </c>
      <c r="F1005">
        <v>17</v>
      </c>
      <c r="G1005" s="16">
        <v>20.99</v>
      </c>
      <c r="H1005" t="s">
        <v>8</v>
      </c>
      <c r="I1005" t="s">
        <v>447</v>
      </c>
      <c r="J1005" t="s">
        <v>23</v>
      </c>
      <c r="K1005" t="s">
        <v>17</v>
      </c>
    </row>
    <row r="1006" spans="1:11" x14ac:dyDescent="0.45">
      <c r="A1006">
        <v>7174</v>
      </c>
      <c r="B1006" s="15">
        <v>44995</v>
      </c>
      <c r="C1006" t="str">
        <f>TEXT(Table1[[#This Row],[Order Date]], "yyyy")</f>
        <v>2023</v>
      </c>
      <c r="D1006" t="str">
        <f>TEXT(Table1[[#This Row],[Order Date]], "mmmm")</f>
        <v>March</v>
      </c>
      <c r="E1006" s="16">
        <f>Table1[[#This Row],[Order Quantity]]*Table1[[#This Row],[Unit Price]]</f>
        <v>137.30000000000001</v>
      </c>
      <c r="F1006">
        <v>10</v>
      </c>
      <c r="G1006" s="16">
        <v>13.73</v>
      </c>
      <c r="H1006" t="s">
        <v>8</v>
      </c>
      <c r="I1006" t="s">
        <v>313</v>
      </c>
      <c r="J1006" t="s">
        <v>23</v>
      </c>
      <c r="K1006" t="s">
        <v>15</v>
      </c>
    </row>
    <row r="1007" spans="1:11" x14ac:dyDescent="0.45">
      <c r="A1007">
        <v>7203</v>
      </c>
      <c r="B1007" s="15">
        <v>43838</v>
      </c>
      <c r="C1007" t="str">
        <f>TEXT(Table1[[#This Row],[Order Date]], "yyyy")</f>
        <v>2020</v>
      </c>
      <c r="D1007" t="str">
        <f>TEXT(Table1[[#This Row],[Order Date]], "mmmm")</f>
        <v>January</v>
      </c>
      <c r="E1007" s="16">
        <f>Table1[[#This Row],[Order Quantity]]*Table1[[#This Row],[Unit Price]]</f>
        <v>22424.75</v>
      </c>
      <c r="F1007">
        <v>25</v>
      </c>
      <c r="G1007" s="16">
        <v>896.99</v>
      </c>
      <c r="H1007" t="s">
        <v>8</v>
      </c>
      <c r="I1007" t="s">
        <v>12</v>
      </c>
      <c r="J1007" t="s">
        <v>13</v>
      </c>
      <c r="K1007" t="s">
        <v>11</v>
      </c>
    </row>
    <row r="1008" spans="1:11" x14ac:dyDescent="0.45">
      <c r="A1008">
        <v>7239</v>
      </c>
      <c r="B1008" s="15">
        <v>44741</v>
      </c>
      <c r="C1008" t="str">
        <f>TEXT(Table1[[#This Row],[Order Date]], "yyyy")</f>
        <v>2022</v>
      </c>
      <c r="D1008" t="str">
        <f>TEXT(Table1[[#This Row],[Order Date]], "mmmm")</f>
        <v>June</v>
      </c>
      <c r="E1008" s="16">
        <f>Table1[[#This Row],[Order Quantity]]*Table1[[#This Row],[Unit Price]]</f>
        <v>6016.5</v>
      </c>
      <c r="F1008">
        <v>50</v>
      </c>
      <c r="G1008" s="16">
        <v>120.33</v>
      </c>
      <c r="H1008" t="s">
        <v>8</v>
      </c>
      <c r="I1008" t="s">
        <v>135</v>
      </c>
      <c r="J1008" t="s">
        <v>10</v>
      </c>
      <c r="K1008" t="s">
        <v>11</v>
      </c>
    </row>
    <row r="1009" spans="1:11" x14ac:dyDescent="0.45">
      <c r="A1009">
        <v>7203</v>
      </c>
      <c r="B1009" s="15">
        <v>43900</v>
      </c>
      <c r="C1009" t="str">
        <f>TEXT(Table1[[#This Row],[Order Date]], "yyyy")</f>
        <v>2020</v>
      </c>
      <c r="D1009" t="str">
        <f>TEXT(Table1[[#This Row],[Order Date]], "mmmm")</f>
        <v>March</v>
      </c>
      <c r="E1009" s="16">
        <f>Table1[[#This Row],[Order Quantity]]*Table1[[#This Row],[Unit Price]]</f>
        <v>18186.22</v>
      </c>
      <c r="F1009">
        <v>26</v>
      </c>
      <c r="G1009" s="16">
        <v>699.47</v>
      </c>
      <c r="H1009" t="s">
        <v>464</v>
      </c>
      <c r="I1009" t="s">
        <v>465</v>
      </c>
      <c r="J1009" t="s">
        <v>13</v>
      </c>
      <c r="K1009" t="s">
        <v>15</v>
      </c>
    </row>
    <row r="1010" spans="1:11" x14ac:dyDescent="0.45">
      <c r="A1010">
        <v>7204</v>
      </c>
      <c r="B1010" s="15">
        <v>43843</v>
      </c>
      <c r="C1010" t="str">
        <f>TEXT(Table1[[#This Row],[Order Date]], "yyyy")</f>
        <v>2020</v>
      </c>
      <c r="D1010" t="str">
        <f>TEXT(Table1[[#This Row],[Order Date]], "mmmm")</f>
        <v>January</v>
      </c>
      <c r="E1010" s="16">
        <f>Table1[[#This Row],[Order Quantity]]*Table1[[#This Row],[Unit Price]]</f>
        <v>124317.83000000002</v>
      </c>
      <c r="F1010">
        <v>91</v>
      </c>
      <c r="G1010" s="16">
        <v>1366.13</v>
      </c>
      <c r="H1010" t="s">
        <v>8</v>
      </c>
      <c r="I1010" t="s">
        <v>466</v>
      </c>
      <c r="J1010" t="s">
        <v>23</v>
      </c>
      <c r="K1010" t="s">
        <v>11</v>
      </c>
    </row>
    <row r="1011" spans="1:11" x14ac:dyDescent="0.45">
      <c r="A1011">
        <v>7205</v>
      </c>
      <c r="B1011" s="15">
        <v>44113</v>
      </c>
      <c r="C1011" t="str">
        <f>TEXT(Table1[[#This Row],[Order Date]], "yyyy")</f>
        <v>2020</v>
      </c>
      <c r="D1011" t="str">
        <f>TEXT(Table1[[#This Row],[Order Date]], "mmmm")</f>
        <v>October</v>
      </c>
      <c r="E1011" s="16">
        <f>Table1[[#This Row],[Order Quantity]]*Table1[[#This Row],[Unit Price]]</f>
        <v>1594.04</v>
      </c>
      <c r="F1011">
        <v>28</v>
      </c>
      <c r="G1011" s="16">
        <v>56.93</v>
      </c>
      <c r="H1011" t="s">
        <v>25</v>
      </c>
      <c r="I1011" t="s">
        <v>467</v>
      </c>
      <c r="J1011" t="s">
        <v>13</v>
      </c>
      <c r="K1011" t="s">
        <v>15</v>
      </c>
    </row>
    <row r="1012" spans="1:11" x14ac:dyDescent="0.45">
      <c r="A1012">
        <v>7206</v>
      </c>
      <c r="B1012" s="15">
        <v>44097</v>
      </c>
      <c r="C1012" t="str">
        <f>TEXT(Table1[[#This Row],[Order Date]], "yyyy")</f>
        <v>2020</v>
      </c>
      <c r="D1012" t="str">
        <f>TEXT(Table1[[#This Row],[Order Date]], "mmmm")</f>
        <v>September</v>
      </c>
      <c r="E1012" s="16">
        <f>Table1[[#This Row],[Order Quantity]]*Table1[[#This Row],[Unit Price]]</f>
        <v>19279.04</v>
      </c>
      <c r="F1012">
        <v>88</v>
      </c>
      <c r="G1012" s="16">
        <v>219.08</v>
      </c>
      <c r="H1012" t="s">
        <v>25</v>
      </c>
      <c r="I1012" t="s">
        <v>468</v>
      </c>
      <c r="J1012" t="s">
        <v>23</v>
      </c>
      <c r="K1012" t="s">
        <v>11</v>
      </c>
    </row>
    <row r="1013" spans="1:11" x14ac:dyDescent="0.45">
      <c r="A1013">
        <v>7207</v>
      </c>
      <c r="B1013" s="15">
        <v>43877</v>
      </c>
      <c r="C1013" t="str">
        <f>TEXT(Table1[[#This Row],[Order Date]], "yyyy")</f>
        <v>2020</v>
      </c>
      <c r="D1013" t="str">
        <f>TEXT(Table1[[#This Row],[Order Date]], "mmmm")</f>
        <v>February</v>
      </c>
      <c r="E1013" s="16">
        <f>Table1[[#This Row],[Order Quantity]]*Table1[[#This Row],[Unit Price]]</f>
        <v>29291.989999999998</v>
      </c>
      <c r="F1013">
        <v>91</v>
      </c>
      <c r="G1013" s="16">
        <v>321.89</v>
      </c>
      <c r="H1013" t="s">
        <v>464</v>
      </c>
      <c r="I1013" t="s">
        <v>469</v>
      </c>
      <c r="J1013" t="s">
        <v>23</v>
      </c>
      <c r="K1013" t="s">
        <v>11</v>
      </c>
    </row>
    <row r="1014" spans="1:11" x14ac:dyDescent="0.45">
      <c r="A1014">
        <v>7208</v>
      </c>
      <c r="B1014" s="15">
        <v>43849</v>
      </c>
      <c r="C1014" t="str">
        <f>TEXT(Table1[[#This Row],[Order Date]], "yyyy")</f>
        <v>2020</v>
      </c>
      <c r="D1014" t="str">
        <f>TEXT(Table1[[#This Row],[Order Date]], "mmmm")</f>
        <v>January</v>
      </c>
      <c r="E1014" s="16">
        <f>Table1[[#This Row],[Order Quantity]]*Table1[[#This Row],[Unit Price]]</f>
        <v>29928.87</v>
      </c>
      <c r="F1014">
        <v>29</v>
      </c>
      <c r="G1014" s="16">
        <v>1032.03</v>
      </c>
      <c r="H1014" t="s">
        <v>464</v>
      </c>
      <c r="I1014" t="s">
        <v>470</v>
      </c>
      <c r="J1014" t="s">
        <v>20</v>
      </c>
      <c r="K1014" t="s">
        <v>15</v>
      </c>
    </row>
    <row r="1015" spans="1:11" x14ac:dyDescent="0.45">
      <c r="A1015">
        <v>7209</v>
      </c>
      <c r="B1015" s="15">
        <v>43861</v>
      </c>
      <c r="C1015" t="str">
        <f>TEXT(Table1[[#This Row],[Order Date]], "yyyy")</f>
        <v>2020</v>
      </c>
      <c r="D1015" t="str">
        <f>TEXT(Table1[[#This Row],[Order Date]], "mmmm")</f>
        <v>January</v>
      </c>
      <c r="E1015" s="16">
        <f>Table1[[#This Row],[Order Quantity]]*Table1[[#This Row],[Unit Price]]</f>
        <v>25621.749999999996</v>
      </c>
      <c r="F1015">
        <v>25</v>
      </c>
      <c r="G1015" s="16">
        <v>1024.8699999999999</v>
      </c>
      <c r="H1015" t="s">
        <v>25</v>
      </c>
      <c r="I1015" t="s">
        <v>471</v>
      </c>
      <c r="J1015" t="s">
        <v>23</v>
      </c>
      <c r="K1015" t="s">
        <v>11</v>
      </c>
    </row>
    <row r="1016" spans="1:11" x14ac:dyDescent="0.45">
      <c r="A1016">
        <v>7210</v>
      </c>
      <c r="B1016" s="15">
        <v>44000</v>
      </c>
      <c r="C1016" t="str">
        <f>TEXT(Table1[[#This Row],[Order Date]], "yyyy")</f>
        <v>2020</v>
      </c>
      <c r="D1016" t="str">
        <f>TEXT(Table1[[#This Row],[Order Date]], "mmmm")</f>
        <v>June</v>
      </c>
      <c r="E1016" s="16">
        <f>Table1[[#This Row],[Order Quantity]]*Table1[[#This Row],[Unit Price]]</f>
        <v>68455.02</v>
      </c>
      <c r="F1016">
        <v>73</v>
      </c>
      <c r="G1016" s="16">
        <v>937.74</v>
      </c>
      <c r="H1016" t="s">
        <v>25</v>
      </c>
      <c r="I1016" t="s">
        <v>472</v>
      </c>
      <c r="J1016" t="s">
        <v>10</v>
      </c>
      <c r="K1016" t="s">
        <v>17</v>
      </c>
    </row>
    <row r="1017" spans="1:11" x14ac:dyDescent="0.45">
      <c r="A1017">
        <v>7211</v>
      </c>
      <c r="B1017" s="15">
        <v>44116</v>
      </c>
      <c r="C1017" t="str">
        <f>TEXT(Table1[[#This Row],[Order Date]], "yyyy")</f>
        <v>2020</v>
      </c>
      <c r="D1017" t="str">
        <f>TEXT(Table1[[#This Row],[Order Date]], "mmmm")</f>
        <v>October</v>
      </c>
      <c r="E1017" s="16">
        <f>Table1[[#This Row],[Order Quantity]]*Table1[[#This Row],[Unit Price]]</f>
        <v>58584.93</v>
      </c>
      <c r="F1017">
        <v>87</v>
      </c>
      <c r="G1017" s="16">
        <v>673.39</v>
      </c>
      <c r="H1017" t="s">
        <v>464</v>
      </c>
      <c r="I1017" t="s">
        <v>473</v>
      </c>
      <c r="J1017" t="s">
        <v>10</v>
      </c>
      <c r="K1017" t="s">
        <v>15</v>
      </c>
    </row>
    <row r="1018" spans="1:11" x14ac:dyDescent="0.45">
      <c r="A1018">
        <v>7212</v>
      </c>
      <c r="B1018" s="15">
        <v>43972</v>
      </c>
      <c r="C1018" t="str">
        <f>TEXT(Table1[[#This Row],[Order Date]], "yyyy")</f>
        <v>2020</v>
      </c>
      <c r="D1018" t="str">
        <f>TEXT(Table1[[#This Row],[Order Date]], "mmmm")</f>
        <v>May</v>
      </c>
      <c r="E1018" s="16">
        <f>Table1[[#This Row],[Order Quantity]]*Table1[[#This Row],[Unit Price]]</f>
        <v>64725.75</v>
      </c>
      <c r="F1018">
        <v>75</v>
      </c>
      <c r="G1018" s="16">
        <v>863.01</v>
      </c>
      <c r="H1018" t="s">
        <v>8</v>
      </c>
      <c r="I1018" t="s">
        <v>474</v>
      </c>
      <c r="J1018" t="s">
        <v>13</v>
      </c>
      <c r="K1018" t="s">
        <v>15</v>
      </c>
    </row>
    <row r="1019" spans="1:11" x14ac:dyDescent="0.45">
      <c r="A1019">
        <v>7213</v>
      </c>
      <c r="B1019" s="15">
        <v>44005</v>
      </c>
      <c r="C1019" t="str">
        <f>TEXT(Table1[[#This Row],[Order Date]], "yyyy")</f>
        <v>2020</v>
      </c>
      <c r="D1019" t="str">
        <f>TEXT(Table1[[#This Row],[Order Date]], "mmmm")</f>
        <v>June</v>
      </c>
      <c r="E1019" s="16">
        <f>Table1[[#This Row],[Order Quantity]]*Table1[[#This Row],[Unit Price]]</f>
        <v>37682.879999999997</v>
      </c>
      <c r="F1019">
        <v>34</v>
      </c>
      <c r="G1019" s="16">
        <v>1108.32</v>
      </c>
      <c r="H1019" t="s">
        <v>25</v>
      </c>
      <c r="I1019" t="s">
        <v>475</v>
      </c>
      <c r="J1019" t="s">
        <v>13</v>
      </c>
      <c r="K1019" t="s">
        <v>11</v>
      </c>
    </row>
    <row r="1020" spans="1:11" x14ac:dyDescent="0.45">
      <c r="A1020">
        <v>7214</v>
      </c>
      <c r="B1020" s="15">
        <v>44035</v>
      </c>
      <c r="C1020" t="str">
        <f>TEXT(Table1[[#This Row],[Order Date]], "yyyy")</f>
        <v>2020</v>
      </c>
      <c r="D1020" t="str">
        <f>TEXT(Table1[[#This Row],[Order Date]], "mmmm")</f>
        <v>July</v>
      </c>
      <c r="E1020" s="16">
        <f>Table1[[#This Row],[Order Quantity]]*Table1[[#This Row],[Unit Price]]</f>
        <v>8537.1200000000008</v>
      </c>
      <c r="F1020">
        <v>8</v>
      </c>
      <c r="G1020" s="16">
        <v>1067.1400000000001</v>
      </c>
      <c r="H1020" t="s">
        <v>8</v>
      </c>
      <c r="I1020" t="s">
        <v>476</v>
      </c>
      <c r="J1020" t="s">
        <v>13</v>
      </c>
      <c r="K1020" t="s">
        <v>15</v>
      </c>
    </row>
    <row r="1021" spans="1:11" x14ac:dyDescent="0.45">
      <c r="A1021">
        <v>7215</v>
      </c>
      <c r="B1021" s="15">
        <v>44111</v>
      </c>
      <c r="C1021" t="str">
        <f>TEXT(Table1[[#This Row],[Order Date]], "yyyy")</f>
        <v>2020</v>
      </c>
      <c r="D1021" t="str">
        <f>TEXT(Table1[[#This Row],[Order Date]], "mmmm")</f>
        <v>October</v>
      </c>
      <c r="E1021" s="16">
        <f>Table1[[#This Row],[Order Quantity]]*Table1[[#This Row],[Unit Price]]</f>
        <v>51930.720000000001</v>
      </c>
      <c r="F1021">
        <v>48</v>
      </c>
      <c r="G1021" s="16">
        <v>1081.8900000000001</v>
      </c>
      <c r="H1021" t="s">
        <v>25</v>
      </c>
      <c r="I1021" t="s">
        <v>477</v>
      </c>
      <c r="J1021" t="s">
        <v>13</v>
      </c>
      <c r="K1021" t="s">
        <v>11</v>
      </c>
    </row>
    <row r="1022" spans="1:11" x14ac:dyDescent="0.45">
      <c r="A1022">
        <v>7216</v>
      </c>
      <c r="B1022" s="15">
        <v>44192</v>
      </c>
      <c r="C1022" t="str">
        <f>TEXT(Table1[[#This Row],[Order Date]], "yyyy")</f>
        <v>2020</v>
      </c>
      <c r="D1022" t="str">
        <f>TEXT(Table1[[#This Row],[Order Date]], "mmmm")</f>
        <v>December</v>
      </c>
      <c r="E1022" s="16">
        <f>Table1[[#This Row],[Order Quantity]]*Table1[[#This Row],[Unit Price]]</f>
        <v>35355.159999999996</v>
      </c>
      <c r="F1022">
        <v>71</v>
      </c>
      <c r="G1022" s="16">
        <v>497.96</v>
      </c>
      <c r="H1022" t="s">
        <v>25</v>
      </c>
      <c r="I1022" t="s">
        <v>478</v>
      </c>
      <c r="J1022" t="s">
        <v>20</v>
      </c>
      <c r="K1022" t="s">
        <v>17</v>
      </c>
    </row>
    <row r="1023" spans="1:11" x14ac:dyDescent="0.45">
      <c r="A1023">
        <v>7217</v>
      </c>
      <c r="B1023" s="15">
        <v>43997</v>
      </c>
      <c r="C1023" t="str">
        <f>TEXT(Table1[[#This Row],[Order Date]], "yyyy")</f>
        <v>2020</v>
      </c>
      <c r="D1023" t="str">
        <f>TEXT(Table1[[#This Row],[Order Date]], "mmmm")</f>
        <v>June</v>
      </c>
      <c r="E1023" s="16">
        <f>Table1[[#This Row],[Order Quantity]]*Table1[[#This Row],[Unit Price]]</f>
        <v>28496.42</v>
      </c>
      <c r="F1023">
        <v>34</v>
      </c>
      <c r="G1023" s="16">
        <v>838.13</v>
      </c>
      <c r="H1023" t="s">
        <v>8</v>
      </c>
      <c r="I1023" t="s">
        <v>479</v>
      </c>
      <c r="J1023" t="s">
        <v>20</v>
      </c>
      <c r="K1023" t="s">
        <v>11</v>
      </c>
    </row>
    <row r="1024" spans="1:11" x14ac:dyDescent="0.45">
      <c r="A1024">
        <v>7218</v>
      </c>
      <c r="B1024" s="15">
        <v>44172</v>
      </c>
      <c r="C1024" t="str">
        <f>TEXT(Table1[[#This Row],[Order Date]], "yyyy")</f>
        <v>2020</v>
      </c>
      <c r="D1024" t="str">
        <f>TEXT(Table1[[#This Row],[Order Date]], "mmmm")</f>
        <v>December</v>
      </c>
      <c r="E1024" s="16">
        <f>Table1[[#This Row],[Order Quantity]]*Table1[[#This Row],[Unit Price]]</f>
        <v>13080.359999999999</v>
      </c>
      <c r="F1024">
        <v>57</v>
      </c>
      <c r="G1024" s="16">
        <v>229.48</v>
      </c>
      <c r="H1024" t="s">
        <v>464</v>
      </c>
      <c r="I1024" t="s">
        <v>480</v>
      </c>
      <c r="J1024" t="s">
        <v>20</v>
      </c>
      <c r="K1024" t="s">
        <v>15</v>
      </c>
    </row>
    <row r="1025" spans="1:11" x14ac:dyDescent="0.45">
      <c r="A1025">
        <v>7219</v>
      </c>
      <c r="B1025" s="15">
        <v>44027</v>
      </c>
      <c r="C1025" t="str">
        <f>TEXT(Table1[[#This Row],[Order Date]], "yyyy")</f>
        <v>2020</v>
      </c>
      <c r="D1025" t="str">
        <f>TEXT(Table1[[#This Row],[Order Date]], "mmmm")</f>
        <v>July</v>
      </c>
      <c r="E1025" s="16">
        <f>Table1[[#This Row],[Order Quantity]]*Table1[[#This Row],[Unit Price]]</f>
        <v>95191.92</v>
      </c>
      <c r="F1025">
        <v>72</v>
      </c>
      <c r="G1025" s="16">
        <v>1322.11</v>
      </c>
      <c r="H1025" t="s">
        <v>464</v>
      </c>
      <c r="I1025" t="s">
        <v>481</v>
      </c>
      <c r="J1025" t="s">
        <v>23</v>
      </c>
      <c r="K1025" t="s">
        <v>15</v>
      </c>
    </row>
    <row r="1026" spans="1:11" x14ac:dyDescent="0.45">
      <c r="A1026">
        <v>7220</v>
      </c>
      <c r="B1026" s="15">
        <v>44080</v>
      </c>
      <c r="C1026" t="str">
        <f>TEXT(Table1[[#This Row],[Order Date]], "yyyy")</f>
        <v>2020</v>
      </c>
      <c r="D1026" t="str">
        <f>TEXT(Table1[[#This Row],[Order Date]], "mmmm")</f>
        <v>September</v>
      </c>
      <c r="E1026" s="16">
        <f>Table1[[#This Row],[Order Quantity]]*Table1[[#This Row],[Unit Price]]</f>
        <v>12587.03</v>
      </c>
      <c r="F1026">
        <v>37</v>
      </c>
      <c r="G1026" s="16">
        <v>340.19</v>
      </c>
      <c r="H1026" t="s">
        <v>25</v>
      </c>
      <c r="I1026" t="s">
        <v>482</v>
      </c>
      <c r="J1026" t="s">
        <v>13</v>
      </c>
      <c r="K1026" t="s">
        <v>17</v>
      </c>
    </row>
    <row r="1027" spans="1:11" x14ac:dyDescent="0.45">
      <c r="A1027">
        <v>7221</v>
      </c>
      <c r="B1027" s="15">
        <v>43890</v>
      </c>
      <c r="C1027" t="str">
        <f>TEXT(Table1[[#This Row],[Order Date]], "yyyy")</f>
        <v>2020</v>
      </c>
      <c r="D1027" t="str">
        <f>TEXT(Table1[[#This Row],[Order Date]], "mmmm")</f>
        <v>February</v>
      </c>
      <c r="E1027" s="16">
        <f>Table1[[#This Row],[Order Quantity]]*Table1[[#This Row],[Unit Price]]</f>
        <v>18024.010000000002</v>
      </c>
      <c r="F1027">
        <v>41</v>
      </c>
      <c r="G1027" s="16">
        <v>439.61</v>
      </c>
      <c r="H1027" t="s">
        <v>8</v>
      </c>
      <c r="I1027" t="s">
        <v>483</v>
      </c>
      <c r="J1027" t="s">
        <v>10</v>
      </c>
      <c r="K1027" t="s">
        <v>17</v>
      </c>
    </row>
    <row r="1028" spans="1:11" x14ac:dyDescent="0.45">
      <c r="A1028">
        <v>7222</v>
      </c>
      <c r="B1028" s="15">
        <v>44166</v>
      </c>
      <c r="C1028" t="str">
        <f>TEXT(Table1[[#This Row],[Order Date]], "yyyy")</f>
        <v>2020</v>
      </c>
      <c r="D1028" t="str">
        <f>TEXT(Table1[[#This Row],[Order Date]], "mmmm")</f>
        <v>December</v>
      </c>
      <c r="E1028" s="16">
        <f>Table1[[#This Row],[Order Quantity]]*Table1[[#This Row],[Unit Price]]</f>
        <v>114714.59999999999</v>
      </c>
      <c r="F1028">
        <v>77</v>
      </c>
      <c r="G1028" s="16">
        <v>1489.8</v>
      </c>
      <c r="H1028" t="s">
        <v>464</v>
      </c>
      <c r="I1028" t="s">
        <v>484</v>
      </c>
      <c r="J1028" t="s">
        <v>23</v>
      </c>
      <c r="K1028" t="s">
        <v>15</v>
      </c>
    </row>
    <row r="1029" spans="1:11" x14ac:dyDescent="0.45">
      <c r="A1029">
        <v>7223</v>
      </c>
      <c r="B1029" s="15">
        <v>44116</v>
      </c>
      <c r="C1029" t="str">
        <f>TEXT(Table1[[#This Row],[Order Date]], "yyyy")</f>
        <v>2020</v>
      </c>
      <c r="D1029" t="str">
        <f>TEXT(Table1[[#This Row],[Order Date]], "mmmm")</f>
        <v>October</v>
      </c>
      <c r="E1029" s="16">
        <f>Table1[[#This Row],[Order Quantity]]*Table1[[#This Row],[Unit Price]]</f>
        <v>132460.20000000001</v>
      </c>
      <c r="F1029">
        <v>90</v>
      </c>
      <c r="G1029" s="16">
        <v>1471.78</v>
      </c>
      <c r="H1029" t="s">
        <v>25</v>
      </c>
      <c r="I1029" t="s">
        <v>485</v>
      </c>
      <c r="J1029" t="s">
        <v>23</v>
      </c>
      <c r="K1029" t="s">
        <v>17</v>
      </c>
    </row>
    <row r="1030" spans="1:11" x14ac:dyDescent="0.45">
      <c r="A1030">
        <v>7224</v>
      </c>
      <c r="B1030" s="15">
        <v>44073</v>
      </c>
      <c r="C1030" t="str">
        <f>TEXT(Table1[[#This Row],[Order Date]], "yyyy")</f>
        <v>2020</v>
      </c>
      <c r="D1030" t="str">
        <f>TEXT(Table1[[#This Row],[Order Date]], "mmmm")</f>
        <v>August</v>
      </c>
      <c r="E1030" s="16">
        <f>Table1[[#This Row],[Order Quantity]]*Table1[[#This Row],[Unit Price]]</f>
        <v>74526.400000000009</v>
      </c>
      <c r="F1030">
        <v>52</v>
      </c>
      <c r="G1030" s="16">
        <v>1433.2</v>
      </c>
      <c r="H1030" t="s">
        <v>8</v>
      </c>
      <c r="I1030" t="s">
        <v>486</v>
      </c>
      <c r="J1030" t="s">
        <v>20</v>
      </c>
      <c r="K1030" t="s">
        <v>15</v>
      </c>
    </row>
    <row r="1031" spans="1:11" x14ac:dyDescent="0.45">
      <c r="A1031">
        <v>7225</v>
      </c>
      <c r="B1031" s="15">
        <v>44015</v>
      </c>
      <c r="C1031" t="str">
        <f>TEXT(Table1[[#This Row],[Order Date]], "yyyy")</f>
        <v>2020</v>
      </c>
      <c r="D1031" t="str">
        <f>TEXT(Table1[[#This Row],[Order Date]], "mmmm")</f>
        <v>July</v>
      </c>
      <c r="E1031" s="16">
        <f>Table1[[#This Row],[Order Quantity]]*Table1[[#This Row],[Unit Price]]</f>
        <v>67981.2</v>
      </c>
      <c r="F1031">
        <v>84</v>
      </c>
      <c r="G1031" s="16">
        <v>809.3</v>
      </c>
      <c r="H1031" t="s">
        <v>8</v>
      </c>
      <c r="I1031" t="s">
        <v>487</v>
      </c>
      <c r="J1031" t="s">
        <v>13</v>
      </c>
      <c r="K1031" t="s">
        <v>15</v>
      </c>
    </row>
    <row r="1032" spans="1:11" x14ac:dyDescent="0.45">
      <c r="A1032">
        <v>7226</v>
      </c>
      <c r="B1032" s="15">
        <v>44102</v>
      </c>
      <c r="C1032" t="str">
        <f>TEXT(Table1[[#This Row],[Order Date]], "yyyy")</f>
        <v>2020</v>
      </c>
      <c r="D1032" t="str">
        <f>TEXT(Table1[[#This Row],[Order Date]], "mmmm")</f>
        <v>September</v>
      </c>
      <c r="E1032" s="16">
        <f>Table1[[#This Row],[Order Quantity]]*Table1[[#This Row],[Unit Price]]</f>
        <v>1635.52</v>
      </c>
      <c r="F1032">
        <v>2</v>
      </c>
      <c r="G1032" s="16">
        <v>817.76</v>
      </c>
      <c r="H1032" t="s">
        <v>8</v>
      </c>
      <c r="I1032" t="s">
        <v>488</v>
      </c>
      <c r="J1032" t="s">
        <v>20</v>
      </c>
      <c r="K1032" t="s">
        <v>11</v>
      </c>
    </row>
    <row r="1033" spans="1:11" x14ac:dyDescent="0.45">
      <c r="A1033">
        <v>7227</v>
      </c>
      <c r="B1033" s="15">
        <v>44094</v>
      </c>
      <c r="C1033" t="str">
        <f>TEXT(Table1[[#This Row],[Order Date]], "yyyy")</f>
        <v>2020</v>
      </c>
      <c r="D1033" t="str">
        <f>TEXT(Table1[[#This Row],[Order Date]], "mmmm")</f>
        <v>September</v>
      </c>
      <c r="E1033" s="16">
        <f>Table1[[#This Row],[Order Quantity]]*Table1[[#This Row],[Unit Price]]</f>
        <v>11646.74</v>
      </c>
      <c r="F1033">
        <v>46</v>
      </c>
      <c r="G1033" s="16">
        <v>253.19</v>
      </c>
      <c r="H1033" t="s">
        <v>25</v>
      </c>
      <c r="I1033" t="s">
        <v>489</v>
      </c>
      <c r="J1033" t="s">
        <v>20</v>
      </c>
      <c r="K1033" t="s">
        <v>15</v>
      </c>
    </row>
    <row r="1034" spans="1:11" x14ac:dyDescent="0.45">
      <c r="A1034">
        <v>7228</v>
      </c>
      <c r="B1034" s="15">
        <v>43927</v>
      </c>
      <c r="C1034" t="str">
        <f>TEXT(Table1[[#This Row],[Order Date]], "yyyy")</f>
        <v>2020</v>
      </c>
      <c r="D1034" t="str">
        <f>TEXT(Table1[[#This Row],[Order Date]], "mmmm")</f>
        <v>April</v>
      </c>
      <c r="E1034" s="16">
        <f>Table1[[#This Row],[Order Quantity]]*Table1[[#This Row],[Unit Price]]</f>
        <v>67832.52</v>
      </c>
      <c r="F1034">
        <v>84</v>
      </c>
      <c r="G1034" s="16">
        <v>807.53</v>
      </c>
      <c r="H1034" t="s">
        <v>8</v>
      </c>
      <c r="I1034" t="s">
        <v>490</v>
      </c>
      <c r="J1034" t="s">
        <v>20</v>
      </c>
      <c r="K1034" t="s">
        <v>15</v>
      </c>
    </row>
    <row r="1035" spans="1:11" x14ac:dyDescent="0.45">
      <c r="A1035">
        <v>7229</v>
      </c>
      <c r="B1035" s="15">
        <v>43943</v>
      </c>
      <c r="C1035" t="str">
        <f>TEXT(Table1[[#This Row],[Order Date]], "yyyy")</f>
        <v>2020</v>
      </c>
      <c r="D1035" t="str">
        <f>TEXT(Table1[[#This Row],[Order Date]], "mmmm")</f>
        <v>April</v>
      </c>
      <c r="E1035" s="16">
        <f>Table1[[#This Row],[Order Quantity]]*Table1[[#This Row],[Unit Price]]</f>
        <v>19252.61</v>
      </c>
      <c r="F1035">
        <v>13</v>
      </c>
      <c r="G1035" s="16">
        <v>1480.97</v>
      </c>
      <c r="H1035" t="s">
        <v>25</v>
      </c>
      <c r="I1035" t="s">
        <v>491</v>
      </c>
      <c r="J1035" t="s">
        <v>23</v>
      </c>
      <c r="K1035" t="s">
        <v>11</v>
      </c>
    </row>
    <row r="1036" spans="1:11" x14ac:dyDescent="0.45">
      <c r="A1036">
        <v>7230</v>
      </c>
      <c r="B1036" s="15">
        <v>44091</v>
      </c>
      <c r="C1036" t="str">
        <f>TEXT(Table1[[#This Row],[Order Date]], "yyyy")</f>
        <v>2020</v>
      </c>
      <c r="D1036" t="str">
        <f>TEXT(Table1[[#This Row],[Order Date]], "mmmm")</f>
        <v>September</v>
      </c>
      <c r="E1036" s="16">
        <f>Table1[[#This Row],[Order Quantity]]*Table1[[#This Row],[Unit Price]]</f>
        <v>16119.2</v>
      </c>
      <c r="F1036">
        <v>20</v>
      </c>
      <c r="G1036" s="16">
        <v>805.96</v>
      </c>
      <c r="H1036" t="s">
        <v>25</v>
      </c>
      <c r="I1036" t="s">
        <v>492</v>
      </c>
      <c r="J1036" t="s">
        <v>23</v>
      </c>
      <c r="K1036" t="s">
        <v>15</v>
      </c>
    </row>
    <row r="1037" spans="1:11" x14ac:dyDescent="0.45">
      <c r="A1037">
        <v>7231</v>
      </c>
      <c r="B1037" s="15">
        <v>44024</v>
      </c>
      <c r="C1037" t="str">
        <f>TEXT(Table1[[#This Row],[Order Date]], "yyyy")</f>
        <v>2020</v>
      </c>
      <c r="D1037" t="str">
        <f>TEXT(Table1[[#This Row],[Order Date]], "mmmm")</f>
        <v>July</v>
      </c>
      <c r="E1037" s="16">
        <f>Table1[[#This Row],[Order Quantity]]*Table1[[#This Row],[Unit Price]]</f>
        <v>32758.25</v>
      </c>
      <c r="F1037">
        <v>25</v>
      </c>
      <c r="G1037" s="16">
        <v>1310.33</v>
      </c>
      <c r="H1037" t="s">
        <v>464</v>
      </c>
      <c r="I1037" t="s">
        <v>493</v>
      </c>
      <c r="J1037" t="s">
        <v>10</v>
      </c>
      <c r="K1037" t="s">
        <v>17</v>
      </c>
    </row>
    <row r="1038" spans="1:11" x14ac:dyDescent="0.45">
      <c r="A1038">
        <v>7232</v>
      </c>
      <c r="B1038" s="15">
        <v>43852</v>
      </c>
      <c r="C1038" t="str">
        <f>TEXT(Table1[[#This Row],[Order Date]], "yyyy")</f>
        <v>2020</v>
      </c>
      <c r="D1038" t="str">
        <f>TEXT(Table1[[#This Row],[Order Date]], "mmmm")</f>
        <v>January</v>
      </c>
      <c r="E1038" s="16">
        <f>Table1[[#This Row],[Order Quantity]]*Table1[[#This Row],[Unit Price]]</f>
        <v>23434.65</v>
      </c>
      <c r="F1038">
        <v>27</v>
      </c>
      <c r="G1038" s="16">
        <v>867.95</v>
      </c>
      <c r="H1038" t="s">
        <v>25</v>
      </c>
      <c r="I1038" t="s">
        <v>494</v>
      </c>
      <c r="J1038" t="s">
        <v>20</v>
      </c>
      <c r="K1038" t="s">
        <v>11</v>
      </c>
    </row>
    <row r="1039" spans="1:11" x14ac:dyDescent="0.45">
      <c r="A1039">
        <v>7233</v>
      </c>
      <c r="B1039" s="15">
        <v>44139</v>
      </c>
      <c r="C1039" t="str">
        <f>TEXT(Table1[[#This Row],[Order Date]], "yyyy")</f>
        <v>2020</v>
      </c>
      <c r="D1039" t="str">
        <f>TEXT(Table1[[#This Row],[Order Date]], "mmmm")</f>
        <v>November</v>
      </c>
      <c r="E1039" s="16">
        <f>Table1[[#This Row],[Order Quantity]]*Table1[[#This Row],[Unit Price]]</f>
        <v>71054.100000000006</v>
      </c>
      <c r="F1039">
        <v>65</v>
      </c>
      <c r="G1039" s="16">
        <v>1093.1400000000001</v>
      </c>
      <c r="H1039" t="s">
        <v>25</v>
      </c>
      <c r="I1039" t="s">
        <v>495</v>
      </c>
      <c r="J1039" t="s">
        <v>10</v>
      </c>
      <c r="K1039" t="s">
        <v>15</v>
      </c>
    </row>
    <row r="1040" spans="1:11" x14ac:dyDescent="0.45">
      <c r="A1040">
        <v>7234</v>
      </c>
      <c r="B1040" s="15">
        <v>44009</v>
      </c>
      <c r="C1040" t="str">
        <f>TEXT(Table1[[#This Row],[Order Date]], "yyyy")</f>
        <v>2020</v>
      </c>
      <c r="D1040" t="str">
        <f>TEXT(Table1[[#This Row],[Order Date]], "mmmm")</f>
        <v>June</v>
      </c>
      <c r="E1040" s="16">
        <f>Table1[[#This Row],[Order Quantity]]*Table1[[#This Row],[Unit Price]]</f>
        <v>18921.32</v>
      </c>
      <c r="F1040">
        <v>44</v>
      </c>
      <c r="G1040" s="16">
        <v>430.03</v>
      </c>
      <c r="H1040" t="s">
        <v>8</v>
      </c>
      <c r="I1040" t="s">
        <v>496</v>
      </c>
      <c r="J1040" t="s">
        <v>20</v>
      </c>
      <c r="K1040" t="s">
        <v>15</v>
      </c>
    </row>
    <row r="1041" spans="1:11" x14ac:dyDescent="0.45">
      <c r="A1041">
        <v>7235</v>
      </c>
      <c r="B1041" s="15">
        <v>43855</v>
      </c>
      <c r="C1041" t="str">
        <f>TEXT(Table1[[#This Row],[Order Date]], "yyyy")</f>
        <v>2020</v>
      </c>
      <c r="D1041" t="str">
        <f>TEXT(Table1[[#This Row],[Order Date]], "mmmm")</f>
        <v>January</v>
      </c>
      <c r="E1041" s="16">
        <f>Table1[[#This Row],[Order Quantity]]*Table1[[#This Row],[Unit Price]]</f>
        <v>4889.3999999999996</v>
      </c>
      <c r="F1041">
        <v>12</v>
      </c>
      <c r="G1041" s="16">
        <v>407.45</v>
      </c>
      <c r="H1041" t="s">
        <v>25</v>
      </c>
      <c r="I1041" t="s">
        <v>497</v>
      </c>
      <c r="J1041" t="s">
        <v>10</v>
      </c>
      <c r="K1041" t="s">
        <v>17</v>
      </c>
    </row>
    <row r="1042" spans="1:11" x14ac:dyDescent="0.45">
      <c r="A1042">
        <v>7236</v>
      </c>
      <c r="B1042" s="15">
        <v>44085</v>
      </c>
      <c r="C1042" t="str">
        <f>TEXT(Table1[[#This Row],[Order Date]], "yyyy")</f>
        <v>2020</v>
      </c>
      <c r="D1042" t="str">
        <f>TEXT(Table1[[#This Row],[Order Date]], "mmmm")</f>
        <v>September</v>
      </c>
      <c r="E1042" s="16">
        <f>Table1[[#This Row],[Order Quantity]]*Table1[[#This Row],[Unit Price]]</f>
        <v>43889.919999999998</v>
      </c>
      <c r="F1042">
        <v>64</v>
      </c>
      <c r="G1042" s="16">
        <v>685.78</v>
      </c>
      <c r="H1042" t="s">
        <v>25</v>
      </c>
      <c r="I1042" t="s">
        <v>498</v>
      </c>
      <c r="J1042" t="s">
        <v>23</v>
      </c>
      <c r="K1042" t="s">
        <v>15</v>
      </c>
    </row>
    <row r="1043" spans="1:11" x14ac:dyDescent="0.45">
      <c r="A1043">
        <v>7237</v>
      </c>
      <c r="B1043" s="15">
        <v>44023</v>
      </c>
      <c r="C1043" t="str">
        <f>TEXT(Table1[[#This Row],[Order Date]], "yyyy")</f>
        <v>2020</v>
      </c>
      <c r="D1043" t="str">
        <f>TEXT(Table1[[#This Row],[Order Date]], "mmmm")</f>
        <v>July</v>
      </c>
      <c r="E1043" s="16">
        <f>Table1[[#This Row],[Order Quantity]]*Table1[[#This Row],[Unit Price]]</f>
        <v>14290.36</v>
      </c>
      <c r="F1043">
        <v>23</v>
      </c>
      <c r="G1043" s="16">
        <v>621.32000000000005</v>
      </c>
      <c r="H1043" t="s">
        <v>25</v>
      </c>
      <c r="I1043" t="s">
        <v>499</v>
      </c>
      <c r="J1043" t="s">
        <v>20</v>
      </c>
      <c r="K1043" t="s">
        <v>17</v>
      </c>
    </row>
    <row r="1044" spans="1:11" x14ac:dyDescent="0.45">
      <c r="A1044">
        <v>7238</v>
      </c>
      <c r="B1044" s="15">
        <v>43907</v>
      </c>
      <c r="C1044" t="str">
        <f>TEXT(Table1[[#This Row],[Order Date]], "yyyy")</f>
        <v>2020</v>
      </c>
      <c r="D1044" t="str">
        <f>TEXT(Table1[[#This Row],[Order Date]], "mmmm")</f>
        <v>March</v>
      </c>
      <c r="E1044" s="16">
        <f>Table1[[#This Row],[Order Quantity]]*Table1[[#This Row],[Unit Price]]</f>
        <v>45874.119999999995</v>
      </c>
      <c r="F1044">
        <v>43</v>
      </c>
      <c r="G1044" s="16">
        <v>1066.8399999999999</v>
      </c>
      <c r="H1044" t="s">
        <v>8</v>
      </c>
      <c r="I1044" t="s">
        <v>500</v>
      </c>
      <c r="J1044" t="s">
        <v>10</v>
      </c>
      <c r="K1044" t="s">
        <v>17</v>
      </c>
    </row>
    <row r="1045" spans="1:11" x14ac:dyDescent="0.45">
      <c r="A1045">
        <v>7239</v>
      </c>
      <c r="B1045" s="15">
        <v>43847</v>
      </c>
      <c r="C1045" t="str">
        <f>TEXT(Table1[[#This Row],[Order Date]], "yyyy")</f>
        <v>2020</v>
      </c>
      <c r="D1045" t="str">
        <f>TEXT(Table1[[#This Row],[Order Date]], "mmmm")</f>
        <v>January</v>
      </c>
      <c r="E1045" s="16">
        <f>Table1[[#This Row],[Order Quantity]]*Table1[[#This Row],[Unit Price]]</f>
        <v>16133.339999999998</v>
      </c>
      <c r="F1045">
        <v>51</v>
      </c>
      <c r="G1045" s="16">
        <v>316.33999999999997</v>
      </c>
      <c r="H1045" t="s">
        <v>464</v>
      </c>
      <c r="I1045" t="s">
        <v>501</v>
      </c>
      <c r="J1045" t="s">
        <v>20</v>
      </c>
      <c r="K1045" t="s">
        <v>11</v>
      </c>
    </row>
    <row r="1046" spans="1:11" x14ac:dyDescent="0.45">
      <c r="A1046">
        <v>7240</v>
      </c>
      <c r="B1046" s="15">
        <v>44197</v>
      </c>
      <c r="C1046" t="str">
        <f>TEXT(Table1[[#This Row],[Order Date]], "yyyy")</f>
        <v>2021</v>
      </c>
      <c r="D1046" t="str">
        <f>TEXT(Table1[[#This Row],[Order Date]], "mmmm")</f>
        <v>January</v>
      </c>
      <c r="E1046" s="16">
        <f>Table1[[#This Row],[Order Quantity]]*Table1[[#This Row],[Unit Price]]</f>
        <v>147346.65</v>
      </c>
      <c r="F1046">
        <v>99</v>
      </c>
      <c r="G1046" s="16">
        <v>1488.35</v>
      </c>
      <c r="H1046" t="s">
        <v>464</v>
      </c>
      <c r="I1046" t="s">
        <v>502</v>
      </c>
      <c r="J1046" t="s">
        <v>10</v>
      </c>
      <c r="K1046" t="s">
        <v>11</v>
      </c>
    </row>
    <row r="1047" spans="1:11" x14ac:dyDescent="0.45">
      <c r="A1047">
        <v>7241</v>
      </c>
      <c r="B1047" s="15">
        <v>44193</v>
      </c>
      <c r="C1047" t="str">
        <f>TEXT(Table1[[#This Row],[Order Date]], "yyyy")</f>
        <v>2020</v>
      </c>
      <c r="D1047" t="str">
        <f>TEXT(Table1[[#This Row],[Order Date]], "mmmm")</f>
        <v>December</v>
      </c>
      <c r="E1047" s="16">
        <f>Table1[[#This Row],[Order Quantity]]*Table1[[#This Row],[Unit Price]]</f>
        <v>1443.07</v>
      </c>
      <c r="F1047">
        <v>1</v>
      </c>
      <c r="G1047" s="16">
        <v>1443.07</v>
      </c>
      <c r="H1047" t="s">
        <v>25</v>
      </c>
      <c r="I1047" t="s">
        <v>503</v>
      </c>
      <c r="J1047" t="s">
        <v>13</v>
      </c>
      <c r="K1047" t="s">
        <v>17</v>
      </c>
    </row>
    <row r="1048" spans="1:11" x14ac:dyDescent="0.45">
      <c r="A1048">
        <v>7242</v>
      </c>
      <c r="B1048" s="15">
        <v>43878</v>
      </c>
      <c r="C1048" t="str">
        <f>TEXT(Table1[[#This Row],[Order Date]], "yyyy")</f>
        <v>2020</v>
      </c>
      <c r="D1048" t="str">
        <f>TEXT(Table1[[#This Row],[Order Date]], "mmmm")</f>
        <v>February</v>
      </c>
      <c r="E1048" s="16">
        <f>Table1[[#This Row],[Order Quantity]]*Table1[[#This Row],[Unit Price]]</f>
        <v>1131.3500000000001</v>
      </c>
      <c r="F1048">
        <v>5</v>
      </c>
      <c r="G1048" s="16">
        <v>226.27</v>
      </c>
      <c r="H1048" t="s">
        <v>25</v>
      </c>
      <c r="I1048" t="s">
        <v>504</v>
      </c>
      <c r="J1048" t="s">
        <v>13</v>
      </c>
      <c r="K1048" t="s">
        <v>17</v>
      </c>
    </row>
    <row r="1049" spans="1:11" x14ac:dyDescent="0.45">
      <c r="A1049">
        <v>7243</v>
      </c>
      <c r="B1049" s="15">
        <v>43846</v>
      </c>
      <c r="C1049" t="str">
        <f>TEXT(Table1[[#This Row],[Order Date]], "yyyy")</f>
        <v>2020</v>
      </c>
      <c r="D1049" t="str">
        <f>TEXT(Table1[[#This Row],[Order Date]], "mmmm")</f>
        <v>January</v>
      </c>
      <c r="E1049" s="16">
        <f>Table1[[#This Row],[Order Quantity]]*Table1[[#This Row],[Unit Price]]</f>
        <v>96008.22</v>
      </c>
      <c r="F1049">
        <v>99</v>
      </c>
      <c r="G1049" s="16">
        <v>969.78</v>
      </c>
      <c r="H1049" t="s">
        <v>25</v>
      </c>
      <c r="I1049" t="s">
        <v>505</v>
      </c>
      <c r="J1049" t="s">
        <v>13</v>
      </c>
      <c r="K1049" t="s">
        <v>17</v>
      </c>
    </row>
    <row r="1050" spans="1:11" x14ac:dyDescent="0.45">
      <c r="A1050">
        <v>7244</v>
      </c>
      <c r="B1050" s="15">
        <v>44006</v>
      </c>
      <c r="C1050" t="str">
        <f>TEXT(Table1[[#This Row],[Order Date]], "yyyy")</f>
        <v>2020</v>
      </c>
      <c r="D1050" t="str">
        <f>TEXT(Table1[[#This Row],[Order Date]], "mmmm")</f>
        <v>June</v>
      </c>
      <c r="E1050" s="16">
        <f>Table1[[#This Row],[Order Quantity]]*Table1[[#This Row],[Unit Price]]</f>
        <v>6736.5</v>
      </c>
      <c r="F1050">
        <v>27</v>
      </c>
      <c r="G1050" s="16">
        <v>249.5</v>
      </c>
      <c r="H1050" t="s">
        <v>464</v>
      </c>
      <c r="I1050" t="s">
        <v>506</v>
      </c>
      <c r="J1050" t="s">
        <v>20</v>
      </c>
      <c r="K1050" t="s">
        <v>15</v>
      </c>
    </row>
    <row r="1051" spans="1:11" x14ac:dyDescent="0.45">
      <c r="A1051">
        <v>7245</v>
      </c>
      <c r="B1051" s="15">
        <v>44091</v>
      </c>
      <c r="C1051" t="str">
        <f>TEXT(Table1[[#This Row],[Order Date]], "yyyy")</f>
        <v>2020</v>
      </c>
      <c r="D1051" t="str">
        <f>TEXT(Table1[[#This Row],[Order Date]], "mmmm")</f>
        <v>September</v>
      </c>
      <c r="E1051" s="16">
        <f>Table1[[#This Row],[Order Quantity]]*Table1[[#This Row],[Unit Price]]</f>
        <v>35022.879999999997</v>
      </c>
      <c r="F1051">
        <v>71</v>
      </c>
      <c r="G1051" s="16">
        <v>493.28</v>
      </c>
      <c r="H1051" t="s">
        <v>25</v>
      </c>
      <c r="I1051" t="s">
        <v>507</v>
      </c>
      <c r="J1051" t="s">
        <v>13</v>
      </c>
      <c r="K1051" t="s">
        <v>15</v>
      </c>
    </row>
    <row r="1052" spans="1:11" x14ac:dyDescent="0.45">
      <c r="A1052">
        <v>7246</v>
      </c>
      <c r="B1052" s="15">
        <v>44168</v>
      </c>
      <c r="C1052" t="str">
        <f>TEXT(Table1[[#This Row],[Order Date]], "yyyy")</f>
        <v>2020</v>
      </c>
      <c r="D1052" t="str">
        <f>TEXT(Table1[[#This Row],[Order Date]], "mmmm")</f>
        <v>December</v>
      </c>
      <c r="E1052" s="16">
        <f>Table1[[#This Row],[Order Quantity]]*Table1[[#This Row],[Unit Price]]</f>
        <v>89814.66</v>
      </c>
      <c r="F1052">
        <v>78</v>
      </c>
      <c r="G1052" s="16">
        <v>1151.47</v>
      </c>
      <c r="H1052" t="s">
        <v>8</v>
      </c>
      <c r="I1052" t="s">
        <v>508</v>
      </c>
      <c r="J1052" t="s">
        <v>13</v>
      </c>
      <c r="K1052" t="s">
        <v>11</v>
      </c>
    </row>
    <row r="1053" spans="1:11" x14ac:dyDescent="0.45">
      <c r="A1053">
        <v>7247</v>
      </c>
      <c r="B1053" s="15">
        <v>43891</v>
      </c>
      <c r="C1053" t="str">
        <f>TEXT(Table1[[#This Row],[Order Date]], "yyyy")</f>
        <v>2020</v>
      </c>
      <c r="D1053" t="str">
        <f>TEXT(Table1[[#This Row],[Order Date]], "mmmm")</f>
        <v>March</v>
      </c>
      <c r="E1053" s="16">
        <f>Table1[[#This Row],[Order Quantity]]*Table1[[#This Row],[Unit Price]]</f>
        <v>14834.3</v>
      </c>
      <c r="F1053">
        <v>26</v>
      </c>
      <c r="G1053" s="16">
        <v>570.54999999999995</v>
      </c>
      <c r="H1053" t="s">
        <v>25</v>
      </c>
      <c r="I1053" t="s">
        <v>509</v>
      </c>
      <c r="J1053" t="s">
        <v>23</v>
      </c>
      <c r="K1053" t="s">
        <v>17</v>
      </c>
    </row>
    <row r="1054" spans="1:11" x14ac:dyDescent="0.45">
      <c r="A1054">
        <v>7248</v>
      </c>
      <c r="B1054" s="15">
        <v>44196</v>
      </c>
      <c r="C1054" t="str">
        <f>TEXT(Table1[[#This Row],[Order Date]], "yyyy")</f>
        <v>2020</v>
      </c>
      <c r="D1054" t="str">
        <f>TEXT(Table1[[#This Row],[Order Date]], "mmmm")</f>
        <v>December</v>
      </c>
      <c r="E1054" s="16">
        <f>Table1[[#This Row],[Order Quantity]]*Table1[[#This Row],[Unit Price]]</f>
        <v>3725.5199999999995</v>
      </c>
      <c r="F1054">
        <v>24</v>
      </c>
      <c r="G1054" s="16">
        <v>155.22999999999999</v>
      </c>
      <c r="H1054" t="s">
        <v>25</v>
      </c>
      <c r="I1054" t="s">
        <v>510</v>
      </c>
      <c r="J1054" t="s">
        <v>20</v>
      </c>
      <c r="K1054" t="s">
        <v>11</v>
      </c>
    </row>
    <row r="1055" spans="1:11" x14ac:dyDescent="0.45">
      <c r="A1055">
        <v>7249</v>
      </c>
      <c r="B1055" s="15">
        <v>43909</v>
      </c>
      <c r="C1055" t="str">
        <f>TEXT(Table1[[#This Row],[Order Date]], "yyyy")</f>
        <v>2020</v>
      </c>
      <c r="D1055" t="str">
        <f>TEXT(Table1[[#This Row],[Order Date]], "mmmm")</f>
        <v>March</v>
      </c>
      <c r="E1055" s="16">
        <f>Table1[[#This Row],[Order Quantity]]*Table1[[#This Row],[Unit Price]]</f>
        <v>2818.08</v>
      </c>
      <c r="F1055">
        <v>4</v>
      </c>
      <c r="G1055" s="16">
        <v>704.52</v>
      </c>
      <c r="H1055" t="s">
        <v>464</v>
      </c>
      <c r="I1055" t="s">
        <v>511</v>
      </c>
      <c r="J1055" t="s">
        <v>13</v>
      </c>
      <c r="K1055" t="s">
        <v>11</v>
      </c>
    </row>
    <row r="1056" spans="1:11" x14ac:dyDescent="0.45">
      <c r="A1056">
        <v>7250</v>
      </c>
      <c r="B1056" s="15">
        <v>43997</v>
      </c>
      <c r="C1056" t="str">
        <f>TEXT(Table1[[#This Row],[Order Date]], "yyyy")</f>
        <v>2020</v>
      </c>
      <c r="D1056" t="str">
        <f>TEXT(Table1[[#This Row],[Order Date]], "mmmm")</f>
        <v>June</v>
      </c>
      <c r="E1056" s="16">
        <f>Table1[[#This Row],[Order Quantity]]*Table1[[#This Row],[Unit Price]]</f>
        <v>5868.18</v>
      </c>
      <c r="F1056">
        <v>27</v>
      </c>
      <c r="G1056" s="16">
        <v>217.34</v>
      </c>
      <c r="H1056" t="s">
        <v>25</v>
      </c>
      <c r="I1056" t="s">
        <v>512</v>
      </c>
      <c r="J1056" t="s">
        <v>20</v>
      </c>
      <c r="K1056" t="s">
        <v>11</v>
      </c>
    </row>
    <row r="1057" spans="1:11" x14ac:dyDescent="0.45">
      <c r="A1057">
        <v>7251</v>
      </c>
      <c r="B1057" s="15">
        <v>44171</v>
      </c>
      <c r="C1057" t="str">
        <f>TEXT(Table1[[#This Row],[Order Date]], "yyyy")</f>
        <v>2020</v>
      </c>
      <c r="D1057" t="str">
        <f>TEXT(Table1[[#This Row],[Order Date]], "mmmm")</f>
        <v>December</v>
      </c>
      <c r="E1057" s="16">
        <f>Table1[[#This Row],[Order Quantity]]*Table1[[#This Row],[Unit Price]]</f>
        <v>19807.12</v>
      </c>
      <c r="F1057">
        <v>83</v>
      </c>
      <c r="G1057" s="16">
        <v>238.64</v>
      </c>
      <c r="H1057" t="s">
        <v>8</v>
      </c>
      <c r="I1057" t="s">
        <v>513</v>
      </c>
      <c r="J1057" t="s">
        <v>20</v>
      </c>
      <c r="K1057" t="s">
        <v>15</v>
      </c>
    </row>
    <row r="1058" spans="1:11" x14ac:dyDescent="0.45">
      <c r="A1058">
        <v>7252</v>
      </c>
      <c r="B1058" s="15">
        <v>44046</v>
      </c>
      <c r="C1058" t="str">
        <f>TEXT(Table1[[#This Row],[Order Date]], "yyyy")</f>
        <v>2020</v>
      </c>
      <c r="D1058" t="str">
        <f>TEXT(Table1[[#This Row],[Order Date]], "mmmm")</f>
        <v>August</v>
      </c>
      <c r="E1058" s="16">
        <f>Table1[[#This Row],[Order Quantity]]*Table1[[#This Row],[Unit Price]]</f>
        <v>606.52</v>
      </c>
      <c r="F1058">
        <v>4</v>
      </c>
      <c r="G1058" s="16">
        <v>151.63</v>
      </c>
      <c r="H1058" t="s">
        <v>8</v>
      </c>
      <c r="I1058" t="s">
        <v>514</v>
      </c>
      <c r="J1058" t="s">
        <v>10</v>
      </c>
      <c r="K1058" t="s">
        <v>17</v>
      </c>
    </row>
    <row r="1059" spans="1:11" x14ac:dyDescent="0.45">
      <c r="A1059">
        <v>7253</v>
      </c>
      <c r="B1059" s="15">
        <v>44101</v>
      </c>
      <c r="C1059" t="str">
        <f>TEXT(Table1[[#This Row],[Order Date]], "yyyy")</f>
        <v>2020</v>
      </c>
      <c r="D1059" t="str">
        <f>TEXT(Table1[[#This Row],[Order Date]], "mmmm")</f>
        <v>September</v>
      </c>
      <c r="E1059" s="16">
        <f>Table1[[#This Row],[Order Quantity]]*Table1[[#This Row],[Unit Price]]</f>
        <v>20960.04</v>
      </c>
      <c r="F1059">
        <v>58</v>
      </c>
      <c r="G1059" s="16">
        <v>361.38</v>
      </c>
      <c r="H1059" t="s">
        <v>25</v>
      </c>
      <c r="I1059" t="s">
        <v>515</v>
      </c>
      <c r="J1059" t="s">
        <v>13</v>
      </c>
      <c r="K1059" t="s">
        <v>15</v>
      </c>
    </row>
    <row r="1060" spans="1:11" x14ac:dyDescent="0.45">
      <c r="A1060">
        <v>7254</v>
      </c>
      <c r="B1060" s="15">
        <v>43902</v>
      </c>
      <c r="C1060" t="str">
        <f>TEXT(Table1[[#This Row],[Order Date]], "yyyy")</f>
        <v>2020</v>
      </c>
      <c r="D1060" t="str">
        <f>TEXT(Table1[[#This Row],[Order Date]], "mmmm")</f>
        <v>March</v>
      </c>
      <c r="E1060" s="16">
        <f>Table1[[#This Row],[Order Quantity]]*Table1[[#This Row],[Unit Price]]</f>
        <v>49140.630000000005</v>
      </c>
      <c r="F1060">
        <v>77</v>
      </c>
      <c r="G1060" s="16">
        <v>638.19000000000005</v>
      </c>
      <c r="H1060" t="s">
        <v>464</v>
      </c>
      <c r="I1060" t="s">
        <v>516</v>
      </c>
      <c r="J1060" t="s">
        <v>10</v>
      </c>
      <c r="K1060" t="s">
        <v>11</v>
      </c>
    </row>
    <row r="1061" spans="1:11" x14ac:dyDescent="0.45">
      <c r="A1061">
        <v>7255</v>
      </c>
      <c r="B1061" s="15">
        <v>44027</v>
      </c>
      <c r="C1061" t="str">
        <f>TEXT(Table1[[#This Row],[Order Date]], "yyyy")</f>
        <v>2020</v>
      </c>
      <c r="D1061" t="str">
        <f>TEXT(Table1[[#This Row],[Order Date]], "mmmm")</f>
        <v>July</v>
      </c>
      <c r="E1061" s="16">
        <f>Table1[[#This Row],[Order Quantity]]*Table1[[#This Row],[Unit Price]]</f>
        <v>32236.239999999998</v>
      </c>
      <c r="F1061">
        <v>43</v>
      </c>
      <c r="G1061" s="16">
        <v>749.68</v>
      </c>
      <c r="H1061" t="s">
        <v>464</v>
      </c>
      <c r="I1061" t="s">
        <v>517</v>
      </c>
      <c r="J1061" t="s">
        <v>13</v>
      </c>
      <c r="K1061" t="s">
        <v>17</v>
      </c>
    </row>
    <row r="1062" spans="1:11" x14ac:dyDescent="0.45">
      <c r="A1062">
        <v>7256</v>
      </c>
      <c r="B1062" s="15">
        <v>43903</v>
      </c>
      <c r="C1062" t="str">
        <f>TEXT(Table1[[#This Row],[Order Date]], "yyyy")</f>
        <v>2020</v>
      </c>
      <c r="D1062" t="str">
        <f>TEXT(Table1[[#This Row],[Order Date]], "mmmm")</f>
        <v>March</v>
      </c>
      <c r="E1062" s="16">
        <f>Table1[[#This Row],[Order Quantity]]*Table1[[#This Row],[Unit Price]]</f>
        <v>25846.12</v>
      </c>
      <c r="F1062">
        <v>68</v>
      </c>
      <c r="G1062" s="16">
        <v>380.09</v>
      </c>
      <c r="H1062" t="s">
        <v>8</v>
      </c>
      <c r="I1062" t="s">
        <v>518</v>
      </c>
      <c r="J1062" t="s">
        <v>13</v>
      </c>
      <c r="K1062" t="s">
        <v>11</v>
      </c>
    </row>
    <row r="1063" spans="1:11" x14ac:dyDescent="0.45">
      <c r="A1063">
        <v>7257</v>
      </c>
      <c r="B1063" s="15">
        <v>44067</v>
      </c>
      <c r="C1063" t="str">
        <f>TEXT(Table1[[#This Row],[Order Date]], "yyyy")</f>
        <v>2020</v>
      </c>
      <c r="D1063" t="str">
        <f>TEXT(Table1[[#This Row],[Order Date]], "mmmm")</f>
        <v>August</v>
      </c>
      <c r="E1063" s="16">
        <f>Table1[[#This Row],[Order Quantity]]*Table1[[#This Row],[Unit Price]]</f>
        <v>241.64999999999998</v>
      </c>
      <c r="F1063">
        <v>3</v>
      </c>
      <c r="G1063" s="16">
        <v>80.55</v>
      </c>
      <c r="H1063" t="s">
        <v>464</v>
      </c>
      <c r="I1063" t="s">
        <v>519</v>
      </c>
      <c r="J1063" t="s">
        <v>20</v>
      </c>
      <c r="K1063" t="s">
        <v>15</v>
      </c>
    </row>
    <row r="1064" spans="1:11" x14ac:dyDescent="0.45">
      <c r="A1064">
        <v>7258</v>
      </c>
      <c r="B1064" s="15">
        <v>44170</v>
      </c>
      <c r="C1064" t="str">
        <f>TEXT(Table1[[#This Row],[Order Date]], "yyyy")</f>
        <v>2020</v>
      </c>
      <c r="D1064" t="str">
        <f>TEXT(Table1[[#This Row],[Order Date]], "mmmm")</f>
        <v>December</v>
      </c>
      <c r="E1064" s="16">
        <f>Table1[[#This Row],[Order Quantity]]*Table1[[#This Row],[Unit Price]]</f>
        <v>36653.89</v>
      </c>
      <c r="F1064">
        <v>91</v>
      </c>
      <c r="G1064" s="16">
        <v>402.79</v>
      </c>
      <c r="H1064" t="s">
        <v>25</v>
      </c>
      <c r="I1064" t="s">
        <v>520</v>
      </c>
      <c r="J1064" t="s">
        <v>13</v>
      </c>
      <c r="K1064" t="s">
        <v>15</v>
      </c>
    </row>
    <row r="1065" spans="1:11" x14ac:dyDescent="0.45">
      <c r="A1065">
        <v>7259</v>
      </c>
      <c r="B1065" s="15">
        <v>43941</v>
      </c>
      <c r="C1065" t="str">
        <f>TEXT(Table1[[#This Row],[Order Date]], "yyyy")</f>
        <v>2020</v>
      </c>
      <c r="D1065" t="str">
        <f>TEXT(Table1[[#This Row],[Order Date]], "mmmm")</f>
        <v>April</v>
      </c>
      <c r="E1065" s="16">
        <f>Table1[[#This Row],[Order Quantity]]*Table1[[#This Row],[Unit Price]]</f>
        <v>37162.799999999996</v>
      </c>
      <c r="F1065">
        <v>62</v>
      </c>
      <c r="G1065" s="16">
        <v>599.4</v>
      </c>
      <c r="H1065" t="s">
        <v>25</v>
      </c>
      <c r="I1065" t="s">
        <v>521</v>
      </c>
      <c r="J1065" t="s">
        <v>13</v>
      </c>
      <c r="K1065" t="s">
        <v>11</v>
      </c>
    </row>
    <row r="1066" spans="1:11" x14ac:dyDescent="0.45">
      <c r="A1066">
        <v>7260</v>
      </c>
      <c r="B1066" s="15">
        <v>43977</v>
      </c>
      <c r="C1066" t="str">
        <f>TEXT(Table1[[#This Row],[Order Date]], "yyyy")</f>
        <v>2020</v>
      </c>
      <c r="D1066" t="str">
        <f>TEXT(Table1[[#This Row],[Order Date]], "mmmm")</f>
        <v>May</v>
      </c>
      <c r="E1066" s="16">
        <f>Table1[[#This Row],[Order Quantity]]*Table1[[#This Row],[Unit Price]]</f>
        <v>12953.2</v>
      </c>
      <c r="F1066">
        <v>53</v>
      </c>
      <c r="G1066" s="16">
        <v>244.4</v>
      </c>
      <c r="H1066" t="s">
        <v>464</v>
      </c>
      <c r="I1066" t="s">
        <v>522</v>
      </c>
      <c r="J1066" t="s">
        <v>10</v>
      </c>
      <c r="K1066" t="s">
        <v>17</v>
      </c>
    </row>
    <row r="1067" spans="1:11" x14ac:dyDescent="0.45">
      <c r="A1067">
        <v>7261</v>
      </c>
      <c r="B1067" s="15">
        <v>43937</v>
      </c>
      <c r="C1067" t="str">
        <f>TEXT(Table1[[#This Row],[Order Date]], "yyyy")</f>
        <v>2020</v>
      </c>
      <c r="D1067" t="str">
        <f>TEXT(Table1[[#This Row],[Order Date]], "mmmm")</f>
        <v>April</v>
      </c>
      <c r="E1067" s="16">
        <f>Table1[[#This Row],[Order Quantity]]*Table1[[#This Row],[Unit Price]]</f>
        <v>3709.8599999999997</v>
      </c>
      <c r="F1067">
        <v>3</v>
      </c>
      <c r="G1067" s="16">
        <v>1236.6199999999999</v>
      </c>
      <c r="H1067" t="s">
        <v>8</v>
      </c>
      <c r="I1067" t="s">
        <v>523</v>
      </c>
      <c r="J1067" t="s">
        <v>13</v>
      </c>
      <c r="K1067" t="s">
        <v>15</v>
      </c>
    </row>
    <row r="1068" spans="1:11" x14ac:dyDescent="0.45">
      <c r="A1068">
        <v>7262</v>
      </c>
      <c r="B1068" s="15">
        <v>44139</v>
      </c>
      <c r="C1068" t="str">
        <f>TEXT(Table1[[#This Row],[Order Date]], "yyyy")</f>
        <v>2020</v>
      </c>
      <c r="D1068" t="str">
        <f>TEXT(Table1[[#This Row],[Order Date]], "mmmm")</f>
        <v>November</v>
      </c>
      <c r="E1068" s="16">
        <f>Table1[[#This Row],[Order Quantity]]*Table1[[#This Row],[Unit Price]]</f>
        <v>10817.04</v>
      </c>
      <c r="F1068">
        <v>52</v>
      </c>
      <c r="G1068" s="16">
        <v>208.02</v>
      </c>
      <c r="H1068" t="s">
        <v>25</v>
      </c>
      <c r="I1068" t="s">
        <v>524</v>
      </c>
      <c r="J1068" t="s">
        <v>23</v>
      </c>
      <c r="K1068" t="s">
        <v>11</v>
      </c>
    </row>
    <row r="1069" spans="1:11" x14ac:dyDescent="0.45">
      <c r="A1069">
        <v>7263</v>
      </c>
      <c r="B1069" s="15">
        <v>44043</v>
      </c>
      <c r="C1069" t="str">
        <f>TEXT(Table1[[#This Row],[Order Date]], "yyyy")</f>
        <v>2020</v>
      </c>
      <c r="D1069" t="str">
        <f>TEXT(Table1[[#This Row],[Order Date]], "mmmm")</f>
        <v>July</v>
      </c>
      <c r="E1069" s="16">
        <f>Table1[[#This Row],[Order Quantity]]*Table1[[#This Row],[Unit Price]]</f>
        <v>42787.44</v>
      </c>
      <c r="F1069">
        <v>54</v>
      </c>
      <c r="G1069" s="16">
        <v>792.36</v>
      </c>
      <c r="H1069" t="s">
        <v>25</v>
      </c>
      <c r="I1069" t="s">
        <v>525</v>
      </c>
      <c r="J1069" t="s">
        <v>10</v>
      </c>
      <c r="K1069" t="s">
        <v>17</v>
      </c>
    </row>
    <row r="1070" spans="1:11" x14ac:dyDescent="0.45">
      <c r="A1070">
        <v>7264</v>
      </c>
      <c r="B1070" s="15">
        <v>44008</v>
      </c>
      <c r="C1070" t="str">
        <f>TEXT(Table1[[#This Row],[Order Date]], "yyyy")</f>
        <v>2020</v>
      </c>
      <c r="D1070" t="str">
        <f>TEXT(Table1[[#This Row],[Order Date]], "mmmm")</f>
        <v>June</v>
      </c>
      <c r="E1070" s="16">
        <f>Table1[[#This Row],[Order Quantity]]*Table1[[#This Row],[Unit Price]]</f>
        <v>11070.48</v>
      </c>
      <c r="F1070">
        <v>12</v>
      </c>
      <c r="G1070" s="16">
        <v>922.54</v>
      </c>
      <c r="H1070" t="s">
        <v>464</v>
      </c>
      <c r="I1070" t="s">
        <v>526</v>
      </c>
      <c r="J1070" t="s">
        <v>23</v>
      </c>
      <c r="K1070" t="s">
        <v>11</v>
      </c>
    </row>
    <row r="1071" spans="1:11" x14ac:dyDescent="0.45">
      <c r="A1071">
        <v>7265</v>
      </c>
      <c r="B1071" s="15">
        <v>44059</v>
      </c>
      <c r="C1071" t="str">
        <f>TEXT(Table1[[#This Row],[Order Date]], "yyyy")</f>
        <v>2020</v>
      </c>
      <c r="D1071" t="str">
        <f>TEXT(Table1[[#This Row],[Order Date]], "mmmm")</f>
        <v>August</v>
      </c>
      <c r="E1071" s="16">
        <f>Table1[[#This Row],[Order Quantity]]*Table1[[#This Row],[Unit Price]]</f>
        <v>14802.04</v>
      </c>
      <c r="F1071">
        <v>11</v>
      </c>
      <c r="G1071" s="16">
        <v>1345.64</v>
      </c>
      <c r="H1071" t="s">
        <v>8</v>
      </c>
      <c r="I1071" t="s">
        <v>527</v>
      </c>
      <c r="J1071" t="s">
        <v>13</v>
      </c>
      <c r="K1071" t="s">
        <v>15</v>
      </c>
    </row>
    <row r="1072" spans="1:11" x14ac:dyDescent="0.45">
      <c r="A1072">
        <v>7266</v>
      </c>
      <c r="B1072" s="15">
        <v>44041</v>
      </c>
      <c r="C1072" t="str">
        <f>TEXT(Table1[[#This Row],[Order Date]], "yyyy")</f>
        <v>2020</v>
      </c>
      <c r="D1072" t="str">
        <f>TEXT(Table1[[#This Row],[Order Date]], "mmmm")</f>
        <v>July</v>
      </c>
      <c r="E1072" s="16">
        <f>Table1[[#This Row],[Order Quantity]]*Table1[[#This Row],[Unit Price]]</f>
        <v>88689.51</v>
      </c>
      <c r="F1072">
        <v>63</v>
      </c>
      <c r="G1072" s="16">
        <v>1407.77</v>
      </c>
      <c r="H1072" t="s">
        <v>8</v>
      </c>
      <c r="I1072" t="s">
        <v>528</v>
      </c>
      <c r="J1072" t="s">
        <v>23</v>
      </c>
      <c r="K1072" t="s">
        <v>11</v>
      </c>
    </row>
    <row r="1073" spans="1:11" x14ac:dyDescent="0.45">
      <c r="A1073">
        <v>7267</v>
      </c>
      <c r="B1073" s="15">
        <v>44017</v>
      </c>
      <c r="C1073" t="str">
        <f>TEXT(Table1[[#This Row],[Order Date]], "yyyy")</f>
        <v>2020</v>
      </c>
      <c r="D1073" t="str">
        <f>TEXT(Table1[[#This Row],[Order Date]], "mmmm")</f>
        <v>July</v>
      </c>
      <c r="E1073" s="16">
        <f>Table1[[#This Row],[Order Quantity]]*Table1[[#This Row],[Unit Price]]</f>
        <v>45810.909999999996</v>
      </c>
      <c r="F1073">
        <v>43</v>
      </c>
      <c r="G1073" s="16">
        <v>1065.3699999999999</v>
      </c>
      <c r="H1073" t="s">
        <v>464</v>
      </c>
      <c r="I1073" t="s">
        <v>529</v>
      </c>
      <c r="J1073" t="s">
        <v>20</v>
      </c>
      <c r="K1073" t="s">
        <v>15</v>
      </c>
    </row>
    <row r="1074" spans="1:11" x14ac:dyDescent="0.45">
      <c r="A1074">
        <v>7268</v>
      </c>
      <c r="B1074" s="15">
        <v>44081</v>
      </c>
      <c r="C1074" t="str">
        <f>TEXT(Table1[[#This Row],[Order Date]], "yyyy")</f>
        <v>2020</v>
      </c>
      <c r="D1074" t="str">
        <f>TEXT(Table1[[#This Row],[Order Date]], "mmmm")</f>
        <v>September</v>
      </c>
      <c r="E1074" s="16">
        <f>Table1[[#This Row],[Order Quantity]]*Table1[[#This Row],[Unit Price]]</f>
        <v>62505.64</v>
      </c>
      <c r="F1074">
        <v>67</v>
      </c>
      <c r="G1074" s="16">
        <v>932.92</v>
      </c>
      <c r="H1074" t="s">
        <v>8</v>
      </c>
      <c r="I1074" t="s">
        <v>530</v>
      </c>
      <c r="J1074" t="s">
        <v>23</v>
      </c>
      <c r="K1074" t="s">
        <v>17</v>
      </c>
    </row>
    <row r="1075" spans="1:11" x14ac:dyDescent="0.45">
      <c r="A1075">
        <v>7269</v>
      </c>
      <c r="B1075" s="15">
        <v>44055</v>
      </c>
      <c r="C1075" t="str">
        <f>TEXT(Table1[[#This Row],[Order Date]], "yyyy")</f>
        <v>2020</v>
      </c>
      <c r="D1075" t="str">
        <f>TEXT(Table1[[#This Row],[Order Date]], "mmmm")</f>
        <v>August</v>
      </c>
      <c r="E1075" s="16">
        <f>Table1[[#This Row],[Order Quantity]]*Table1[[#This Row],[Unit Price]]</f>
        <v>78848</v>
      </c>
      <c r="F1075">
        <v>88</v>
      </c>
      <c r="G1075" s="16">
        <v>896</v>
      </c>
      <c r="H1075" t="s">
        <v>464</v>
      </c>
      <c r="I1075" t="s">
        <v>531</v>
      </c>
      <c r="J1075" t="s">
        <v>10</v>
      </c>
      <c r="K1075" t="s">
        <v>11</v>
      </c>
    </row>
    <row r="1076" spans="1:11" x14ac:dyDescent="0.45">
      <c r="A1076">
        <v>7270</v>
      </c>
      <c r="B1076" s="15">
        <v>44001</v>
      </c>
      <c r="C1076" t="str">
        <f>TEXT(Table1[[#This Row],[Order Date]], "yyyy")</f>
        <v>2020</v>
      </c>
      <c r="D1076" t="str">
        <f>TEXT(Table1[[#This Row],[Order Date]], "mmmm")</f>
        <v>June</v>
      </c>
      <c r="E1076" s="16">
        <f>Table1[[#This Row],[Order Quantity]]*Table1[[#This Row],[Unit Price]]</f>
        <v>46840.04</v>
      </c>
      <c r="F1076">
        <v>52</v>
      </c>
      <c r="G1076" s="16">
        <v>900.77</v>
      </c>
      <c r="H1076" t="s">
        <v>464</v>
      </c>
      <c r="I1076" t="s">
        <v>532</v>
      </c>
      <c r="J1076" t="s">
        <v>23</v>
      </c>
      <c r="K1076" t="s">
        <v>17</v>
      </c>
    </row>
    <row r="1077" spans="1:11" x14ac:dyDescent="0.45">
      <c r="A1077">
        <v>7271</v>
      </c>
      <c r="B1077" s="15">
        <v>43931</v>
      </c>
      <c r="C1077" t="str">
        <f>TEXT(Table1[[#This Row],[Order Date]], "yyyy")</f>
        <v>2020</v>
      </c>
      <c r="D1077" t="str">
        <f>TEXT(Table1[[#This Row],[Order Date]], "mmmm")</f>
        <v>April</v>
      </c>
      <c r="E1077" s="16">
        <f>Table1[[#This Row],[Order Quantity]]*Table1[[#This Row],[Unit Price]]</f>
        <v>23082.34</v>
      </c>
      <c r="F1077">
        <v>23</v>
      </c>
      <c r="G1077" s="16">
        <v>1003.58</v>
      </c>
      <c r="H1077" t="s">
        <v>25</v>
      </c>
      <c r="I1077" t="s">
        <v>533</v>
      </c>
      <c r="J1077" t="s">
        <v>10</v>
      </c>
      <c r="K1077" t="s">
        <v>15</v>
      </c>
    </row>
    <row r="1078" spans="1:11" x14ac:dyDescent="0.45">
      <c r="A1078">
        <v>7272</v>
      </c>
      <c r="B1078" s="15">
        <v>43885</v>
      </c>
      <c r="C1078" t="str">
        <f>TEXT(Table1[[#This Row],[Order Date]], "yyyy")</f>
        <v>2020</v>
      </c>
      <c r="D1078" t="str">
        <f>TEXT(Table1[[#This Row],[Order Date]], "mmmm")</f>
        <v>February</v>
      </c>
      <c r="E1078" s="16">
        <f>Table1[[#This Row],[Order Quantity]]*Table1[[#This Row],[Unit Price]]</f>
        <v>3825.43</v>
      </c>
      <c r="F1078">
        <v>37</v>
      </c>
      <c r="G1078" s="16">
        <v>103.39</v>
      </c>
      <c r="H1078" t="s">
        <v>464</v>
      </c>
      <c r="I1078" t="s">
        <v>534</v>
      </c>
      <c r="J1078" t="s">
        <v>10</v>
      </c>
      <c r="K1078" t="s">
        <v>11</v>
      </c>
    </row>
    <row r="1079" spans="1:11" x14ac:dyDescent="0.45">
      <c r="A1079">
        <v>7273</v>
      </c>
      <c r="B1079" s="15">
        <v>44105</v>
      </c>
      <c r="C1079" t="str">
        <f>TEXT(Table1[[#This Row],[Order Date]], "yyyy")</f>
        <v>2020</v>
      </c>
      <c r="D1079" t="str">
        <f>TEXT(Table1[[#This Row],[Order Date]], "mmmm")</f>
        <v>October</v>
      </c>
      <c r="E1079" s="16">
        <f>Table1[[#This Row],[Order Quantity]]*Table1[[#This Row],[Unit Price]]</f>
        <v>2766.24</v>
      </c>
      <c r="F1079">
        <v>2</v>
      </c>
      <c r="G1079" s="16">
        <v>1383.12</v>
      </c>
      <c r="H1079" t="s">
        <v>464</v>
      </c>
      <c r="I1079" t="s">
        <v>535</v>
      </c>
      <c r="J1079" t="s">
        <v>23</v>
      </c>
      <c r="K1079" t="s">
        <v>15</v>
      </c>
    </row>
    <row r="1080" spans="1:11" x14ac:dyDescent="0.45">
      <c r="A1080">
        <v>7274</v>
      </c>
      <c r="B1080" s="15">
        <v>44014</v>
      </c>
      <c r="C1080" t="str">
        <f>TEXT(Table1[[#This Row],[Order Date]], "yyyy")</f>
        <v>2020</v>
      </c>
      <c r="D1080" t="str">
        <f>TEXT(Table1[[#This Row],[Order Date]], "mmmm")</f>
        <v>July</v>
      </c>
      <c r="E1080" s="16">
        <f>Table1[[#This Row],[Order Quantity]]*Table1[[#This Row],[Unit Price]]</f>
        <v>25057.399999999998</v>
      </c>
      <c r="F1080">
        <v>20</v>
      </c>
      <c r="G1080" s="16">
        <v>1252.8699999999999</v>
      </c>
      <c r="H1080" t="s">
        <v>25</v>
      </c>
      <c r="I1080" t="s">
        <v>536</v>
      </c>
      <c r="J1080" t="s">
        <v>20</v>
      </c>
      <c r="K1080" t="s">
        <v>11</v>
      </c>
    </row>
    <row r="1081" spans="1:11" x14ac:dyDescent="0.45">
      <c r="A1081">
        <v>7275</v>
      </c>
      <c r="B1081" s="15">
        <v>43945</v>
      </c>
      <c r="C1081" t="str">
        <f>TEXT(Table1[[#This Row],[Order Date]], "yyyy")</f>
        <v>2020</v>
      </c>
      <c r="D1081" t="str">
        <f>TEXT(Table1[[#This Row],[Order Date]], "mmmm")</f>
        <v>April</v>
      </c>
      <c r="E1081" s="16">
        <f>Table1[[#This Row],[Order Quantity]]*Table1[[#This Row],[Unit Price]]</f>
        <v>18346.109999999997</v>
      </c>
      <c r="F1081">
        <v>31</v>
      </c>
      <c r="G1081" s="16">
        <v>591.80999999999995</v>
      </c>
      <c r="H1081" t="s">
        <v>25</v>
      </c>
      <c r="I1081" t="s">
        <v>537</v>
      </c>
      <c r="J1081" t="s">
        <v>10</v>
      </c>
      <c r="K1081" t="s">
        <v>17</v>
      </c>
    </row>
    <row r="1082" spans="1:11" x14ac:dyDescent="0.45">
      <c r="A1082">
        <v>7276</v>
      </c>
      <c r="B1082" s="15">
        <v>44190</v>
      </c>
      <c r="C1082" t="str">
        <f>TEXT(Table1[[#This Row],[Order Date]], "yyyy")</f>
        <v>2020</v>
      </c>
      <c r="D1082" t="str">
        <f>TEXT(Table1[[#This Row],[Order Date]], "mmmm")</f>
        <v>December</v>
      </c>
      <c r="E1082" s="16">
        <f>Table1[[#This Row],[Order Quantity]]*Table1[[#This Row],[Unit Price]]</f>
        <v>44757.94</v>
      </c>
      <c r="F1082">
        <v>34</v>
      </c>
      <c r="G1082" s="16">
        <v>1316.41</v>
      </c>
      <c r="H1082" t="s">
        <v>8</v>
      </c>
      <c r="I1082" t="s">
        <v>538</v>
      </c>
      <c r="J1082" t="s">
        <v>20</v>
      </c>
      <c r="K1082" t="s">
        <v>17</v>
      </c>
    </row>
    <row r="1083" spans="1:11" x14ac:dyDescent="0.45">
      <c r="A1083">
        <v>7277</v>
      </c>
      <c r="B1083" s="15">
        <v>43865</v>
      </c>
      <c r="C1083" t="str">
        <f>TEXT(Table1[[#This Row],[Order Date]], "yyyy")</f>
        <v>2020</v>
      </c>
      <c r="D1083" t="str">
        <f>TEXT(Table1[[#This Row],[Order Date]], "mmmm")</f>
        <v>February</v>
      </c>
      <c r="E1083" s="16">
        <f>Table1[[#This Row],[Order Quantity]]*Table1[[#This Row],[Unit Price]]</f>
        <v>36642.659999999996</v>
      </c>
      <c r="F1083">
        <v>58</v>
      </c>
      <c r="G1083" s="16">
        <v>631.77</v>
      </c>
      <c r="H1083" t="s">
        <v>8</v>
      </c>
      <c r="I1083" t="s">
        <v>539</v>
      </c>
      <c r="J1083" t="s">
        <v>13</v>
      </c>
      <c r="K1083" t="s">
        <v>11</v>
      </c>
    </row>
    <row r="1084" spans="1:11" x14ac:dyDescent="0.45">
      <c r="A1084">
        <v>7278</v>
      </c>
      <c r="B1084" s="15">
        <v>44121</v>
      </c>
      <c r="C1084" t="str">
        <f>TEXT(Table1[[#This Row],[Order Date]], "yyyy")</f>
        <v>2020</v>
      </c>
      <c r="D1084" t="str">
        <f>TEXT(Table1[[#This Row],[Order Date]], "mmmm")</f>
        <v>October</v>
      </c>
      <c r="E1084" s="16">
        <f>Table1[[#This Row],[Order Quantity]]*Table1[[#This Row],[Unit Price]]</f>
        <v>74708.48000000001</v>
      </c>
      <c r="F1084">
        <v>88</v>
      </c>
      <c r="G1084" s="16">
        <v>848.96</v>
      </c>
      <c r="H1084" t="s">
        <v>25</v>
      </c>
      <c r="I1084" t="s">
        <v>540</v>
      </c>
      <c r="J1084" t="s">
        <v>10</v>
      </c>
      <c r="K1084" t="s">
        <v>11</v>
      </c>
    </row>
    <row r="1085" spans="1:11" x14ac:dyDescent="0.45">
      <c r="A1085">
        <v>7279</v>
      </c>
      <c r="B1085" s="15">
        <v>43857</v>
      </c>
      <c r="C1085" t="str">
        <f>TEXT(Table1[[#This Row],[Order Date]], "yyyy")</f>
        <v>2020</v>
      </c>
      <c r="D1085" t="str">
        <f>TEXT(Table1[[#This Row],[Order Date]], "mmmm")</f>
        <v>January</v>
      </c>
      <c r="E1085" s="16">
        <f>Table1[[#This Row],[Order Quantity]]*Table1[[#This Row],[Unit Price]]</f>
        <v>2141.58</v>
      </c>
      <c r="F1085">
        <v>2</v>
      </c>
      <c r="G1085" s="16">
        <v>1070.79</v>
      </c>
      <c r="H1085" t="s">
        <v>25</v>
      </c>
      <c r="I1085" t="s">
        <v>541</v>
      </c>
      <c r="J1085" t="s">
        <v>20</v>
      </c>
      <c r="K1085" t="s">
        <v>15</v>
      </c>
    </row>
    <row r="1086" spans="1:11" x14ac:dyDescent="0.45">
      <c r="A1086">
        <v>7280</v>
      </c>
      <c r="B1086" s="15">
        <v>43880</v>
      </c>
      <c r="C1086" t="str">
        <f>TEXT(Table1[[#This Row],[Order Date]], "yyyy")</f>
        <v>2020</v>
      </c>
      <c r="D1086" t="str">
        <f>TEXT(Table1[[#This Row],[Order Date]], "mmmm")</f>
        <v>February</v>
      </c>
      <c r="E1086" s="16">
        <f>Table1[[#This Row],[Order Quantity]]*Table1[[#This Row],[Unit Price]]</f>
        <v>42224.6</v>
      </c>
      <c r="F1086">
        <v>55</v>
      </c>
      <c r="G1086" s="16">
        <v>767.72</v>
      </c>
      <c r="H1086" t="s">
        <v>464</v>
      </c>
      <c r="I1086" t="s">
        <v>542</v>
      </c>
      <c r="J1086" t="s">
        <v>20</v>
      </c>
      <c r="K1086" t="s">
        <v>11</v>
      </c>
    </row>
    <row r="1087" spans="1:11" x14ac:dyDescent="0.45">
      <c r="A1087">
        <v>7281</v>
      </c>
      <c r="B1087" s="15">
        <v>43875</v>
      </c>
      <c r="C1087" t="str">
        <f>TEXT(Table1[[#This Row],[Order Date]], "yyyy")</f>
        <v>2020</v>
      </c>
      <c r="D1087" t="str">
        <f>TEXT(Table1[[#This Row],[Order Date]], "mmmm")</f>
        <v>February</v>
      </c>
      <c r="E1087" s="16">
        <f>Table1[[#This Row],[Order Quantity]]*Table1[[#This Row],[Unit Price]]</f>
        <v>135790.30000000002</v>
      </c>
      <c r="F1087">
        <v>97</v>
      </c>
      <c r="G1087" s="16">
        <v>1399.9</v>
      </c>
      <c r="H1087" t="s">
        <v>464</v>
      </c>
      <c r="I1087" t="s">
        <v>543</v>
      </c>
      <c r="J1087" t="s">
        <v>10</v>
      </c>
      <c r="K1087" t="s">
        <v>11</v>
      </c>
    </row>
    <row r="1088" spans="1:11" x14ac:dyDescent="0.45">
      <c r="A1088">
        <v>7282</v>
      </c>
      <c r="B1088" s="15">
        <v>44145</v>
      </c>
      <c r="C1088" t="str">
        <f>TEXT(Table1[[#This Row],[Order Date]], "yyyy")</f>
        <v>2020</v>
      </c>
      <c r="D1088" t="str">
        <f>TEXT(Table1[[#This Row],[Order Date]], "mmmm")</f>
        <v>November</v>
      </c>
      <c r="E1088" s="16">
        <f>Table1[[#This Row],[Order Quantity]]*Table1[[#This Row],[Unit Price]]</f>
        <v>53441.520000000004</v>
      </c>
      <c r="F1088">
        <v>62</v>
      </c>
      <c r="G1088" s="16">
        <v>861.96</v>
      </c>
      <c r="H1088" t="s">
        <v>464</v>
      </c>
      <c r="I1088" t="s">
        <v>544</v>
      </c>
      <c r="J1088" t="s">
        <v>20</v>
      </c>
      <c r="K1088" t="s">
        <v>11</v>
      </c>
    </row>
    <row r="1089" spans="1:11" x14ac:dyDescent="0.45">
      <c r="A1089">
        <v>7283</v>
      </c>
      <c r="B1089" s="15">
        <v>43971</v>
      </c>
      <c r="C1089" t="str">
        <f>TEXT(Table1[[#This Row],[Order Date]], "yyyy")</f>
        <v>2020</v>
      </c>
      <c r="D1089" t="str">
        <f>TEXT(Table1[[#This Row],[Order Date]], "mmmm")</f>
        <v>May</v>
      </c>
      <c r="E1089" s="16">
        <f>Table1[[#This Row],[Order Quantity]]*Table1[[#This Row],[Unit Price]]</f>
        <v>6557.4</v>
      </c>
      <c r="F1089">
        <v>45</v>
      </c>
      <c r="G1089" s="16">
        <v>145.72</v>
      </c>
      <c r="H1089" t="s">
        <v>25</v>
      </c>
      <c r="I1089" t="s">
        <v>545</v>
      </c>
      <c r="J1089" t="s">
        <v>20</v>
      </c>
      <c r="K1089" t="s">
        <v>11</v>
      </c>
    </row>
    <row r="1090" spans="1:11" x14ac:dyDescent="0.45">
      <c r="A1090">
        <v>7284</v>
      </c>
      <c r="B1090" s="15">
        <v>43917</v>
      </c>
      <c r="C1090" t="str">
        <f>TEXT(Table1[[#This Row],[Order Date]], "yyyy")</f>
        <v>2020</v>
      </c>
      <c r="D1090" t="str">
        <f>TEXT(Table1[[#This Row],[Order Date]], "mmmm")</f>
        <v>March</v>
      </c>
      <c r="E1090" s="16">
        <f>Table1[[#This Row],[Order Quantity]]*Table1[[#This Row],[Unit Price]]</f>
        <v>40813.760000000002</v>
      </c>
      <c r="F1090">
        <v>52</v>
      </c>
      <c r="G1090" s="16">
        <v>784.88</v>
      </c>
      <c r="H1090" t="s">
        <v>25</v>
      </c>
      <c r="I1090" t="s">
        <v>546</v>
      </c>
      <c r="J1090" t="s">
        <v>20</v>
      </c>
      <c r="K1090" t="s">
        <v>17</v>
      </c>
    </row>
    <row r="1091" spans="1:11" x14ac:dyDescent="0.45">
      <c r="A1091">
        <v>7285</v>
      </c>
      <c r="B1091" s="15">
        <v>43877</v>
      </c>
      <c r="C1091" t="str">
        <f>TEXT(Table1[[#This Row],[Order Date]], "yyyy")</f>
        <v>2020</v>
      </c>
      <c r="D1091" t="str">
        <f>TEXT(Table1[[#This Row],[Order Date]], "mmmm")</f>
        <v>February</v>
      </c>
      <c r="E1091" s="16">
        <f>Table1[[#This Row],[Order Quantity]]*Table1[[#This Row],[Unit Price]]</f>
        <v>1958.0700000000002</v>
      </c>
      <c r="F1091">
        <v>3</v>
      </c>
      <c r="G1091" s="16">
        <v>652.69000000000005</v>
      </c>
      <c r="H1091" t="s">
        <v>25</v>
      </c>
      <c r="I1091" t="s">
        <v>547</v>
      </c>
      <c r="J1091" t="s">
        <v>13</v>
      </c>
      <c r="K1091" t="s">
        <v>15</v>
      </c>
    </row>
    <row r="1092" spans="1:11" x14ac:dyDescent="0.45">
      <c r="A1092">
        <v>7286</v>
      </c>
      <c r="B1092" s="15">
        <v>43933</v>
      </c>
      <c r="C1092" t="str">
        <f>TEXT(Table1[[#This Row],[Order Date]], "yyyy")</f>
        <v>2020</v>
      </c>
      <c r="D1092" t="str">
        <f>TEXT(Table1[[#This Row],[Order Date]], "mmmm")</f>
        <v>April</v>
      </c>
      <c r="E1092" s="16">
        <f>Table1[[#This Row],[Order Quantity]]*Table1[[#This Row],[Unit Price]]</f>
        <v>6562.1399999999994</v>
      </c>
      <c r="F1092">
        <v>26</v>
      </c>
      <c r="G1092" s="16">
        <v>252.39</v>
      </c>
      <c r="H1092" t="s">
        <v>25</v>
      </c>
      <c r="I1092" t="s">
        <v>548</v>
      </c>
      <c r="J1092" t="s">
        <v>13</v>
      </c>
      <c r="K1092" t="s">
        <v>15</v>
      </c>
    </row>
    <row r="1093" spans="1:11" x14ac:dyDescent="0.45">
      <c r="A1093">
        <v>7287</v>
      </c>
      <c r="B1093" s="15">
        <v>44200</v>
      </c>
      <c r="C1093" t="str">
        <f>TEXT(Table1[[#This Row],[Order Date]], "yyyy")</f>
        <v>2021</v>
      </c>
      <c r="D1093" t="str">
        <f>TEXT(Table1[[#This Row],[Order Date]], "mmmm")</f>
        <v>January</v>
      </c>
      <c r="E1093" s="16">
        <f>Table1[[#This Row],[Order Quantity]]*Table1[[#This Row],[Unit Price]]</f>
        <v>33363</v>
      </c>
      <c r="F1093">
        <v>44</v>
      </c>
      <c r="G1093" s="16">
        <v>758.25</v>
      </c>
      <c r="H1093" t="s">
        <v>25</v>
      </c>
      <c r="I1093" t="s">
        <v>549</v>
      </c>
      <c r="J1093" t="s">
        <v>23</v>
      </c>
      <c r="K1093" t="s">
        <v>15</v>
      </c>
    </row>
    <row r="1094" spans="1:11" x14ac:dyDescent="0.45">
      <c r="A1094">
        <v>7288</v>
      </c>
      <c r="B1094" s="15">
        <v>43952</v>
      </c>
      <c r="C1094" t="str">
        <f>TEXT(Table1[[#This Row],[Order Date]], "yyyy")</f>
        <v>2020</v>
      </c>
      <c r="D1094" t="str">
        <f>TEXT(Table1[[#This Row],[Order Date]], "mmmm")</f>
        <v>May</v>
      </c>
      <c r="E1094" s="16">
        <f>Table1[[#This Row],[Order Quantity]]*Table1[[#This Row],[Unit Price]]</f>
        <v>2425</v>
      </c>
      <c r="F1094">
        <v>2</v>
      </c>
      <c r="G1094" s="16">
        <v>1212.5</v>
      </c>
      <c r="H1094" t="s">
        <v>25</v>
      </c>
      <c r="I1094" t="s">
        <v>550</v>
      </c>
      <c r="J1094" t="s">
        <v>10</v>
      </c>
      <c r="K1094" t="s">
        <v>11</v>
      </c>
    </row>
    <row r="1095" spans="1:11" x14ac:dyDescent="0.45">
      <c r="A1095">
        <v>7289</v>
      </c>
      <c r="B1095" s="15">
        <v>44157</v>
      </c>
      <c r="C1095" t="str">
        <f>TEXT(Table1[[#This Row],[Order Date]], "yyyy")</f>
        <v>2020</v>
      </c>
      <c r="D1095" t="str">
        <f>TEXT(Table1[[#This Row],[Order Date]], "mmmm")</f>
        <v>November</v>
      </c>
      <c r="E1095" s="16">
        <f>Table1[[#This Row],[Order Quantity]]*Table1[[#This Row],[Unit Price]]</f>
        <v>71826.240000000005</v>
      </c>
      <c r="F1095">
        <v>69</v>
      </c>
      <c r="G1095" s="16">
        <v>1040.96</v>
      </c>
      <c r="H1095" t="s">
        <v>464</v>
      </c>
      <c r="I1095" t="s">
        <v>551</v>
      </c>
      <c r="J1095" t="s">
        <v>23</v>
      </c>
      <c r="K1095" t="s">
        <v>15</v>
      </c>
    </row>
    <row r="1096" spans="1:11" x14ac:dyDescent="0.45">
      <c r="A1096">
        <v>7290</v>
      </c>
      <c r="B1096" s="15">
        <v>43932</v>
      </c>
      <c r="C1096" t="str">
        <f>TEXT(Table1[[#This Row],[Order Date]], "yyyy")</f>
        <v>2020</v>
      </c>
      <c r="D1096" t="str">
        <f>TEXT(Table1[[#This Row],[Order Date]], "mmmm")</f>
        <v>April</v>
      </c>
      <c r="E1096" s="16">
        <f>Table1[[#This Row],[Order Quantity]]*Table1[[#This Row],[Unit Price]]</f>
        <v>90465.9</v>
      </c>
      <c r="F1096">
        <v>69</v>
      </c>
      <c r="G1096" s="16">
        <v>1311.1</v>
      </c>
      <c r="H1096" t="s">
        <v>25</v>
      </c>
      <c r="I1096" t="s">
        <v>552</v>
      </c>
      <c r="J1096" t="s">
        <v>10</v>
      </c>
      <c r="K1096" t="s">
        <v>17</v>
      </c>
    </row>
    <row r="1097" spans="1:11" x14ac:dyDescent="0.45">
      <c r="A1097">
        <v>7291</v>
      </c>
      <c r="B1097" s="15">
        <v>44043</v>
      </c>
      <c r="C1097" t="str">
        <f>TEXT(Table1[[#This Row],[Order Date]], "yyyy")</f>
        <v>2020</v>
      </c>
      <c r="D1097" t="str">
        <f>TEXT(Table1[[#This Row],[Order Date]], "mmmm")</f>
        <v>July</v>
      </c>
      <c r="E1097" s="16">
        <f>Table1[[#This Row],[Order Quantity]]*Table1[[#This Row],[Unit Price]]</f>
        <v>11789.84</v>
      </c>
      <c r="F1097">
        <v>17</v>
      </c>
      <c r="G1097" s="16">
        <v>693.52</v>
      </c>
      <c r="H1097" t="s">
        <v>464</v>
      </c>
      <c r="I1097" t="s">
        <v>553</v>
      </c>
      <c r="J1097" t="s">
        <v>13</v>
      </c>
      <c r="K1097" t="s">
        <v>15</v>
      </c>
    </row>
    <row r="1098" spans="1:11" x14ac:dyDescent="0.45">
      <c r="A1098">
        <v>7292</v>
      </c>
      <c r="B1098" s="15">
        <v>44108</v>
      </c>
      <c r="C1098" t="str">
        <f>TEXT(Table1[[#This Row],[Order Date]], "yyyy")</f>
        <v>2020</v>
      </c>
      <c r="D1098" t="str">
        <f>TEXT(Table1[[#This Row],[Order Date]], "mmmm")</f>
        <v>October</v>
      </c>
      <c r="E1098" s="16">
        <f>Table1[[#This Row],[Order Quantity]]*Table1[[#This Row],[Unit Price]]</f>
        <v>94600.439999999988</v>
      </c>
      <c r="F1098">
        <v>66</v>
      </c>
      <c r="G1098" s="16">
        <v>1433.34</v>
      </c>
      <c r="H1098" t="s">
        <v>464</v>
      </c>
      <c r="I1098" t="s">
        <v>554</v>
      </c>
      <c r="J1098" t="s">
        <v>23</v>
      </c>
      <c r="K1098" t="s">
        <v>15</v>
      </c>
    </row>
    <row r="1099" spans="1:11" x14ac:dyDescent="0.45">
      <c r="A1099">
        <v>7293</v>
      </c>
      <c r="B1099" s="15">
        <v>44052</v>
      </c>
      <c r="C1099" t="str">
        <f>TEXT(Table1[[#This Row],[Order Date]], "yyyy")</f>
        <v>2020</v>
      </c>
      <c r="D1099" t="str">
        <f>TEXT(Table1[[#This Row],[Order Date]], "mmmm")</f>
        <v>August</v>
      </c>
      <c r="E1099" s="16">
        <f>Table1[[#This Row],[Order Quantity]]*Table1[[#This Row],[Unit Price]]</f>
        <v>76271.16</v>
      </c>
      <c r="F1099">
        <v>58</v>
      </c>
      <c r="G1099" s="16">
        <v>1315.02</v>
      </c>
      <c r="H1099" t="s">
        <v>8</v>
      </c>
      <c r="I1099" t="s">
        <v>555</v>
      </c>
      <c r="J1099" t="s">
        <v>23</v>
      </c>
      <c r="K1099" t="s">
        <v>15</v>
      </c>
    </row>
    <row r="1100" spans="1:11" x14ac:dyDescent="0.45">
      <c r="A1100">
        <v>7294</v>
      </c>
      <c r="B1100" s="15">
        <v>44063</v>
      </c>
      <c r="C1100" t="str">
        <f>TEXT(Table1[[#This Row],[Order Date]], "yyyy")</f>
        <v>2020</v>
      </c>
      <c r="D1100" t="str">
        <f>TEXT(Table1[[#This Row],[Order Date]], "mmmm")</f>
        <v>August</v>
      </c>
      <c r="E1100" s="16">
        <f>Table1[[#This Row],[Order Quantity]]*Table1[[#This Row],[Unit Price]]</f>
        <v>79481.78</v>
      </c>
      <c r="F1100">
        <v>61</v>
      </c>
      <c r="G1100" s="16">
        <v>1302.98</v>
      </c>
      <c r="H1100" t="s">
        <v>25</v>
      </c>
      <c r="I1100" t="s">
        <v>556</v>
      </c>
      <c r="J1100" t="s">
        <v>13</v>
      </c>
      <c r="K1100" t="s">
        <v>15</v>
      </c>
    </row>
    <row r="1101" spans="1:11" x14ac:dyDescent="0.45">
      <c r="A1101">
        <v>7295</v>
      </c>
      <c r="B1101" s="15">
        <v>44126</v>
      </c>
      <c r="C1101" t="str">
        <f>TEXT(Table1[[#This Row],[Order Date]], "yyyy")</f>
        <v>2020</v>
      </c>
      <c r="D1101" t="str">
        <f>TEXT(Table1[[#This Row],[Order Date]], "mmmm")</f>
        <v>October</v>
      </c>
      <c r="E1101" s="16">
        <f>Table1[[#This Row],[Order Quantity]]*Table1[[#This Row],[Unit Price]]</f>
        <v>18574.5</v>
      </c>
      <c r="F1101">
        <v>14</v>
      </c>
      <c r="G1101" s="16">
        <v>1326.75</v>
      </c>
      <c r="H1101" t="s">
        <v>464</v>
      </c>
      <c r="I1101" t="s">
        <v>557</v>
      </c>
      <c r="J1101" t="s">
        <v>23</v>
      </c>
      <c r="K1101" t="s">
        <v>17</v>
      </c>
    </row>
    <row r="1102" spans="1:11" x14ac:dyDescent="0.45">
      <c r="A1102">
        <v>7296</v>
      </c>
      <c r="B1102" s="15">
        <v>43896</v>
      </c>
      <c r="C1102" t="str">
        <f>TEXT(Table1[[#This Row],[Order Date]], "yyyy")</f>
        <v>2020</v>
      </c>
      <c r="D1102" t="str">
        <f>TEXT(Table1[[#This Row],[Order Date]], "mmmm")</f>
        <v>March</v>
      </c>
      <c r="E1102" s="16">
        <f>Table1[[#This Row],[Order Quantity]]*Table1[[#This Row],[Unit Price]]</f>
        <v>17173.940000000002</v>
      </c>
      <c r="F1102">
        <v>14</v>
      </c>
      <c r="G1102" s="16">
        <v>1226.71</v>
      </c>
      <c r="H1102" t="s">
        <v>464</v>
      </c>
      <c r="I1102" t="s">
        <v>558</v>
      </c>
      <c r="J1102" t="s">
        <v>10</v>
      </c>
      <c r="K1102" t="s">
        <v>15</v>
      </c>
    </row>
    <row r="1103" spans="1:11" x14ac:dyDescent="0.45">
      <c r="A1103">
        <v>7297</v>
      </c>
      <c r="B1103" s="15">
        <v>44119</v>
      </c>
      <c r="C1103" t="str">
        <f>TEXT(Table1[[#This Row],[Order Date]], "yyyy")</f>
        <v>2020</v>
      </c>
      <c r="D1103" t="str">
        <f>TEXT(Table1[[#This Row],[Order Date]], "mmmm")</f>
        <v>October</v>
      </c>
      <c r="E1103" s="16">
        <f>Table1[[#This Row],[Order Quantity]]*Table1[[#This Row],[Unit Price]]</f>
        <v>8804</v>
      </c>
      <c r="F1103">
        <v>25</v>
      </c>
      <c r="G1103" s="16">
        <v>352.16</v>
      </c>
      <c r="H1103" t="s">
        <v>25</v>
      </c>
      <c r="I1103" t="s">
        <v>559</v>
      </c>
      <c r="J1103" t="s">
        <v>10</v>
      </c>
      <c r="K1103" t="s">
        <v>17</v>
      </c>
    </row>
    <row r="1104" spans="1:11" x14ac:dyDescent="0.45">
      <c r="A1104">
        <v>7298</v>
      </c>
      <c r="B1104" s="15">
        <v>44155</v>
      </c>
      <c r="C1104" t="str">
        <f>TEXT(Table1[[#This Row],[Order Date]], "yyyy")</f>
        <v>2020</v>
      </c>
      <c r="D1104" t="str">
        <f>TEXT(Table1[[#This Row],[Order Date]], "mmmm")</f>
        <v>November</v>
      </c>
      <c r="E1104" s="16">
        <f>Table1[[#This Row],[Order Quantity]]*Table1[[#This Row],[Unit Price]]</f>
        <v>84222.84</v>
      </c>
      <c r="F1104">
        <v>78</v>
      </c>
      <c r="G1104" s="16">
        <v>1079.78</v>
      </c>
      <c r="H1104" t="s">
        <v>25</v>
      </c>
      <c r="I1104" t="s">
        <v>560</v>
      </c>
      <c r="J1104" t="s">
        <v>13</v>
      </c>
      <c r="K1104" t="s">
        <v>17</v>
      </c>
    </row>
    <row r="1105" spans="1:11" x14ac:dyDescent="0.45">
      <c r="A1105">
        <v>7299</v>
      </c>
      <c r="B1105" s="15">
        <v>43923</v>
      </c>
      <c r="C1105" t="str">
        <f>TEXT(Table1[[#This Row],[Order Date]], "yyyy")</f>
        <v>2020</v>
      </c>
      <c r="D1105" t="str">
        <f>TEXT(Table1[[#This Row],[Order Date]], "mmmm")</f>
        <v>April</v>
      </c>
      <c r="E1105" s="16">
        <f>Table1[[#This Row],[Order Quantity]]*Table1[[#This Row],[Unit Price]]</f>
        <v>4480.5600000000004</v>
      </c>
      <c r="F1105">
        <v>63</v>
      </c>
      <c r="G1105" s="16">
        <v>71.12</v>
      </c>
      <c r="H1105" t="s">
        <v>25</v>
      </c>
      <c r="I1105" t="s">
        <v>561</v>
      </c>
      <c r="J1105" t="s">
        <v>23</v>
      </c>
      <c r="K1105" t="s">
        <v>15</v>
      </c>
    </row>
    <row r="1106" spans="1:11" x14ac:dyDescent="0.45">
      <c r="A1106">
        <v>7300</v>
      </c>
      <c r="B1106" s="15">
        <v>44070</v>
      </c>
      <c r="C1106" t="str">
        <f>TEXT(Table1[[#This Row],[Order Date]], "yyyy")</f>
        <v>2020</v>
      </c>
      <c r="D1106" t="str">
        <f>TEXT(Table1[[#This Row],[Order Date]], "mmmm")</f>
        <v>August</v>
      </c>
      <c r="E1106" s="16">
        <f>Table1[[#This Row],[Order Quantity]]*Table1[[#This Row],[Unit Price]]</f>
        <v>85381.8</v>
      </c>
      <c r="F1106">
        <v>87</v>
      </c>
      <c r="G1106" s="16">
        <v>981.4</v>
      </c>
      <c r="H1106" t="s">
        <v>464</v>
      </c>
      <c r="I1106" t="s">
        <v>562</v>
      </c>
      <c r="J1106" t="s">
        <v>23</v>
      </c>
      <c r="K1106" t="s">
        <v>15</v>
      </c>
    </row>
    <row r="1107" spans="1:11" x14ac:dyDescent="0.45">
      <c r="A1107">
        <v>7301</v>
      </c>
      <c r="B1107" s="15">
        <v>44152</v>
      </c>
      <c r="C1107" t="str">
        <f>TEXT(Table1[[#This Row],[Order Date]], "yyyy")</f>
        <v>2020</v>
      </c>
      <c r="D1107" t="str">
        <f>TEXT(Table1[[#This Row],[Order Date]], "mmmm")</f>
        <v>November</v>
      </c>
      <c r="E1107" s="16">
        <f>Table1[[#This Row],[Order Quantity]]*Table1[[#This Row],[Unit Price]]</f>
        <v>46002.3</v>
      </c>
      <c r="F1107">
        <v>69</v>
      </c>
      <c r="G1107" s="16">
        <v>666.7</v>
      </c>
      <c r="H1107" t="s">
        <v>464</v>
      </c>
      <c r="I1107" t="s">
        <v>563</v>
      </c>
      <c r="J1107" t="s">
        <v>10</v>
      </c>
      <c r="K1107" t="s">
        <v>15</v>
      </c>
    </row>
    <row r="1108" spans="1:11" x14ac:dyDescent="0.45">
      <c r="A1108">
        <v>7302</v>
      </c>
      <c r="B1108" s="15">
        <v>43904</v>
      </c>
      <c r="C1108" t="str">
        <f>TEXT(Table1[[#This Row],[Order Date]], "yyyy")</f>
        <v>2020</v>
      </c>
      <c r="D1108" t="str">
        <f>TEXT(Table1[[#This Row],[Order Date]], "mmmm")</f>
        <v>March</v>
      </c>
      <c r="E1108" s="16">
        <f>Table1[[#This Row],[Order Quantity]]*Table1[[#This Row],[Unit Price]]</f>
        <v>66506.240000000005</v>
      </c>
      <c r="F1108">
        <v>64</v>
      </c>
      <c r="G1108" s="16">
        <v>1039.1600000000001</v>
      </c>
      <c r="H1108" t="s">
        <v>25</v>
      </c>
      <c r="I1108" t="s">
        <v>564</v>
      </c>
      <c r="J1108" t="s">
        <v>13</v>
      </c>
      <c r="K1108" t="s">
        <v>15</v>
      </c>
    </row>
    <row r="1109" spans="1:11" x14ac:dyDescent="0.45">
      <c r="A1109">
        <v>7303</v>
      </c>
      <c r="B1109" s="15">
        <v>43848</v>
      </c>
      <c r="C1109" t="str">
        <f>TEXT(Table1[[#This Row],[Order Date]], "yyyy")</f>
        <v>2020</v>
      </c>
      <c r="D1109" t="str">
        <f>TEXT(Table1[[#This Row],[Order Date]], "mmmm")</f>
        <v>January</v>
      </c>
      <c r="E1109" s="16">
        <f>Table1[[#This Row],[Order Quantity]]*Table1[[#This Row],[Unit Price]]</f>
        <v>10464.799999999999</v>
      </c>
      <c r="F1109">
        <v>40</v>
      </c>
      <c r="G1109" s="16">
        <v>261.62</v>
      </c>
      <c r="H1109" t="s">
        <v>25</v>
      </c>
      <c r="I1109" t="s">
        <v>565</v>
      </c>
      <c r="J1109" t="s">
        <v>13</v>
      </c>
      <c r="K1109" t="s">
        <v>15</v>
      </c>
    </row>
    <row r="1110" spans="1:11" x14ac:dyDescent="0.45">
      <c r="A1110">
        <v>7304</v>
      </c>
      <c r="B1110" s="15">
        <v>44141</v>
      </c>
      <c r="C1110" t="str">
        <f>TEXT(Table1[[#This Row],[Order Date]], "yyyy")</f>
        <v>2020</v>
      </c>
      <c r="D1110" t="str">
        <f>TEXT(Table1[[#This Row],[Order Date]], "mmmm")</f>
        <v>November</v>
      </c>
      <c r="E1110" s="16">
        <f>Table1[[#This Row],[Order Quantity]]*Table1[[#This Row],[Unit Price]]</f>
        <v>34710.090000000004</v>
      </c>
      <c r="F1110">
        <v>51</v>
      </c>
      <c r="G1110" s="16">
        <v>680.59</v>
      </c>
      <c r="H1110" t="s">
        <v>25</v>
      </c>
      <c r="I1110" t="s">
        <v>566</v>
      </c>
      <c r="J1110" t="s">
        <v>13</v>
      </c>
      <c r="K1110" t="s">
        <v>15</v>
      </c>
    </row>
    <row r="1111" spans="1:11" x14ac:dyDescent="0.45">
      <c r="A1111">
        <v>7305</v>
      </c>
      <c r="B1111" s="15">
        <v>43840</v>
      </c>
      <c r="C1111" t="str">
        <f>TEXT(Table1[[#This Row],[Order Date]], "yyyy")</f>
        <v>2020</v>
      </c>
      <c r="D1111" t="str">
        <f>TEXT(Table1[[#This Row],[Order Date]], "mmmm")</f>
        <v>January</v>
      </c>
      <c r="E1111" s="16">
        <f>Table1[[#This Row],[Order Quantity]]*Table1[[#This Row],[Unit Price]]</f>
        <v>14114.400000000001</v>
      </c>
      <c r="F1111">
        <v>40</v>
      </c>
      <c r="G1111" s="16">
        <v>352.86</v>
      </c>
      <c r="H1111" t="s">
        <v>8</v>
      </c>
      <c r="I1111" t="s">
        <v>567</v>
      </c>
      <c r="J1111" t="s">
        <v>23</v>
      </c>
      <c r="K1111" t="s">
        <v>15</v>
      </c>
    </row>
    <row r="1112" spans="1:11" x14ac:dyDescent="0.45">
      <c r="A1112">
        <v>7306</v>
      </c>
      <c r="B1112" s="15">
        <v>44107</v>
      </c>
      <c r="C1112" t="str">
        <f>TEXT(Table1[[#This Row],[Order Date]], "yyyy")</f>
        <v>2020</v>
      </c>
      <c r="D1112" t="str">
        <f>TEXT(Table1[[#This Row],[Order Date]], "mmmm")</f>
        <v>October</v>
      </c>
      <c r="E1112" s="16">
        <f>Table1[[#This Row],[Order Quantity]]*Table1[[#This Row],[Unit Price]]</f>
        <v>49908.44</v>
      </c>
      <c r="F1112">
        <v>76</v>
      </c>
      <c r="G1112" s="16">
        <v>656.69</v>
      </c>
      <c r="H1112" t="s">
        <v>464</v>
      </c>
      <c r="I1112" t="s">
        <v>568</v>
      </c>
      <c r="J1112" t="s">
        <v>20</v>
      </c>
      <c r="K1112" t="s">
        <v>17</v>
      </c>
    </row>
    <row r="1113" spans="1:11" x14ac:dyDescent="0.45">
      <c r="A1113">
        <v>7307</v>
      </c>
      <c r="B1113" s="15">
        <v>44133</v>
      </c>
      <c r="C1113" t="str">
        <f>TEXT(Table1[[#This Row],[Order Date]], "yyyy")</f>
        <v>2020</v>
      </c>
      <c r="D1113" t="str">
        <f>TEXT(Table1[[#This Row],[Order Date]], "mmmm")</f>
        <v>October</v>
      </c>
      <c r="E1113" s="16">
        <f>Table1[[#This Row],[Order Quantity]]*Table1[[#This Row],[Unit Price]]</f>
        <v>105460.8</v>
      </c>
      <c r="F1113">
        <v>80</v>
      </c>
      <c r="G1113" s="16">
        <v>1318.26</v>
      </c>
      <c r="H1113" t="s">
        <v>25</v>
      </c>
      <c r="I1113" t="s">
        <v>569</v>
      </c>
      <c r="J1113" t="s">
        <v>23</v>
      </c>
      <c r="K1113" t="s">
        <v>15</v>
      </c>
    </row>
    <row r="1114" spans="1:11" x14ac:dyDescent="0.45">
      <c r="A1114">
        <v>7308</v>
      </c>
      <c r="B1114" s="15">
        <v>43879</v>
      </c>
      <c r="C1114" t="str">
        <f>TEXT(Table1[[#This Row],[Order Date]], "yyyy")</f>
        <v>2020</v>
      </c>
      <c r="D1114" t="str">
        <f>TEXT(Table1[[#This Row],[Order Date]], "mmmm")</f>
        <v>February</v>
      </c>
      <c r="E1114" s="16">
        <f>Table1[[#This Row],[Order Quantity]]*Table1[[#This Row],[Unit Price]]</f>
        <v>2683.7999999999997</v>
      </c>
      <c r="F1114">
        <v>15</v>
      </c>
      <c r="G1114" s="16">
        <v>178.92</v>
      </c>
      <c r="H1114" t="s">
        <v>25</v>
      </c>
      <c r="I1114" t="s">
        <v>570</v>
      </c>
      <c r="J1114" t="s">
        <v>23</v>
      </c>
      <c r="K1114" t="s">
        <v>17</v>
      </c>
    </row>
    <row r="1115" spans="1:11" x14ac:dyDescent="0.45">
      <c r="A1115">
        <v>7309</v>
      </c>
      <c r="B1115" s="15">
        <v>44004</v>
      </c>
      <c r="C1115" t="str">
        <f>TEXT(Table1[[#This Row],[Order Date]], "yyyy")</f>
        <v>2020</v>
      </c>
      <c r="D1115" t="str">
        <f>TEXT(Table1[[#This Row],[Order Date]], "mmmm")</f>
        <v>June</v>
      </c>
      <c r="E1115" s="16">
        <f>Table1[[#This Row],[Order Quantity]]*Table1[[#This Row],[Unit Price]]</f>
        <v>4141.28</v>
      </c>
      <c r="F1115">
        <v>8</v>
      </c>
      <c r="G1115" s="16">
        <v>517.66</v>
      </c>
      <c r="H1115" t="s">
        <v>464</v>
      </c>
      <c r="I1115" t="s">
        <v>571</v>
      </c>
      <c r="J1115" t="s">
        <v>23</v>
      </c>
      <c r="K1115" t="s">
        <v>17</v>
      </c>
    </row>
    <row r="1116" spans="1:11" x14ac:dyDescent="0.45">
      <c r="A1116">
        <v>7310</v>
      </c>
      <c r="B1116" s="15">
        <v>44037</v>
      </c>
      <c r="C1116" t="str">
        <f>TEXT(Table1[[#This Row],[Order Date]], "yyyy")</f>
        <v>2020</v>
      </c>
      <c r="D1116" t="str">
        <f>TEXT(Table1[[#This Row],[Order Date]], "mmmm")</f>
        <v>July</v>
      </c>
      <c r="E1116" s="16">
        <f>Table1[[#This Row],[Order Quantity]]*Table1[[#This Row],[Unit Price]]</f>
        <v>79341.599999999991</v>
      </c>
      <c r="F1116">
        <v>60</v>
      </c>
      <c r="G1116" s="16">
        <v>1322.36</v>
      </c>
      <c r="H1116" t="s">
        <v>8</v>
      </c>
      <c r="I1116" t="s">
        <v>572</v>
      </c>
      <c r="J1116" t="s">
        <v>20</v>
      </c>
      <c r="K1116" t="s">
        <v>11</v>
      </c>
    </row>
    <row r="1117" spans="1:11" x14ac:dyDescent="0.45">
      <c r="A1117">
        <v>7311</v>
      </c>
      <c r="B1117" s="15">
        <v>43972</v>
      </c>
      <c r="C1117" t="str">
        <f>TEXT(Table1[[#This Row],[Order Date]], "yyyy")</f>
        <v>2020</v>
      </c>
      <c r="D1117" t="str">
        <f>TEXT(Table1[[#This Row],[Order Date]], "mmmm")</f>
        <v>May</v>
      </c>
      <c r="E1117" s="16">
        <f>Table1[[#This Row],[Order Quantity]]*Table1[[#This Row],[Unit Price]]</f>
        <v>10902.55</v>
      </c>
      <c r="F1117">
        <v>73</v>
      </c>
      <c r="G1117" s="16">
        <v>149.35</v>
      </c>
      <c r="H1117" t="s">
        <v>25</v>
      </c>
      <c r="I1117" t="s">
        <v>573</v>
      </c>
      <c r="J1117" t="s">
        <v>20</v>
      </c>
      <c r="K1117" t="s">
        <v>17</v>
      </c>
    </row>
    <row r="1118" spans="1:11" x14ac:dyDescent="0.45">
      <c r="A1118">
        <v>7312</v>
      </c>
      <c r="B1118" s="15">
        <v>44048</v>
      </c>
      <c r="C1118" t="str">
        <f>TEXT(Table1[[#This Row],[Order Date]], "yyyy")</f>
        <v>2020</v>
      </c>
      <c r="D1118" t="str">
        <f>TEXT(Table1[[#This Row],[Order Date]], "mmmm")</f>
        <v>August</v>
      </c>
      <c r="E1118" s="16">
        <f>Table1[[#This Row],[Order Quantity]]*Table1[[#This Row],[Unit Price]]</f>
        <v>101750.87999999999</v>
      </c>
      <c r="F1118">
        <v>84</v>
      </c>
      <c r="G1118" s="16">
        <v>1211.32</v>
      </c>
      <c r="H1118" t="s">
        <v>8</v>
      </c>
      <c r="I1118" t="s">
        <v>574</v>
      </c>
      <c r="J1118" t="s">
        <v>20</v>
      </c>
      <c r="K1118" t="s">
        <v>15</v>
      </c>
    </row>
    <row r="1119" spans="1:11" x14ac:dyDescent="0.45">
      <c r="A1119">
        <v>7313</v>
      </c>
      <c r="B1119" s="15">
        <v>43843</v>
      </c>
      <c r="C1119" t="str">
        <f>TEXT(Table1[[#This Row],[Order Date]], "yyyy")</f>
        <v>2020</v>
      </c>
      <c r="D1119" t="str">
        <f>TEXT(Table1[[#This Row],[Order Date]], "mmmm")</f>
        <v>January</v>
      </c>
      <c r="E1119" s="16">
        <f>Table1[[#This Row],[Order Quantity]]*Table1[[#This Row],[Unit Price]]</f>
        <v>13061.44</v>
      </c>
      <c r="F1119">
        <v>28</v>
      </c>
      <c r="G1119" s="16">
        <v>466.48</v>
      </c>
      <c r="H1119" t="s">
        <v>464</v>
      </c>
      <c r="I1119" t="s">
        <v>575</v>
      </c>
      <c r="J1119" t="s">
        <v>20</v>
      </c>
      <c r="K1119" t="s">
        <v>17</v>
      </c>
    </row>
    <row r="1120" spans="1:11" x14ac:dyDescent="0.45">
      <c r="A1120">
        <v>7314</v>
      </c>
      <c r="B1120" s="15">
        <v>44161</v>
      </c>
      <c r="C1120" t="str">
        <f>TEXT(Table1[[#This Row],[Order Date]], "yyyy")</f>
        <v>2020</v>
      </c>
      <c r="D1120" t="str">
        <f>TEXT(Table1[[#This Row],[Order Date]], "mmmm")</f>
        <v>November</v>
      </c>
      <c r="E1120" s="16">
        <f>Table1[[#This Row],[Order Quantity]]*Table1[[#This Row],[Unit Price]]</f>
        <v>46672.32</v>
      </c>
      <c r="F1120">
        <v>96</v>
      </c>
      <c r="G1120" s="16">
        <v>486.17</v>
      </c>
      <c r="H1120" t="s">
        <v>8</v>
      </c>
      <c r="I1120" t="s">
        <v>576</v>
      </c>
      <c r="J1120" t="s">
        <v>23</v>
      </c>
      <c r="K1120" t="s">
        <v>15</v>
      </c>
    </row>
    <row r="1121" spans="1:11" x14ac:dyDescent="0.45">
      <c r="A1121">
        <v>7315</v>
      </c>
      <c r="B1121" s="15">
        <v>44107</v>
      </c>
      <c r="C1121" t="str">
        <f>TEXT(Table1[[#This Row],[Order Date]], "yyyy")</f>
        <v>2020</v>
      </c>
      <c r="D1121" t="str">
        <f>TEXT(Table1[[#This Row],[Order Date]], "mmmm")</f>
        <v>October</v>
      </c>
      <c r="E1121" s="16">
        <f>Table1[[#This Row],[Order Quantity]]*Table1[[#This Row],[Unit Price]]</f>
        <v>35502.639999999999</v>
      </c>
      <c r="F1121">
        <v>76</v>
      </c>
      <c r="G1121" s="16">
        <v>467.14</v>
      </c>
      <c r="H1121" t="s">
        <v>25</v>
      </c>
      <c r="I1121" t="s">
        <v>577</v>
      </c>
      <c r="J1121" t="s">
        <v>13</v>
      </c>
      <c r="K1121" t="s">
        <v>15</v>
      </c>
    </row>
    <row r="1122" spans="1:11" x14ac:dyDescent="0.45">
      <c r="A1122">
        <v>7316</v>
      </c>
      <c r="B1122" s="15">
        <v>44164</v>
      </c>
      <c r="C1122" t="str">
        <f>TEXT(Table1[[#This Row],[Order Date]], "yyyy")</f>
        <v>2020</v>
      </c>
      <c r="D1122" t="str">
        <f>TEXT(Table1[[#This Row],[Order Date]], "mmmm")</f>
        <v>November</v>
      </c>
      <c r="E1122" s="16">
        <f>Table1[[#This Row],[Order Quantity]]*Table1[[#This Row],[Unit Price]]</f>
        <v>7235.36</v>
      </c>
      <c r="F1122">
        <v>44</v>
      </c>
      <c r="G1122" s="16">
        <v>164.44</v>
      </c>
      <c r="H1122" t="s">
        <v>25</v>
      </c>
      <c r="I1122" t="s">
        <v>578</v>
      </c>
      <c r="J1122" t="s">
        <v>23</v>
      </c>
      <c r="K1122" t="s">
        <v>11</v>
      </c>
    </row>
    <row r="1123" spans="1:11" x14ac:dyDescent="0.45">
      <c r="A1123">
        <v>7317</v>
      </c>
      <c r="B1123" s="15">
        <v>44126</v>
      </c>
      <c r="C1123" t="str">
        <f>TEXT(Table1[[#This Row],[Order Date]], "yyyy")</f>
        <v>2020</v>
      </c>
      <c r="D1123" t="str">
        <f>TEXT(Table1[[#This Row],[Order Date]], "mmmm")</f>
        <v>October</v>
      </c>
      <c r="E1123" s="16">
        <f>Table1[[#This Row],[Order Quantity]]*Table1[[#This Row],[Unit Price]]</f>
        <v>4296.96</v>
      </c>
      <c r="F1123">
        <v>18</v>
      </c>
      <c r="G1123" s="16">
        <v>238.72</v>
      </c>
      <c r="H1123" t="s">
        <v>8</v>
      </c>
      <c r="I1123" t="s">
        <v>579</v>
      </c>
      <c r="J1123" t="s">
        <v>20</v>
      </c>
      <c r="K1123" t="s">
        <v>17</v>
      </c>
    </row>
    <row r="1124" spans="1:11" x14ac:dyDescent="0.45">
      <c r="A1124">
        <v>7318</v>
      </c>
      <c r="B1124" s="15">
        <v>44095</v>
      </c>
      <c r="C1124" t="str">
        <f>TEXT(Table1[[#This Row],[Order Date]], "yyyy")</f>
        <v>2020</v>
      </c>
      <c r="D1124" t="str">
        <f>TEXT(Table1[[#This Row],[Order Date]], "mmmm")</f>
        <v>September</v>
      </c>
      <c r="E1124" s="16">
        <f>Table1[[#This Row],[Order Quantity]]*Table1[[#This Row],[Unit Price]]</f>
        <v>6763.09</v>
      </c>
      <c r="F1124">
        <v>29</v>
      </c>
      <c r="G1124" s="16">
        <v>233.21</v>
      </c>
      <c r="H1124" t="s">
        <v>464</v>
      </c>
      <c r="I1124" t="s">
        <v>580</v>
      </c>
      <c r="J1124" t="s">
        <v>10</v>
      </c>
      <c r="K1124" t="s">
        <v>11</v>
      </c>
    </row>
    <row r="1125" spans="1:11" x14ac:dyDescent="0.45">
      <c r="A1125">
        <v>7319</v>
      </c>
      <c r="B1125" s="15">
        <v>44031</v>
      </c>
      <c r="C1125" t="str">
        <f>TEXT(Table1[[#This Row],[Order Date]], "yyyy")</f>
        <v>2020</v>
      </c>
      <c r="D1125" t="str">
        <f>TEXT(Table1[[#This Row],[Order Date]], "mmmm")</f>
        <v>July</v>
      </c>
      <c r="E1125" s="16">
        <f>Table1[[#This Row],[Order Quantity]]*Table1[[#This Row],[Unit Price]]</f>
        <v>1224.32</v>
      </c>
      <c r="F1125">
        <v>16</v>
      </c>
      <c r="G1125" s="16">
        <v>76.52</v>
      </c>
      <c r="H1125" t="s">
        <v>8</v>
      </c>
      <c r="I1125" t="s">
        <v>581</v>
      </c>
      <c r="J1125" t="s">
        <v>20</v>
      </c>
      <c r="K1125" t="s">
        <v>11</v>
      </c>
    </row>
    <row r="1126" spans="1:11" x14ac:dyDescent="0.45">
      <c r="A1126">
        <v>7320</v>
      </c>
      <c r="B1126" s="15">
        <v>43897</v>
      </c>
      <c r="C1126" t="str">
        <f>TEXT(Table1[[#This Row],[Order Date]], "yyyy")</f>
        <v>2020</v>
      </c>
      <c r="D1126" t="str">
        <f>TEXT(Table1[[#This Row],[Order Date]], "mmmm")</f>
        <v>March</v>
      </c>
      <c r="E1126" s="16">
        <f>Table1[[#This Row],[Order Quantity]]*Table1[[#This Row],[Unit Price]]</f>
        <v>58776.480000000003</v>
      </c>
      <c r="F1126">
        <v>72</v>
      </c>
      <c r="G1126" s="16">
        <v>816.34</v>
      </c>
      <c r="H1126" t="s">
        <v>8</v>
      </c>
      <c r="I1126" t="s">
        <v>582</v>
      </c>
      <c r="J1126" t="s">
        <v>20</v>
      </c>
      <c r="K1126" t="s">
        <v>17</v>
      </c>
    </row>
    <row r="1127" spans="1:11" x14ac:dyDescent="0.45">
      <c r="A1127">
        <v>7321</v>
      </c>
      <c r="B1127" s="15">
        <v>43902</v>
      </c>
      <c r="C1127" t="str">
        <f>TEXT(Table1[[#This Row],[Order Date]], "yyyy")</f>
        <v>2020</v>
      </c>
      <c r="D1127" t="str">
        <f>TEXT(Table1[[#This Row],[Order Date]], "mmmm")</f>
        <v>March</v>
      </c>
      <c r="E1127" s="16">
        <f>Table1[[#This Row],[Order Quantity]]*Table1[[#This Row],[Unit Price]]</f>
        <v>27434.68</v>
      </c>
      <c r="F1127">
        <v>28</v>
      </c>
      <c r="G1127" s="16">
        <v>979.81</v>
      </c>
      <c r="H1127" t="s">
        <v>8</v>
      </c>
      <c r="I1127" t="s">
        <v>583</v>
      </c>
      <c r="J1127" t="s">
        <v>13</v>
      </c>
      <c r="K1127" t="s">
        <v>11</v>
      </c>
    </row>
    <row r="1128" spans="1:11" x14ac:dyDescent="0.45">
      <c r="A1128">
        <v>7322</v>
      </c>
      <c r="B1128" s="15">
        <v>44145</v>
      </c>
      <c r="C1128" t="str">
        <f>TEXT(Table1[[#This Row],[Order Date]], "yyyy")</f>
        <v>2020</v>
      </c>
      <c r="D1128" t="str">
        <f>TEXT(Table1[[#This Row],[Order Date]], "mmmm")</f>
        <v>November</v>
      </c>
      <c r="E1128" s="16">
        <f>Table1[[#This Row],[Order Quantity]]*Table1[[#This Row],[Unit Price]]</f>
        <v>42327.71</v>
      </c>
      <c r="F1128">
        <v>31</v>
      </c>
      <c r="G1128" s="16">
        <v>1365.41</v>
      </c>
      <c r="H1128" t="s">
        <v>8</v>
      </c>
      <c r="I1128" t="s">
        <v>584</v>
      </c>
      <c r="J1128" t="s">
        <v>13</v>
      </c>
      <c r="K1128" t="s">
        <v>15</v>
      </c>
    </row>
    <row r="1129" spans="1:11" x14ac:dyDescent="0.45">
      <c r="A1129">
        <v>7323</v>
      </c>
      <c r="B1129" s="15">
        <v>43909</v>
      </c>
      <c r="C1129" t="str">
        <f>TEXT(Table1[[#This Row],[Order Date]], "yyyy")</f>
        <v>2020</v>
      </c>
      <c r="D1129" t="str">
        <f>TEXT(Table1[[#This Row],[Order Date]], "mmmm")</f>
        <v>March</v>
      </c>
      <c r="E1129" s="16">
        <f>Table1[[#This Row],[Order Quantity]]*Table1[[#This Row],[Unit Price]]</f>
        <v>50824.28</v>
      </c>
      <c r="F1129">
        <v>86</v>
      </c>
      <c r="G1129" s="16">
        <v>590.98</v>
      </c>
      <c r="H1129" t="s">
        <v>8</v>
      </c>
      <c r="I1129" t="s">
        <v>585</v>
      </c>
      <c r="J1129" t="s">
        <v>13</v>
      </c>
      <c r="K1129" t="s">
        <v>17</v>
      </c>
    </row>
    <row r="1130" spans="1:11" x14ac:dyDescent="0.45">
      <c r="A1130">
        <v>7324</v>
      </c>
      <c r="B1130" s="15">
        <v>43860</v>
      </c>
      <c r="C1130" t="str">
        <f>TEXT(Table1[[#This Row],[Order Date]], "yyyy")</f>
        <v>2020</v>
      </c>
      <c r="D1130" t="str">
        <f>TEXT(Table1[[#This Row],[Order Date]], "mmmm")</f>
        <v>January</v>
      </c>
      <c r="E1130" s="16">
        <f>Table1[[#This Row],[Order Quantity]]*Table1[[#This Row],[Unit Price]]</f>
        <v>4783.54</v>
      </c>
      <c r="F1130">
        <v>23</v>
      </c>
      <c r="G1130" s="16">
        <v>207.98</v>
      </c>
      <c r="H1130" t="s">
        <v>8</v>
      </c>
      <c r="I1130" t="s">
        <v>586</v>
      </c>
      <c r="J1130" t="s">
        <v>10</v>
      </c>
      <c r="K1130" t="s">
        <v>17</v>
      </c>
    </row>
    <row r="1131" spans="1:11" x14ac:dyDescent="0.45">
      <c r="A1131">
        <v>7325</v>
      </c>
      <c r="B1131" s="15">
        <v>44143</v>
      </c>
      <c r="C1131" t="str">
        <f>TEXT(Table1[[#This Row],[Order Date]], "yyyy")</f>
        <v>2020</v>
      </c>
      <c r="D1131" t="str">
        <f>TEXT(Table1[[#This Row],[Order Date]], "mmmm")</f>
        <v>November</v>
      </c>
      <c r="E1131" s="16">
        <f>Table1[[#This Row],[Order Quantity]]*Table1[[#This Row],[Unit Price]]</f>
        <v>45654.770000000004</v>
      </c>
      <c r="F1131">
        <v>49</v>
      </c>
      <c r="G1131" s="16">
        <v>931.73</v>
      </c>
      <c r="H1131" t="s">
        <v>8</v>
      </c>
      <c r="I1131" t="s">
        <v>587</v>
      </c>
      <c r="J1131" t="s">
        <v>10</v>
      </c>
      <c r="K1131" t="s">
        <v>15</v>
      </c>
    </row>
    <row r="1132" spans="1:11" x14ac:dyDescent="0.45">
      <c r="A1132">
        <v>7326</v>
      </c>
      <c r="B1132" s="15">
        <v>44156</v>
      </c>
      <c r="C1132" t="str">
        <f>TEXT(Table1[[#This Row],[Order Date]], "yyyy")</f>
        <v>2020</v>
      </c>
      <c r="D1132" t="str">
        <f>TEXT(Table1[[#This Row],[Order Date]], "mmmm")</f>
        <v>November</v>
      </c>
      <c r="E1132" s="16">
        <f>Table1[[#This Row],[Order Quantity]]*Table1[[#This Row],[Unit Price]]</f>
        <v>2417.7800000000002</v>
      </c>
      <c r="F1132">
        <v>2</v>
      </c>
      <c r="G1132" s="16">
        <v>1208.8900000000001</v>
      </c>
      <c r="H1132" t="s">
        <v>464</v>
      </c>
      <c r="I1132" t="s">
        <v>588</v>
      </c>
      <c r="J1132" t="s">
        <v>13</v>
      </c>
      <c r="K1132" t="s">
        <v>15</v>
      </c>
    </row>
    <row r="1133" spans="1:11" x14ac:dyDescent="0.45">
      <c r="A1133">
        <v>7327</v>
      </c>
      <c r="B1133" s="15">
        <v>43839</v>
      </c>
      <c r="C1133" t="str">
        <f>TEXT(Table1[[#This Row],[Order Date]], "yyyy")</f>
        <v>2020</v>
      </c>
      <c r="D1133" t="str">
        <f>TEXT(Table1[[#This Row],[Order Date]], "mmmm")</f>
        <v>January</v>
      </c>
      <c r="E1133" s="16">
        <f>Table1[[#This Row],[Order Quantity]]*Table1[[#This Row],[Unit Price]]</f>
        <v>68755</v>
      </c>
      <c r="F1133">
        <v>50</v>
      </c>
      <c r="G1133" s="16">
        <v>1375.1</v>
      </c>
      <c r="H1133" t="s">
        <v>8</v>
      </c>
      <c r="I1133" t="s">
        <v>589</v>
      </c>
      <c r="J1133" t="s">
        <v>10</v>
      </c>
      <c r="K1133" t="s">
        <v>15</v>
      </c>
    </row>
    <row r="1134" spans="1:11" x14ac:dyDescent="0.45">
      <c r="A1134">
        <v>7328</v>
      </c>
      <c r="B1134" s="15">
        <v>43879</v>
      </c>
      <c r="C1134" t="str">
        <f>TEXT(Table1[[#This Row],[Order Date]], "yyyy")</f>
        <v>2020</v>
      </c>
      <c r="D1134" t="str">
        <f>TEXT(Table1[[#This Row],[Order Date]], "mmmm")</f>
        <v>February</v>
      </c>
      <c r="E1134" s="16">
        <f>Table1[[#This Row],[Order Quantity]]*Table1[[#This Row],[Unit Price]]</f>
        <v>26252</v>
      </c>
      <c r="F1134">
        <v>100</v>
      </c>
      <c r="G1134" s="16">
        <v>262.52</v>
      </c>
      <c r="H1134" t="s">
        <v>25</v>
      </c>
      <c r="I1134" t="s">
        <v>590</v>
      </c>
      <c r="J1134" t="s">
        <v>20</v>
      </c>
      <c r="K1134" t="s">
        <v>11</v>
      </c>
    </row>
    <row r="1135" spans="1:11" x14ac:dyDescent="0.45">
      <c r="A1135">
        <v>7329</v>
      </c>
      <c r="B1135" s="15">
        <v>44116</v>
      </c>
      <c r="C1135" t="str">
        <f>TEXT(Table1[[#This Row],[Order Date]], "yyyy")</f>
        <v>2020</v>
      </c>
      <c r="D1135" t="str">
        <f>TEXT(Table1[[#This Row],[Order Date]], "mmmm")</f>
        <v>October</v>
      </c>
      <c r="E1135" s="16">
        <f>Table1[[#This Row],[Order Quantity]]*Table1[[#This Row],[Unit Price]]</f>
        <v>4420.08</v>
      </c>
      <c r="F1135">
        <v>84</v>
      </c>
      <c r="G1135" s="16">
        <v>52.62</v>
      </c>
      <c r="H1135" t="s">
        <v>464</v>
      </c>
      <c r="I1135" t="s">
        <v>591</v>
      </c>
      <c r="J1135" t="s">
        <v>13</v>
      </c>
      <c r="K1135" t="s">
        <v>11</v>
      </c>
    </row>
    <row r="1136" spans="1:11" x14ac:dyDescent="0.45">
      <c r="A1136">
        <v>7330</v>
      </c>
      <c r="B1136" s="15">
        <v>44200</v>
      </c>
      <c r="C1136" t="str">
        <f>TEXT(Table1[[#This Row],[Order Date]], "yyyy")</f>
        <v>2021</v>
      </c>
      <c r="D1136" t="str">
        <f>TEXT(Table1[[#This Row],[Order Date]], "mmmm")</f>
        <v>January</v>
      </c>
      <c r="E1136" s="16">
        <f>Table1[[#This Row],[Order Quantity]]*Table1[[#This Row],[Unit Price]]</f>
        <v>48465.9</v>
      </c>
      <c r="F1136">
        <v>70</v>
      </c>
      <c r="G1136" s="16">
        <v>692.37</v>
      </c>
      <c r="H1136" t="s">
        <v>464</v>
      </c>
      <c r="I1136" t="s">
        <v>592</v>
      </c>
      <c r="J1136" t="s">
        <v>20</v>
      </c>
      <c r="K1136" t="s">
        <v>15</v>
      </c>
    </row>
    <row r="1137" spans="1:11" x14ac:dyDescent="0.45">
      <c r="A1137">
        <v>7331</v>
      </c>
      <c r="B1137" s="15">
        <v>43902</v>
      </c>
      <c r="C1137" t="str">
        <f>TEXT(Table1[[#This Row],[Order Date]], "yyyy")</f>
        <v>2020</v>
      </c>
      <c r="D1137" t="str">
        <f>TEXT(Table1[[#This Row],[Order Date]], "mmmm")</f>
        <v>March</v>
      </c>
      <c r="E1137" s="16">
        <f>Table1[[#This Row],[Order Quantity]]*Table1[[#This Row],[Unit Price]]</f>
        <v>45811</v>
      </c>
      <c r="F1137">
        <v>100</v>
      </c>
      <c r="G1137" s="16">
        <v>458.11</v>
      </c>
      <c r="H1137" t="s">
        <v>464</v>
      </c>
      <c r="I1137" t="s">
        <v>593</v>
      </c>
      <c r="J1137" t="s">
        <v>13</v>
      </c>
      <c r="K1137" t="s">
        <v>15</v>
      </c>
    </row>
    <row r="1138" spans="1:11" x14ac:dyDescent="0.45">
      <c r="A1138">
        <v>7332</v>
      </c>
      <c r="B1138" s="15">
        <v>44198</v>
      </c>
      <c r="C1138" t="str">
        <f>TEXT(Table1[[#This Row],[Order Date]], "yyyy")</f>
        <v>2021</v>
      </c>
      <c r="D1138" t="str">
        <f>TEXT(Table1[[#This Row],[Order Date]], "mmmm")</f>
        <v>January</v>
      </c>
      <c r="E1138" s="16">
        <f>Table1[[#This Row],[Order Quantity]]*Table1[[#This Row],[Unit Price]]</f>
        <v>32340.84</v>
      </c>
      <c r="F1138">
        <v>28</v>
      </c>
      <c r="G1138" s="16">
        <v>1155.03</v>
      </c>
      <c r="H1138" t="s">
        <v>25</v>
      </c>
      <c r="I1138" t="s">
        <v>594</v>
      </c>
      <c r="J1138" t="s">
        <v>10</v>
      </c>
      <c r="K1138" t="s">
        <v>11</v>
      </c>
    </row>
    <row r="1139" spans="1:11" x14ac:dyDescent="0.45">
      <c r="A1139">
        <v>7333</v>
      </c>
      <c r="B1139" s="15">
        <v>43976</v>
      </c>
      <c r="C1139" t="str">
        <f>TEXT(Table1[[#This Row],[Order Date]], "yyyy")</f>
        <v>2020</v>
      </c>
      <c r="D1139" t="str">
        <f>TEXT(Table1[[#This Row],[Order Date]], "mmmm")</f>
        <v>May</v>
      </c>
      <c r="E1139" s="16">
        <f>Table1[[#This Row],[Order Quantity]]*Table1[[#This Row],[Unit Price]]</f>
        <v>3242.5199999999995</v>
      </c>
      <c r="F1139">
        <v>12</v>
      </c>
      <c r="G1139" s="16">
        <v>270.20999999999998</v>
      </c>
      <c r="H1139" t="s">
        <v>464</v>
      </c>
      <c r="I1139" t="s">
        <v>595</v>
      </c>
      <c r="J1139" t="s">
        <v>23</v>
      </c>
      <c r="K1139" t="s">
        <v>11</v>
      </c>
    </row>
    <row r="1140" spans="1:11" x14ac:dyDescent="0.45">
      <c r="A1140">
        <v>7334</v>
      </c>
      <c r="B1140" s="15">
        <v>43939</v>
      </c>
      <c r="C1140" t="str">
        <f>TEXT(Table1[[#This Row],[Order Date]], "yyyy")</f>
        <v>2020</v>
      </c>
      <c r="D1140" t="str">
        <f>TEXT(Table1[[#This Row],[Order Date]], "mmmm")</f>
        <v>April</v>
      </c>
      <c r="E1140" s="16">
        <f>Table1[[#This Row],[Order Quantity]]*Table1[[#This Row],[Unit Price]]</f>
        <v>29387.16</v>
      </c>
      <c r="F1140">
        <v>66</v>
      </c>
      <c r="G1140" s="16">
        <v>445.26</v>
      </c>
      <c r="H1140" t="s">
        <v>25</v>
      </c>
      <c r="I1140" t="s">
        <v>596</v>
      </c>
      <c r="J1140" t="s">
        <v>20</v>
      </c>
      <c r="K1140" t="s">
        <v>17</v>
      </c>
    </row>
    <row r="1141" spans="1:11" x14ac:dyDescent="0.45">
      <c r="A1141">
        <v>7335</v>
      </c>
      <c r="B1141" s="15">
        <v>43856</v>
      </c>
      <c r="C1141" t="str">
        <f>TEXT(Table1[[#This Row],[Order Date]], "yyyy")</f>
        <v>2020</v>
      </c>
      <c r="D1141" t="str">
        <f>TEXT(Table1[[#This Row],[Order Date]], "mmmm")</f>
        <v>January</v>
      </c>
      <c r="E1141" s="16">
        <f>Table1[[#This Row],[Order Quantity]]*Table1[[#This Row],[Unit Price]]</f>
        <v>90784</v>
      </c>
      <c r="F1141">
        <v>80</v>
      </c>
      <c r="G1141" s="16">
        <v>1134.8</v>
      </c>
      <c r="H1141" t="s">
        <v>464</v>
      </c>
      <c r="I1141" t="s">
        <v>597</v>
      </c>
      <c r="J1141" t="s">
        <v>20</v>
      </c>
      <c r="K1141" t="s">
        <v>17</v>
      </c>
    </row>
    <row r="1142" spans="1:11" x14ac:dyDescent="0.45">
      <c r="A1142">
        <v>7336</v>
      </c>
      <c r="B1142" s="15">
        <v>43850</v>
      </c>
      <c r="C1142" t="str">
        <f>TEXT(Table1[[#This Row],[Order Date]], "yyyy")</f>
        <v>2020</v>
      </c>
      <c r="D1142" t="str">
        <f>TEXT(Table1[[#This Row],[Order Date]], "mmmm")</f>
        <v>January</v>
      </c>
      <c r="E1142" s="16">
        <f>Table1[[#This Row],[Order Quantity]]*Table1[[#This Row],[Unit Price]]</f>
        <v>4976.88</v>
      </c>
      <c r="F1142">
        <v>4</v>
      </c>
      <c r="G1142" s="16">
        <v>1244.22</v>
      </c>
      <c r="H1142" t="s">
        <v>464</v>
      </c>
      <c r="I1142" t="s">
        <v>598</v>
      </c>
      <c r="J1142" t="s">
        <v>20</v>
      </c>
      <c r="K1142" t="s">
        <v>17</v>
      </c>
    </row>
    <row r="1143" spans="1:11" x14ac:dyDescent="0.45">
      <c r="A1143">
        <v>7337</v>
      </c>
      <c r="B1143" s="15">
        <v>43959</v>
      </c>
      <c r="C1143" t="str">
        <f>TEXT(Table1[[#This Row],[Order Date]], "yyyy")</f>
        <v>2020</v>
      </c>
      <c r="D1143" t="str">
        <f>TEXT(Table1[[#This Row],[Order Date]], "mmmm")</f>
        <v>May</v>
      </c>
      <c r="E1143" s="16">
        <f>Table1[[#This Row],[Order Quantity]]*Table1[[#This Row],[Unit Price]]</f>
        <v>21255.27</v>
      </c>
      <c r="F1143">
        <v>17</v>
      </c>
      <c r="G1143" s="16">
        <v>1250.31</v>
      </c>
      <c r="H1143" t="s">
        <v>464</v>
      </c>
      <c r="I1143" t="s">
        <v>599</v>
      </c>
      <c r="J1143" t="s">
        <v>23</v>
      </c>
      <c r="K1143" t="s">
        <v>17</v>
      </c>
    </row>
    <row r="1144" spans="1:11" x14ac:dyDescent="0.45">
      <c r="A1144">
        <v>7338</v>
      </c>
      <c r="B1144" s="15">
        <v>44106</v>
      </c>
      <c r="C1144" t="str">
        <f>TEXT(Table1[[#This Row],[Order Date]], "yyyy")</f>
        <v>2020</v>
      </c>
      <c r="D1144" t="str">
        <f>TEXT(Table1[[#This Row],[Order Date]], "mmmm")</f>
        <v>October</v>
      </c>
      <c r="E1144" s="16">
        <f>Table1[[#This Row],[Order Quantity]]*Table1[[#This Row],[Unit Price]]</f>
        <v>15222.24</v>
      </c>
      <c r="F1144">
        <v>24</v>
      </c>
      <c r="G1144" s="16">
        <v>634.26</v>
      </c>
      <c r="H1144" t="s">
        <v>25</v>
      </c>
      <c r="I1144" t="s">
        <v>600</v>
      </c>
      <c r="J1144" t="s">
        <v>20</v>
      </c>
      <c r="K1144" t="s">
        <v>15</v>
      </c>
    </row>
    <row r="1145" spans="1:11" x14ac:dyDescent="0.45">
      <c r="A1145">
        <v>7339</v>
      </c>
      <c r="B1145" s="15">
        <v>43848</v>
      </c>
      <c r="C1145" t="str">
        <f>TEXT(Table1[[#This Row],[Order Date]], "yyyy")</f>
        <v>2020</v>
      </c>
      <c r="D1145" t="str">
        <f>TEXT(Table1[[#This Row],[Order Date]], "mmmm")</f>
        <v>January</v>
      </c>
      <c r="E1145" s="16">
        <f>Table1[[#This Row],[Order Quantity]]*Table1[[#This Row],[Unit Price]]</f>
        <v>6225</v>
      </c>
      <c r="F1145">
        <v>100</v>
      </c>
      <c r="G1145" s="16">
        <v>62.25</v>
      </c>
      <c r="H1145" t="s">
        <v>8</v>
      </c>
      <c r="I1145" t="s">
        <v>601</v>
      </c>
      <c r="J1145" t="s">
        <v>23</v>
      </c>
      <c r="K1145" t="s">
        <v>17</v>
      </c>
    </row>
    <row r="1146" spans="1:11" x14ac:dyDescent="0.45">
      <c r="A1146">
        <v>7340</v>
      </c>
      <c r="B1146" s="15">
        <v>43993</v>
      </c>
      <c r="C1146" t="str">
        <f>TEXT(Table1[[#This Row],[Order Date]], "yyyy")</f>
        <v>2020</v>
      </c>
      <c r="D1146" t="str">
        <f>TEXT(Table1[[#This Row],[Order Date]], "mmmm")</f>
        <v>June</v>
      </c>
      <c r="E1146" s="16">
        <f>Table1[[#This Row],[Order Quantity]]*Table1[[#This Row],[Unit Price]]</f>
        <v>28670.25</v>
      </c>
      <c r="F1146">
        <v>25</v>
      </c>
      <c r="G1146" s="16">
        <v>1146.81</v>
      </c>
      <c r="H1146" t="s">
        <v>25</v>
      </c>
      <c r="I1146" t="s">
        <v>602</v>
      </c>
      <c r="J1146" t="s">
        <v>10</v>
      </c>
      <c r="K1146" t="s">
        <v>11</v>
      </c>
    </row>
    <row r="1147" spans="1:11" x14ac:dyDescent="0.45">
      <c r="A1147">
        <v>7341</v>
      </c>
      <c r="B1147" s="15">
        <v>44149</v>
      </c>
      <c r="C1147" t="str">
        <f>TEXT(Table1[[#This Row],[Order Date]], "yyyy")</f>
        <v>2020</v>
      </c>
      <c r="D1147" t="str">
        <f>TEXT(Table1[[#This Row],[Order Date]], "mmmm")</f>
        <v>November</v>
      </c>
      <c r="E1147" s="16">
        <f>Table1[[#This Row],[Order Quantity]]*Table1[[#This Row],[Unit Price]]</f>
        <v>23633.82</v>
      </c>
      <c r="F1147">
        <v>18</v>
      </c>
      <c r="G1147" s="16">
        <v>1312.99</v>
      </c>
      <c r="H1147" t="s">
        <v>464</v>
      </c>
      <c r="I1147" t="s">
        <v>603</v>
      </c>
      <c r="J1147" t="s">
        <v>20</v>
      </c>
      <c r="K1147" t="s">
        <v>11</v>
      </c>
    </row>
    <row r="1148" spans="1:11" x14ac:dyDescent="0.45">
      <c r="A1148">
        <v>7342</v>
      </c>
      <c r="B1148" s="15">
        <v>44084</v>
      </c>
      <c r="C1148" t="str">
        <f>TEXT(Table1[[#This Row],[Order Date]], "yyyy")</f>
        <v>2020</v>
      </c>
      <c r="D1148" t="str">
        <f>TEXT(Table1[[#This Row],[Order Date]], "mmmm")</f>
        <v>September</v>
      </c>
      <c r="E1148" s="16">
        <f>Table1[[#This Row],[Order Quantity]]*Table1[[#This Row],[Unit Price]]</f>
        <v>24417.360000000001</v>
      </c>
      <c r="F1148">
        <v>72</v>
      </c>
      <c r="G1148" s="16">
        <v>339.13</v>
      </c>
      <c r="H1148" t="s">
        <v>464</v>
      </c>
      <c r="I1148" t="s">
        <v>604</v>
      </c>
      <c r="J1148" t="s">
        <v>13</v>
      </c>
      <c r="K1148" t="s">
        <v>17</v>
      </c>
    </row>
    <row r="1149" spans="1:11" x14ac:dyDescent="0.45">
      <c r="A1149">
        <v>7343</v>
      </c>
      <c r="B1149" s="15">
        <v>44186</v>
      </c>
      <c r="C1149" t="str">
        <f>TEXT(Table1[[#This Row],[Order Date]], "yyyy")</f>
        <v>2020</v>
      </c>
      <c r="D1149" t="str">
        <f>TEXT(Table1[[#This Row],[Order Date]], "mmmm")</f>
        <v>December</v>
      </c>
      <c r="E1149" s="16">
        <f>Table1[[#This Row],[Order Quantity]]*Table1[[#This Row],[Unit Price]]</f>
        <v>24336</v>
      </c>
      <c r="F1149">
        <v>80</v>
      </c>
      <c r="G1149" s="16">
        <v>304.2</v>
      </c>
      <c r="H1149" t="s">
        <v>8</v>
      </c>
      <c r="I1149" t="s">
        <v>605</v>
      </c>
      <c r="J1149" t="s">
        <v>13</v>
      </c>
      <c r="K1149" t="s">
        <v>11</v>
      </c>
    </row>
    <row r="1150" spans="1:11" x14ac:dyDescent="0.45">
      <c r="A1150">
        <v>7344</v>
      </c>
      <c r="B1150" s="15">
        <v>44102</v>
      </c>
      <c r="C1150" t="str">
        <f>TEXT(Table1[[#This Row],[Order Date]], "yyyy")</f>
        <v>2020</v>
      </c>
      <c r="D1150" t="str">
        <f>TEXT(Table1[[#This Row],[Order Date]], "mmmm")</f>
        <v>September</v>
      </c>
      <c r="E1150" s="16">
        <f>Table1[[#This Row],[Order Quantity]]*Table1[[#This Row],[Unit Price]]</f>
        <v>24893.05</v>
      </c>
      <c r="F1150">
        <v>91</v>
      </c>
      <c r="G1150" s="16">
        <v>273.55</v>
      </c>
      <c r="H1150" t="s">
        <v>8</v>
      </c>
      <c r="I1150" t="s">
        <v>606</v>
      </c>
      <c r="J1150" t="s">
        <v>13</v>
      </c>
      <c r="K1150" t="s">
        <v>11</v>
      </c>
    </row>
    <row r="1151" spans="1:11" x14ac:dyDescent="0.45">
      <c r="A1151">
        <v>7345</v>
      </c>
      <c r="B1151" s="15">
        <v>44115</v>
      </c>
      <c r="C1151" t="str">
        <f>TEXT(Table1[[#This Row],[Order Date]], "yyyy")</f>
        <v>2020</v>
      </c>
      <c r="D1151" t="str">
        <f>TEXT(Table1[[#This Row],[Order Date]], "mmmm")</f>
        <v>October</v>
      </c>
      <c r="E1151" s="16">
        <f>Table1[[#This Row],[Order Quantity]]*Table1[[#This Row],[Unit Price]]</f>
        <v>8888.8799999999992</v>
      </c>
      <c r="F1151">
        <v>56</v>
      </c>
      <c r="G1151" s="16">
        <v>158.72999999999999</v>
      </c>
      <c r="H1151" t="s">
        <v>25</v>
      </c>
      <c r="I1151" t="s">
        <v>607</v>
      </c>
      <c r="J1151" t="s">
        <v>13</v>
      </c>
      <c r="K1151" t="s">
        <v>17</v>
      </c>
    </row>
    <row r="1152" spans="1:11" x14ac:dyDescent="0.45">
      <c r="A1152">
        <v>7346</v>
      </c>
      <c r="B1152" s="15">
        <v>44106</v>
      </c>
      <c r="C1152" t="str">
        <f>TEXT(Table1[[#This Row],[Order Date]], "yyyy")</f>
        <v>2020</v>
      </c>
      <c r="D1152" t="str">
        <f>TEXT(Table1[[#This Row],[Order Date]], "mmmm")</f>
        <v>October</v>
      </c>
      <c r="E1152" s="16">
        <f>Table1[[#This Row],[Order Quantity]]*Table1[[#This Row],[Unit Price]]</f>
        <v>7083.9599999999991</v>
      </c>
      <c r="F1152">
        <v>38</v>
      </c>
      <c r="G1152" s="16">
        <v>186.42</v>
      </c>
      <c r="H1152" t="s">
        <v>464</v>
      </c>
      <c r="I1152" t="s">
        <v>608</v>
      </c>
      <c r="J1152" t="s">
        <v>13</v>
      </c>
      <c r="K1152" t="s">
        <v>15</v>
      </c>
    </row>
    <row r="1153" spans="1:11" x14ac:dyDescent="0.45">
      <c r="A1153">
        <v>7347</v>
      </c>
      <c r="B1153" s="15">
        <v>43864</v>
      </c>
      <c r="C1153" t="str">
        <f>TEXT(Table1[[#This Row],[Order Date]], "yyyy")</f>
        <v>2020</v>
      </c>
      <c r="D1153" t="str">
        <f>TEXT(Table1[[#This Row],[Order Date]], "mmmm")</f>
        <v>February</v>
      </c>
      <c r="E1153" s="16">
        <f>Table1[[#This Row],[Order Quantity]]*Table1[[#This Row],[Unit Price]]</f>
        <v>74275</v>
      </c>
      <c r="F1153">
        <v>50</v>
      </c>
      <c r="G1153" s="16">
        <v>1485.5</v>
      </c>
      <c r="H1153" t="s">
        <v>25</v>
      </c>
      <c r="I1153" t="s">
        <v>609</v>
      </c>
      <c r="J1153" t="s">
        <v>13</v>
      </c>
      <c r="K1153" t="s">
        <v>15</v>
      </c>
    </row>
    <row r="1154" spans="1:11" x14ac:dyDescent="0.45">
      <c r="A1154">
        <v>7348</v>
      </c>
      <c r="B1154" s="15">
        <v>43874</v>
      </c>
      <c r="C1154" t="str">
        <f>TEXT(Table1[[#This Row],[Order Date]], "yyyy")</f>
        <v>2020</v>
      </c>
      <c r="D1154" t="str">
        <f>TEXT(Table1[[#This Row],[Order Date]], "mmmm")</f>
        <v>February</v>
      </c>
      <c r="E1154" s="16">
        <f>Table1[[#This Row],[Order Quantity]]*Table1[[#This Row],[Unit Price]]</f>
        <v>106338.87000000001</v>
      </c>
      <c r="F1154">
        <v>99</v>
      </c>
      <c r="G1154" s="16">
        <v>1074.1300000000001</v>
      </c>
      <c r="H1154" t="s">
        <v>464</v>
      </c>
      <c r="I1154" t="s">
        <v>610</v>
      </c>
      <c r="J1154" t="s">
        <v>13</v>
      </c>
      <c r="K1154" t="s">
        <v>11</v>
      </c>
    </row>
    <row r="1155" spans="1:11" x14ac:dyDescent="0.45">
      <c r="A1155">
        <v>7349</v>
      </c>
      <c r="B1155" s="15">
        <v>44048</v>
      </c>
      <c r="C1155" t="str">
        <f>TEXT(Table1[[#This Row],[Order Date]], "yyyy")</f>
        <v>2020</v>
      </c>
      <c r="D1155" t="str">
        <f>TEXT(Table1[[#This Row],[Order Date]], "mmmm")</f>
        <v>August</v>
      </c>
      <c r="E1155" s="16">
        <f>Table1[[#This Row],[Order Quantity]]*Table1[[#This Row],[Unit Price]]</f>
        <v>370.6</v>
      </c>
      <c r="F1155">
        <v>2</v>
      </c>
      <c r="G1155" s="16">
        <v>185.3</v>
      </c>
      <c r="H1155" t="s">
        <v>25</v>
      </c>
      <c r="I1155" t="s">
        <v>611</v>
      </c>
      <c r="J1155" t="s">
        <v>23</v>
      </c>
      <c r="K1155" t="s">
        <v>15</v>
      </c>
    </row>
    <row r="1156" spans="1:11" x14ac:dyDescent="0.45">
      <c r="A1156">
        <v>7350</v>
      </c>
      <c r="B1156" s="15">
        <v>43969</v>
      </c>
      <c r="C1156" t="str">
        <f>TEXT(Table1[[#This Row],[Order Date]], "yyyy")</f>
        <v>2020</v>
      </c>
      <c r="D1156" t="str">
        <f>TEXT(Table1[[#This Row],[Order Date]], "mmmm")</f>
        <v>May</v>
      </c>
      <c r="E1156" s="16">
        <f>Table1[[#This Row],[Order Quantity]]*Table1[[#This Row],[Unit Price]]</f>
        <v>22399.200000000001</v>
      </c>
      <c r="F1156">
        <v>45</v>
      </c>
      <c r="G1156" s="16">
        <v>497.76</v>
      </c>
      <c r="H1156" t="s">
        <v>8</v>
      </c>
      <c r="I1156" t="s">
        <v>612</v>
      </c>
      <c r="J1156" t="s">
        <v>20</v>
      </c>
      <c r="K1156" t="s">
        <v>15</v>
      </c>
    </row>
    <row r="1157" spans="1:11" x14ac:dyDescent="0.45">
      <c r="A1157">
        <v>7351</v>
      </c>
      <c r="B1157" s="15">
        <v>43890</v>
      </c>
      <c r="C1157" t="str">
        <f>TEXT(Table1[[#This Row],[Order Date]], "yyyy")</f>
        <v>2020</v>
      </c>
      <c r="D1157" t="str">
        <f>TEXT(Table1[[#This Row],[Order Date]], "mmmm")</f>
        <v>February</v>
      </c>
      <c r="E1157" s="16">
        <f>Table1[[#This Row],[Order Quantity]]*Table1[[#This Row],[Unit Price]]</f>
        <v>26298.16</v>
      </c>
      <c r="F1157">
        <v>56</v>
      </c>
      <c r="G1157" s="16">
        <v>469.61</v>
      </c>
      <c r="H1157" t="s">
        <v>464</v>
      </c>
      <c r="I1157" t="s">
        <v>613</v>
      </c>
      <c r="J1157" t="s">
        <v>13</v>
      </c>
      <c r="K1157" t="s">
        <v>11</v>
      </c>
    </row>
    <row r="1158" spans="1:11" x14ac:dyDescent="0.45">
      <c r="A1158">
        <v>7352</v>
      </c>
      <c r="B1158" s="15">
        <v>44136</v>
      </c>
      <c r="C1158" t="str">
        <f>TEXT(Table1[[#This Row],[Order Date]], "yyyy")</f>
        <v>2020</v>
      </c>
      <c r="D1158" t="str">
        <f>TEXT(Table1[[#This Row],[Order Date]], "mmmm")</f>
        <v>November</v>
      </c>
      <c r="E1158" s="16">
        <f>Table1[[#This Row],[Order Quantity]]*Table1[[#This Row],[Unit Price]]</f>
        <v>12051.599999999999</v>
      </c>
      <c r="F1158">
        <v>24</v>
      </c>
      <c r="G1158" s="16">
        <v>502.15</v>
      </c>
      <c r="H1158" t="s">
        <v>464</v>
      </c>
      <c r="I1158" t="s">
        <v>614</v>
      </c>
      <c r="J1158" t="s">
        <v>10</v>
      </c>
      <c r="K1158" t="s">
        <v>11</v>
      </c>
    </row>
    <row r="1159" spans="1:11" x14ac:dyDescent="0.45">
      <c r="A1159">
        <v>7353</v>
      </c>
      <c r="B1159" s="15">
        <v>44186</v>
      </c>
      <c r="C1159" t="str">
        <f>TEXT(Table1[[#This Row],[Order Date]], "yyyy")</f>
        <v>2020</v>
      </c>
      <c r="D1159" t="str">
        <f>TEXT(Table1[[#This Row],[Order Date]], "mmmm")</f>
        <v>December</v>
      </c>
      <c r="E1159" s="16">
        <f>Table1[[#This Row],[Order Quantity]]*Table1[[#This Row],[Unit Price]]</f>
        <v>30177.399999999998</v>
      </c>
      <c r="F1159">
        <v>43</v>
      </c>
      <c r="G1159" s="16">
        <v>701.8</v>
      </c>
      <c r="H1159" t="s">
        <v>464</v>
      </c>
      <c r="I1159" t="s">
        <v>615</v>
      </c>
      <c r="J1159" t="s">
        <v>10</v>
      </c>
      <c r="K1159" t="s">
        <v>15</v>
      </c>
    </row>
    <row r="1160" spans="1:11" x14ac:dyDescent="0.45">
      <c r="A1160">
        <v>7354</v>
      </c>
      <c r="B1160" s="15">
        <v>44099</v>
      </c>
      <c r="C1160" t="str">
        <f>TEXT(Table1[[#This Row],[Order Date]], "yyyy")</f>
        <v>2020</v>
      </c>
      <c r="D1160" t="str">
        <f>TEXT(Table1[[#This Row],[Order Date]], "mmmm")</f>
        <v>September</v>
      </c>
      <c r="E1160" s="16">
        <f>Table1[[#This Row],[Order Quantity]]*Table1[[#This Row],[Unit Price]]</f>
        <v>9971.64</v>
      </c>
      <c r="F1160">
        <v>84</v>
      </c>
      <c r="G1160" s="16">
        <v>118.71</v>
      </c>
      <c r="H1160" t="s">
        <v>25</v>
      </c>
      <c r="I1160" t="s">
        <v>616</v>
      </c>
      <c r="J1160" t="s">
        <v>10</v>
      </c>
      <c r="K1160" t="s">
        <v>15</v>
      </c>
    </row>
    <row r="1161" spans="1:11" x14ac:dyDescent="0.45">
      <c r="A1161">
        <v>7355</v>
      </c>
      <c r="B1161" s="15">
        <v>44009</v>
      </c>
      <c r="C1161" t="str">
        <f>TEXT(Table1[[#This Row],[Order Date]], "yyyy")</f>
        <v>2020</v>
      </c>
      <c r="D1161" t="str">
        <f>TEXT(Table1[[#This Row],[Order Date]], "mmmm")</f>
        <v>June</v>
      </c>
      <c r="E1161" s="16">
        <f>Table1[[#This Row],[Order Quantity]]*Table1[[#This Row],[Unit Price]]</f>
        <v>60803.43</v>
      </c>
      <c r="F1161">
        <v>47</v>
      </c>
      <c r="G1161" s="16">
        <v>1293.69</v>
      </c>
      <c r="H1161" t="s">
        <v>464</v>
      </c>
      <c r="I1161" t="s">
        <v>617</v>
      </c>
      <c r="J1161" t="s">
        <v>10</v>
      </c>
      <c r="K1161" t="s">
        <v>17</v>
      </c>
    </row>
    <row r="1162" spans="1:11" x14ac:dyDescent="0.45">
      <c r="A1162">
        <v>7356</v>
      </c>
      <c r="B1162" s="15">
        <v>43877</v>
      </c>
      <c r="C1162" t="str">
        <f>TEXT(Table1[[#This Row],[Order Date]], "yyyy")</f>
        <v>2020</v>
      </c>
      <c r="D1162" t="str">
        <f>TEXT(Table1[[#This Row],[Order Date]], "mmmm")</f>
        <v>February</v>
      </c>
      <c r="E1162" s="16">
        <f>Table1[[#This Row],[Order Quantity]]*Table1[[#This Row],[Unit Price]]</f>
        <v>25354.799999999999</v>
      </c>
      <c r="F1162">
        <v>36</v>
      </c>
      <c r="G1162" s="16">
        <v>704.3</v>
      </c>
      <c r="H1162" t="s">
        <v>464</v>
      </c>
      <c r="I1162" t="s">
        <v>618</v>
      </c>
      <c r="J1162" t="s">
        <v>10</v>
      </c>
      <c r="K1162" t="s">
        <v>11</v>
      </c>
    </row>
    <row r="1163" spans="1:11" x14ac:dyDescent="0.45">
      <c r="A1163">
        <v>7357</v>
      </c>
      <c r="B1163" s="15">
        <v>44001</v>
      </c>
      <c r="C1163" t="str">
        <f>TEXT(Table1[[#This Row],[Order Date]], "yyyy")</f>
        <v>2020</v>
      </c>
      <c r="D1163" t="str">
        <f>TEXT(Table1[[#This Row],[Order Date]], "mmmm")</f>
        <v>June</v>
      </c>
      <c r="E1163" s="16">
        <f>Table1[[#This Row],[Order Quantity]]*Table1[[#This Row],[Unit Price]]</f>
        <v>47064.479999999996</v>
      </c>
      <c r="F1163">
        <v>48</v>
      </c>
      <c r="G1163" s="16">
        <v>980.51</v>
      </c>
      <c r="H1163" t="s">
        <v>8</v>
      </c>
      <c r="I1163" t="s">
        <v>619</v>
      </c>
      <c r="J1163" t="s">
        <v>20</v>
      </c>
      <c r="K1163" t="s">
        <v>17</v>
      </c>
    </row>
    <row r="1164" spans="1:11" x14ac:dyDescent="0.45">
      <c r="A1164">
        <v>7358</v>
      </c>
      <c r="B1164" s="15">
        <v>44077</v>
      </c>
      <c r="C1164" t="str">
        <f>TEXT(Table1[[#This Row],[Order Date]], "yyyy")</f>
        <v>2020</v>
      </c>
      <c r="D1164" t="str">
        <f>TEXT(Table1[[#This Row],[Order Date]], "mmmm")</f>
        <v>September</v>
      </c>
      <c r="E1164" s="16">
        <f>Table1[[#This Row],[Order Quantity]]*Table1[[#This Row],[Unit Price]]</f>
        <v>6944.8499999999995</v>
      </c>
      <c r="F1164">
        <v>33</v>
      </c>
      <c r="G1164" s="16">
        <v>210.45</v>
      </c>
      <c r="H1164" t="s">
        <v>25</v>
      </c>
      <c r="I1164" t="s">
        <v>620</v>
      </c>
      <c r="J1164" t="s">
        <v>23</v>
      </c>
      <c r="K1164" t="s">
        <v>17</v>
      </c>
    </row>
    <row r="1165" spans="1:11" x14ac:dyDescent="0.45">
      <c r="A1165">
        <v>7359</v>
      </c>
      <c r="B1165" s="15">
        <v>44130</v>
      </c>
      <c r="C1165" t="str">
        <f>TEXT(Table1[[#This Row],[Order Date]], "yyyy")</f>
        <v>2020</v>
      </c>
      <c r="D1165" t="str">
        <f>TEXT(Table1[[#This Row],[Order Date]], "mmmm")</f>
        <v>October</v>
      </c>
      <c r="E1165" s="16">
        <f>Table1[[#This Row],[Order Quantity]]*Table1[[#This Row],[Unit Price]]</f>
        <v>8237.52</v>
      </c>
      <c r="F1165">
        <v>24</v>
      </c>
      <c r="G1165" s="16">
        <v>343.23</v>
      </c>
      <c r="H1165" t="s">
        <v>25</v>
      </c>
      <c r="I1165" t="s">
        <v>621</v>
      </c>
      <c r="J1165" t="s">
        <v>20</v>
      </c>
      <c r="K1165" t="s">
        <v>17</v>
      </c>
    </row>
    <row r="1166" spans="1:11" x14ac:dyDescent="0.45">
      <c r="A1166">
        <v>7360</v>
      </c>
      <c r="B1166" s="15">
        <v>44056</v>
      </c>
      <c r="C1166" t="str">
        <f>TEXT(Table1[[#This Row],[Order Date]], "yyyy")</f>
        <v>2020</v>
      </c>
      <c r="D1166" t="str">
        <f>TEXT(Table1[[#This Row],[Order Date]], "mmmm")</f>
        <v>August</v>
      </c>
      <c r="E1166" s="16">
        <f>Table1[[#This Row],[Order Quantity]]*Table1[[#This Row],[Unit Price]]</f>
        <v>89592.34</v>
      </c>
      <c r="F1166">
        <v>94</v>
      </c>
      <c r="G1166" s="16">
        <v>953.11</v>
      </c>
      <c r="H1166" t="s">
        <v>464</v>
      </c>
      <c r="I1166" t="s">
        <v>622</v>
      </c>
      <c r="J1166" t="s">
        <v>13</v>
      </c>
      <c r="K1166" t="s">
        <v>17</v>
      </c>
    </row>
    <row r="1167" spans="1:11" x14ac:dyDescent="0.45">
      <c r="A1167">
        <v>7361</v>
      </c>
      <c r="B1167" s="15">
        <v>43870</v>
      </c>
      <c r="C1167" t="str">
        <f>TEXT(Table1[[#This Row],[Order Date]], "yyyy")</f>
        <v>2020</v>
      </c>
      <c r="D1167" t="str">
        <f>TEXT(Table1[[#This Row],[Order Date]], "mmmm")</f>
        <v>February</v>
      </c>
      <c r="E1167" s="16">
        <f>Table1[[#This Row],[Order Quantity]]*Table1[[#This Row],[Unit Price]]</f>
        <v>44945.16</v>
      </c>
      <c r="F1167">
        <v>78</v>
      </c>
      <c r="G1167" s="16">
        <v>576.22</v>
      </c>
      <c r="H1167" t="s">
        <v>464</v>
      </c>
      <c r="I1167" t="s">
        <v>623</v>
      </c>
      <c r="J1167" t="s">
        <v>23</v>
      </c>
      <c r="K1167" t="s">
        <v>15</v>
      </c>
    </row>
    <row r="1168" spans="1:11" x14ac:dyDescent="0.45">
      <c r="A1168">
        <v>7362</v>
      </c>
      <c r="B1168" s="15">
        <v>44016</v>
      </c>
      <c r="C1168" t="str">
        <f>TEXT(Table1[[#This Row],[Order Date]], "yyyy")</f>
        <v>2020</v>
      </c>
      <c r="D1168" t="str">
        <f>TEXT(Table1[[#This Row],[Order Date]], "mmmm")</f>
        <v>July</v>
      </c>
      <c r="E1168" s="16">
        <f>Table1[[#This Row],[Order Quantity]]*Table1[[#This Row],[Unit Price]]</f>
        <v>2940.7499999999995</v>
      </c>
      <c r="F1168">
        <v>45</v>
      </c>
      <c r="G1168" s="16">
        <v>65.349999999999994</v>
      </c>
      <c r="H1168" t="s">
        <v>25</v>
      </c>
      <c r="I1168" t="s">
        <v>624</v>
      </c>
      <c r="J1168" t="s">
        <v>23</v>
      </c>
      <c r="K1168" t="s">
        <v>15</v>
      </c>
    </row>
    <row r="1169" spans="1:11" x14ac:dyDescent="0.45">
      <c r="A1169">
        <v>7363</v>
      </c>
      <c r="B1169" s="15">
        <v>44058</v>
      </c>
      <c r="C1169" t="str">
        <f>TEXT(Table1[[#This Row],[Order Date]], "yyyy")</f>
        <v>2020</v>
      </c>
      <c r="D1169" t="str">
        <f>TEXT(Table1[[#This Row],[Order Date]], "mmmm")</f>
        <v>August</v>
      </c>
      <c r="E1169" s="16">
        <f>Table1[[#This Row],[Order Quantity]]*Table1[[#This Row],[Unit Price]]</f>
        <v>58551.35</v>
      </c>
      <c r="F1169">
        <v>65</v>
      </c>
      <c r="G1169" s="16">
        <v>900.79</v>
      </c>
      <c r="H1169" t="s">
        <v>25</v>
      </c>
      <c r="I1169" t="s">
        <v>625</v>
      </c>
      <c r="J1169" t="s">
        <v>23</v>
      </c>
      <c r="K1169" t="s">
        <v>11</v>
      </c>
    </row>
    <row r="1170" spans="1:11" x14ac:dyDescent="0.45">
      <c r="A1170">
        <v>7364</v>
      </c>
      <c r="B1170" s="15">
        <v>44079</v>
      </c>
      <c r="C1170" t="str">
        <f>TEXT(Table1[[#This Row],[Order Date]], "yyyy")</f>
        <v>2020</v>
      </c>
      <c r="D1170" t="str">
        <f>TEXT(Table1[[#This Row],[Order Date]], "mmmm")</f>
        <v>September</v>
      </c>
      <c r="E1170" s="16">
        <f>Table1[[#This Row],[Order Quantity]]*Table1[[#This Row],[Unit Price]]</f>
        <v>59679.48</v>
      </c>
      <c r="F1170">
        <v>42</v>
      </c>
      <c r="G1170" s="16">
        <v>1420.94</v>
      </c>
      <c r="H1170" t="s">
        <v>8</v>
      </c>
      <c r="I1170" t="s">
        <v>626</v>
      </c>
      <c r="J1170" t="s">
        <v>23</v>
      </c>
      <c r="K1170" t="s">
        <v>11</v>
      </c>
    </row>
    <row r="1171" spans="1:11" x14ac:dyDescent="0.45">
      <c r="A1171">
        <v>7365</v>
      </c>
      <c r="B1171" s="15">
        <v>44101</v>
      </c>
      <c r="C1171" t="str">
        <f>TEXT(Table1[[#This Row],[Order Date]], "yyyy")</f>
        <v>2020</v>
      </c>
      <c r="D1171" t="str">
        <f>TEXT(Table1[[#This Row],[Order Date]], "mmmm")</f>
        <v>September</v>
      </c>
      <c r="E1171" s="16">
        <f>Table1[[#This Row],[Order Quantity]]*Table1[[#This Row],[Unit Price]]</f>
        <v>3383.65</v>
      </c>
      <c r="F1171">
        <v>37</v>
      </c>
      <c r="G1171" s="16">
        <v>91.45</v>
      </c>
      <c r="H1171" t="s">
        <v>8</v>
      </c>
      <c r="I1171" t="s">
        <v>627</v>
      </c>
      <c r="J1171" t="s">
        <v>13</v>
      </c>
      <c r="K1171" t="s">
        <v>17</v>
      </c>
    </row>
    <row r="1172" spans="1:11" x14ac:dyDescent="0.45">
      <c r="A1172">
        <v>7366</v>
      </c>
      <c r="B1172" s="15">
        <v>44197</v>
      </c>
      <c r="C1172" t="str">
        <f>TEXT(Table1[[#This Row],[Order Date]], "yyyy")</f>
        <v>2021</v>
      </c>
      <c r="D1172" t="str">
        <f>TEXT(Table1[[#This Row],[Order Date]], "mmmm")</f>
        <v>January</v>
      </c>
      <c r="E1172" s="16">
        <f>Table1[[#This Row],[Order Quantity]]*Table1[[#This Row],[Unit Price]]</f>
        <v>15918.4</v>
      </c>
      <c r="F1172">
        <v>20</v>
      </c>
      <c r="G1172" s="16">
        <v>795.92</v>
      </c>
      <c r="H1172" t="s">
        <v>464</v>
      </c>
      <c r="I1172" t="s">
        <v>628</v>
      </c>
      <c r="J1172" t="s">
        <v>20</v>
      </c>
      <c r="K1172" t="s">
        <v>17</v>
      </c>
    </row>
    <row r="1173" spans="1:11" x14ac:dyDescent="0.45">
      <c r="A1173">
        <v>7367</v>
      </c>
      <c r="B1173" s="15">
        <v>44149</v>
      </c>
      <c r="C1173" t="str">
        <f>TEXT(Table1[[#This Row],[Order Date]], "yyyy")</f>
        <v>2020</v>
      </c>
      <c r="D1173" t="str">
        <f>TEXT(Table1[[#This Row],[Order Date]], "mmmm")</f>
        <v>November</v>
      </c>
      <c r="E1173" s="16">
        <f>Table1[[#This Row],[Order Quantity]]*Table1[[#This Row],[Unit Price]]</f>
        <v>5875.59</v>
      </c>
      <c r="F1173">
        <v>21</v>
      </c>
      <c r="G1173" s="16">
        <v>279.79000000000002</v>
      </c>
      <c r="H1173" t="s">
        <v>25</v>
      </c>
      <c r="I1173" t="s">
        <v>629</v>
      </c>
      <c r="J1173" t="s">
        <v>20</v>
      </c>
      <c r="K1173" t="s">
        <v>17</v>
      </c>
    </row>
    <row r="1174" spans="1:11" x14ac:dyDescent="0.45">
      <c r="A1174">
        <v>7368</v>
      </c>
      <c r="B1174" s="15">
        <v>44199</v>
      </c>
      <c r="C1174" t="str">
        <f>TEXT(Table1[[#This Row],[Order Date]], "yyyy")</f>
        <v>2021</v>
      </c>
      <c r="D1174" t="str">
        <f>TEXT(Table1[[#This Row],[Order Date]], "mmmm")</f>
        <v>January</v>
      </c>
      <c r="E1174" s="16">
        <f>Table1[[#This Row],[Order Quantity]]*Table1[[#This Row],[Unit Price]]</f>
        <v>77607.92</v>
      </c>
      <c r="F1174">
        <v>52</v>
      </c>
      <c r="G1174" s="16">
        <v>1492.46</v>
      </c>
      <c r="H1174" t="s">
        <v>25</v>
      </c>
      <c r="I1174" t="s">
        <v>630</v>
      </c>
      <c r="J1174" t="s">
        <v>10</v>
      </c>
      <c r="K1174" t="s">
        <v>11</v>
      </c>
    </row>
    <row r="1175" spans="1:11" x14ac:dyDescent="0.45">
      <c r="A1175">
        <v>7369</v>
      </c>
      <c r="B1175" s="15">
        <v>43847</v>
      </c>
      <c r="C1175" t="str">
        <f>TEXT(Table1[[#This Row],[Order Date]], "yyyy")</f>
        <v>2020</v>
      </c>
      <c r="D1175" t="str">
        <f>TEXT(Table1[[#This Row],[Order Date]], "mmmm")</f>
        <v>January</v>
      </c>
      <c r="E1175" s="16">
        <f>Table1[[#This Row],[Order Quantity]]*Table1[[#This Row],[Unit Price]]</f>
        <v>50863.45</v>
      </c>
      <c r="F1175">
        <v>55</v>
      </c>
      <c r="G1175" s="16">
        <v>924.79</v>
      </c>
      <c r="H1175" t="s">
        <v>25</v>
      </c>
      <c r="I1175" t="s">
        <v>631</v>
      </c>
      <c r="J1175" t="s">
        <v>20</v>
      </c>
      <c r="K1175" t="s">
        <v>17</v>
      </c>
    </row>
    <row r="1176" spans="1:11" x14ac:dyDescent="0.45">
      <c r="A1176">
        <v>7370</v>
      </c>
      <c r="B1176" s="15">
        <v>44094</v>
      </c>
      <c r="C1176" t="str">
        <f>TEXT(Table1[[#This Row],[Order Date]], "yyyy")</f>
        <v>2020</v>
      </c>
      <c r="D1176" t="str">
        <f>TEXT(Table1[[#This Row],[Order Date]], "mmmm")</f>
        <v>September</v>
      </c>
      <c r="E1176" s="16">
        <f>Table1[[#This Row],[Order Quantity]]*Table1[[#This Row],[Unit Price]]</f>
        <v>19260.919999999998</v>
      </c>
      <c r="F1176">
        <v>49</v>
      </c>
      <c r="G1176" s="16">
        <v>393.08</v>
      </c>
      <c r="H1176" t="s">
        <v>464</v>
      </c>
      <c r="I1176" t="s">
        <v>632</v>
      </c>
      <c r="J1176" t="s">
        <v>20</v>
      </c>
      <c r="K1176" t="s">
        <v>15</v>
      </c>
    </row>
    <row r="1177" spans="1:11" x14ac:dyDescent="0.45">
      <c r="A1177">
        <v>7371</v>
      </c>
      <c r="B1177" s="15">
        <v>44119</v>
      </c>
      <c r="C1177" t="str">
        <f>TEXT(Table1[[#This Row],[Order Date]], "yyyy")</f>
        <v>2020</v>
      </c>
      <c r="D1177" t="str">
        <f>TEXT(Table1[[#This Row],[Order Date]], "mmmm")</f>
        <v>October</v>
      </c>
      <c r="E1177" s="16">
        <f>Table1[[#This Row],[Order Quantity]]*Table1[[#This Row],[Unit Price]]</f>
        <v>16206.12</v>
      </c>
      <c r="F1177">
        <v>63</v>
      </c>
      <c r="G1177" s="16">
        <v>257.24</v>
      </c>
      <c r="H1177" t="s">
        <v>25</v>
      </c>
      <c r="I1177" t="s">
        <v>633</v>
      </c>
      <c r="J1177" t="s">
        <v>20</v>
      </c>
      <c r="K1177" t="s">
        <v>15</v>
      </c>
    </row>
    <row r="1178" spans="1:11" x14ac:dyDescent="0.45">
      <c r="A1178">
        <v>7372</v>
      </c>
      <c r="B1178" s="15">
        <v>43945</v>
      </c>
      <c r="C1178" t="str">
        <f>TEXT(Table1[[#This Row],[Order Date]], "yyyy")</f>
        <v>2020</v>
      </c>
      <c r="D1178" t="str">
        <f>TEXT(Table1[[#This Row],[Order Date]], "mmmm")</f>
        <v>April</v>
      </c>
      <c r="E1178" s="16">
        <f>Table1[[#This Row],[Order Quantity]]*Table1[[#This Row],[Unit Price]]</f>
        <v>3621.2</v>
      </c>
      <c r="F1178">
        <v>4</v>
      </c>
      <c r="G1178" s="16">
        <v>905.3</v>
      </c>
      <c r="H1178" t="s">
        <v>25</v>
      </c>
      <c r="I1178" t="s">
        <v>634</v>
      </c>
      <c r="J1178" t="s">
        <v>23</v>
      </c>
      <c r="K1178" t="s">
        <v>15</v>
      </c>
    </row>
    <row r="1179" spans="1:11" x14ac:dyDescent="0.45">
      <c r="A1179">
        <v>7373</v>
      </c>
      <c r="B1179" s="15">
        <v>43871</v>
      </c>
      <c r="C1179" t="str">
        <f>TEXT(Table1[[#This Row],[Order Date]], "yyyy")</f>
        <v>2020</v>
      </c>
      <c r="D1179" t="str">
        <f>TEXT(Table1[[#This Row],[Order Date]], "mmmm")</f>
        <v>February</v>
      </c>
      <c r="E1179" s="16">
        <f>Table1[[#This Row],[Order Quantity]]*Table1[[#This Row],[Unit Price]]</f>
        <v>2789.8</v>
      </c>
      <c r="F1179">
        <v>5</v>
      </c>
      <c r="G1179" s="16">
        <v>557.96</v>
      </c>
      <c r="H1179" t="s">
        <v>464</v>
      </c>
      <c r="I1179" t="s">
        <v>635</v>
      </c>
      <c r="J1179" t="s">
        <v>20</v>
      </c>
      <c r="K1179" t="s">
        <v>15</v>
      </c>
    </row>
    <row r="1180" spans="1:11" x14ac:dyDescent="0.45">
      <c r="A1180">
        <v>7374</v>
      </c>
      <c r="B1180" s="15">
        <v>44071</v>
      </c>
      <c r="C1180" t="str">
        <f>TEXT(Table1[[#This Row],[Order Date]], "yyyy")</f>
        <v>2020</v>
      </c>
      <c r="D1180" t="str">
        <f>TEXT(Table1[[#This Row],[Order Date]], "mmmm")</f>
        <v>August</v>
      </c>
      <c r="E1180" s="16">
        <f>Table1[[#This Row],[Order Quantity]]*Table1[[#This Row],[Unit Price]]</f>
        <v>30232.19</v>
      </c>
      <c r="F1180">
        <v>59</v>
      </c>
      <c r="G1180" s="16">
        <v>512.41</v>
      </c>
      <c r="H1180" t="s">
        <v>464</v>
      </c>
      <c r="I1180" t="s">
        <v>636</v>
      </c>
      <c r="J1180" t="s">
        <v>20</v>
      </c>
      <c r="K1180" t="s">
        <v>15</v>
      </c>
    </row>
    <row r="1181" spans="1:11" x14ac:dyDescent="0.45">
      <c r="A1181">
        <v>7375</v>
      </c>
      <c r="B1181" s="15">
        <v>43958</v>
      </c>
      <c r="C1181" t="str">
        <f>TEXT(Table1[[#This Row],[Order Date]], "yyyy")</f>
        <v>2020</v>
      </c>
      <c r="D1181" t="str">
        <f>TEXT(Table1[[#This Row],[Order Date]], "mmmm")</f>
        <v>May</v>
      </c>
      <c r="E1181" s="16">
        <f>Table1[[#This Row],[Order Quantity]]*Table1[[#This Row],[Unit Price]]</f>
        <v>5345.9000000000005</v>
      </c>
      <c r="F1181">
        <v>70</v>
      </c>
      <c r="G1181" s="16">
        <v>76.37</v>
      </c>
      <c r="H1181" t="s">
        <v>8</v>
      </c>
      <c r="I1181" t="s">
        <v>637</v>
      </c>
      <c r="J1181" t="s">
        <v>20</v>
      </c>
      <c r="K1181" t="s">
        <v>15</v>
      </c>
    </row>
    <row r="1182" spans="1:11" x14ac:dyDescent="0.45">
      <c r="A1182">
        <v>7376</v>
      </c>
      <c r="B1182" s="15">
        <v>43982</v>
      </c>
      <c r="C1182" t="str">
        <f>TEXT(Table1[[#This Row],[Order Date]], "yyyy")</f>
        <v>2020</v>
      </c>
      <c r="D1182" t="str">
        <f>TEXT(Table1[[#This Row],[Order Date]], "mmmm")</f>
        <v>May</v>
      </c>
      <c r="E1182" s="16">
        <f>Table1[[#This Row],[Order Quantity]]*Table1[[#This Row],[Unit Price]]</f>
        <v>106524.75</v>
      </c>
      <c r="F1182">
        <v>75</v>
      </c>
      <c r="G1182" s="16">
        <v>1420.33</v>
      </c>
      <c r="H1182" t="s">
        <v>8</v>
      </c>
      <c r="I1182" t="s">
        <v>638</v>
      </c>
      <c r="J1182" t="s">
        <v>20</v>
      </c>
      <c r="K1182" t="s">
        <v>17</v>
      </c>
    </row>
    <row r="1183" spans="1:11" x14ac:dyDescent="0.45">
      <c r="A1183">
        <v>7377</v>
      </c>
      <c r="B1183" s="15">
        <v>44060</v>
      </c>
      <c r="C1183" t="str">
        <f>TEXT(Table1[[#This Row],[Order Date]], "yyyy")</f>
        <v>2020</v>
      </c>
      <c r="D1183" t="str">
        <f>TEXT(Table1[[#This Row],[Order Date]], "mmmm")</f>
        <v>August</v>
      </c>
      <c r="E1183" s="16">
        <f>Table1[[#This Row],[Order Quantity]]*Table1[[#This Row],[Unit Price]]</f>
        <v>14315.76</v>
      </c>
      <c r="F1183">
        <v>36</v>
      </c>
      <c r="G1183" s="16">
        <v>397.66</v>
      </c>
      <c r="H1183" t="s">
        <v>464</v>
      </c>
      <c r="I1183" t="s">
        <v>639</v>
      </c>
      <c r="J1183" t="s">
        <v>23</v>
      </c>
      <c r="K1183" t="s">
        <v>11</v>
      </c>
    </row>
    <row r="1184" spans="1:11" x14ac:dyDescent="0.45">
      <c r="A1184">
        <v>7378</v>
      </c>
      <c r="B1184" s="15">
        <v>44134</v>
      </c>
      <c r="C1184" t="str">
        <f>TEXT(Table1[[#This Row],[Order Date]], "yyyy")</f>
        <v>2020</v>
      </c>
      <c r="D1184" t="str">
        <f>TEXT(Table1[[#This Row],[Order Date]], "mmmm")</f>
        <v>October</v>
      </c>
      <c r="E1184" s="16">
        <f>Table1[[#This Row],[Order Quantity]]*Table1[[#This Row],[Unit Price]]</f>
        <v>98398.5</v>
      </c>
      <c r="F1184">
        <v>75</v>
      </c>
      <c r="G1184" s="16">
        <v>1311.98</v>
      </c>
      <c r="H1184" t="s">
        <v>8</v>
      </c>
      <c r="I1184" t="s">
        <v>640</v>
      </c>
      <c r="J1184" t="s">
        <v>23</v>
      </c>
      <c r="K1184" t="s">
        <v>15</v>
      </c>
    </row>
    <row r="1185" spans="1:11" x14ac:dyDescent="0.45">
      <c r="A1185">
        <v>7379</v>
      </c>
      <c r="B1185" s="15">
        <v>44036</v>
      </c>
      <c r="C1185" t="str">
        <f>TEXT(Table1[[#This Row],[Order Date]], "yyyy")</f>
        <v>2020</v>
      </c>
      <c r="D1185" t="str">
        <f>TEXT(Table1[[#This Row],[Order Date]], "mmmm")</f>
        <v>July</v>
      </c>
      <c r="E1185" s="16">
        <f>Table1[[#This Row],[Order Quantity]]*Table1[[#This Row],[Unit Price]]</f>
        <v>53603.75</v>
      </c>
      <c r="F1185">
        <v>95</v>
      </c>
      <c r="G1185" s="16">
        <v>564.25</v>
      </c>
      <c r="H1185" t="s">
        <v>464</v>
      </c>
      <c r="I1185" t="s">
        <v>641</v>
      </c>
      <c r="J1185" t="s">
        <v>20</v>
      </c>
      <c r="K1185" t="s">
        <v>17</v>
      </c>
    </row>
    <row r="1186" spans="1:11" x14ac:dyDescent="0.45">
      <c r="A1186">
        <v>7380</v>
      </c>
      <c r="B1186" s="15">
        <v>44069</v>
      </c>
      <c r="C1186" t="str">
        <f>TEXT(Table1[[#This Row],[Order Date]], "yyyy")</f>
        <v>2020</v>
      </c>
      <c r="D1186" t="str">
        <f>TEXT(Table1[[#This Row],[Order Date]], "mmmm")</f>
        <v>August</v>
      </c>
      <c r="E1186" s="16">
        <f>Table1[[#This Row],[Order Quantity]]*Table1[[#This Row],[Unit Price]]</f>
        <v>88817.82</v>
      </c>
      <c r="F1186">
        <v>78</v>
      </c>
      <c r="G1186" s="16">
        <v>1138.69</v>
      </c>
      <c r="H1186" t="s">
        <v>25</v>
      </c>
      <c r="I1186" t="s">
        <v>642</v>
      </c>
      <c r="J1186" t="s">
        <v>13</v>
      </c>
      <c r="K1186" t="s">
        <v>11</v>
      </c>
    </row>
    <row r="1187" spans="1:11" x14ac:dyDescent="0.45">
      <c r="A1187">
        <v>7381</v>
      </c>
      <c r="B1187" s="15">
        <v>44137</v>
      </c>
      <c r="C1187" t="str">
        <f>TEXT(Table1[[#This Row],[Order Date]], "yyyy")</f>
        <v>2020</v>
      </c>
      <c r="D1187" t="str">
        <f>TEXT(Table1[[#This Row],[Order Date]], "mmmm")</f>
        <v>November</v>
      </c>
      <c r="E1187" s="16">
        <f>Table1[[#This Row],[Order Quantity]]*Table1[[#This Row],[Unit Price]]</f>
        <v>31929.039999999997</v>
      </c>
      <c r="F1187">
        <v>22</v>
      </c>
      <c r="G1187" s="16">
        <v>1451.32</v>
      </c>
      <c r="H1187" t="s">
        <v>25</v>
      </c>
      <c r="I1187" t="s">
        <v>643</v>
      </c>
      <c r="J1187" t="s">
        <v>10</v>
      </c>
      <c r="K1187" t="s">
        <v>11</v>
      </c>
    </row>
    <row r="1188" spans="1:11" x14ac:dyDescent="0.45">
      <c r="A1188">
        <v>7382</v>
      </c>
      <c r="B1188" s="15">
        <v>43939</v>
      </c>
      <c r="C1188" t="str">
        <f>TEXT(Table1[[#This Row],[Order Date]], "yyyy")</f>
        <v>2020</v>
      </c>
      <c r="D1188" t="str">
        <f>TEXT(Table1[[#This Row],[Order Date]], "mmmm")</f>
        <v>April</v>
      </c>
      <c r="E1188" s="16">
        <f>Table1[[#This Row],[Order Quantity]]*Table1[[#This Row],[Unit Price]]</f>
        <v>44877.090000000004</v>
      </c>
      <c r="F1188">
        <v>61</v>
      </c>
      <c r="G1188" s="16">
        <v>735.69</v>
      </c>
      <c r="H1188" t="s">
        <v>25</v>
      </c>
      <c r="I1188" t="s">
        <v>644</v>
      </c>
      <c r="J1188" t="s">
        <v>20</v>
      </c>
      <c r="K1188" t="s">
        <v>17</v>
      </c>
    </row>
    <row r="1189" spans="1:11" x14ac:dyDescent="0.45">
      <c r="A1189">
        <v>7383</v>
      </c>
      <c r="B1189" s="15">
        <v>43904</v>
      </c>
      <c r="C1189" t="str">
        <f>TEXT(Table1[[#This Row],[Order Date]], "yyyy")</f>
        <v>2020</v>
      </c>
      <c r="D1189" t="str">
        <f>TEXT(Table1[[#This Row],[Order Date]], "mmmm")</f>
        <v>March</v>
      </c>
      <c r="E1189" s="16">
        <f>Table1[[#This Row],[Order Quantity]]*Table1[[#This Row],[Unit Price]]</f>
        <v>9344.16</v>
      </c>
      <c r="F1189">
        <v>24</v>
      </c>
      <c r="G1189" s="16">
        <v>389.34</v>
      </c>
      <c r="H1189" t="s">
        <v>464</v>
      </c>
      <c r="I1189" t="s">
        <v>645</v>
      </c>
      <c r="J1189" t="s">
        <v>20</v>
      </c>
      <c r="K1189" t="s">
        <v>11</v>
      </c>
    </row>
    <row r="1190" spans="1:11" x14ac:dyDescent="0.45">
      <c r="A1190">
        <v>7384</v>
      </c>
      <c r="B1190" s="15">
        <v>43961</v>
      </c>
      <c r="C1190" t="str">
        <f>TEXT(Table1[[#This Row],[Order Date]], "yyyy")</f>
        <v>2020</v>
      </c>
      <c r="D1190" t="str">
        <f>TEXT(Table1[[#This Row],[Order Date]], "mmmm")</f>
        <v>May</v>
      </c>
      <c r="E1190" s="16">
        <f>Table1[[#This Row],[Order Quantity]]*Table1[[#This Row],[Unit Price]]</f>
        <v>18547.8</v>
      </c>
      <c r="F1190">
        <v>60</v>
      </c>
      <c r="G1190" s="16">
        <v>309.13</v>
      </c>
      <c r="H1190" t="s">
        <v>25</v>
      </c>
      <c r="I1190" t="s">
        <v>646</v>
      </c>
      <c r="J1190" t="s">
        <v>23</v>
      </c>
      <c r="K1190" t="s">
        <v>17</v>
      </c>
    </row>
    <row r="1191" spans="1:11" x14ac:dyDescent="0.45">
      <c r="A1191">
        <v>7385</v>
      </c>
      <c r="B1191" s="15">
        <v>44084</v>
      </c>
      <c r="C1191" t="str">
        <f>TEXT(Table1[[#This Row],[Order Date]], "yyyy")</f>
        <v>2020</v>
      </c>
      <c r="D1191" t="str">
        <f>TEXT(Table1[[#This Row],[Order Date]], "mmmm")</f>
        <v>September</v>
      </c>
      <c r="E1191" s="16">
        <f>Table1[[#This Row],[Order Quantity]]*Table1[[#This Row],[Unit Price]]</f>
        <v>19927.349999999999</v>
      </c>
      <c r="F1191">
        <v>45</v>
      </c>
      <c r="G1191" s="16">
        <v>442.83</v>
      </c>
      <c r="H1191" t="s">
        <v>8</v>
      </c>
      <c r="I1191" t="s">
        <v>647</v>
      </c>
      <c r="J1191" t="s">
        <v>23</v>
      </c>
      <c r="K1191" t="s">
        <v>15</v>
      </c>
    </row>
    <row r="1192" spans="1:11" x14ac:dyDescent="0.45">
      <c r="A1192">
        <v>7386</v>
      </c>
      <c r="B1192" s="15">
        <v>44152</v>
      </c>
      <c r="C1192" t="str">
        <f>TEXT(Table1[[#This Row],[Order Date]], "yyyy")</f>
        <v>2020</v>
      </c>
      <c r="D1192" t="str">
        <f>TEXT(Table1[[#This Row],[Order Date]], "mmmm")</f>
        <v>November</v>
      </c>
      <c r="E1192" s="16">
        <f>Table1[[#This Row],[Order Quantity]]*Table1[[#This Row],[Unit Price]]</f>
        <v>100711.04000000001</v>
      </c>
      <c r="F1192">
        <v>74</v>
      </c>
      <c r="G1192" s="16">
        <v>1360.96</v>
      </c>
      <c r="H1192" t="s">
        <v>25</v>
      </c>
      <c r="I1192" t="s">
        <v>648</v>
      </c>
      <c r="J1192" t="s">
        <v>20</v>
      </c>
      <c r="K1192" t="s">
        <v>17</v>
      </c>
    </row>
    <row r="1193" spans="1:11" x14ac:dyDescent="0.45">
      <c r="A1193">
        <v>7387</v>
      </c>
      <c r="B1193" s="15">
        <v>44047</v>
      </c>
      <c r="C1193" t="str">
        <f>TEXT(Table1[[#This Row],[Order Date]], "yyyy")</f>
        <v>2020</v>
      </c>
      <c r="D1193" t="str">
        <f>TEXT(Table1[[#This Row],[Order Date]], "mmmm")</f>
        <v>August</v>
      </c>
      <c r="E1193" s="16">
        <f>Table1[[#This Row],[Order Quantity]]*Table1[[#This Row],[Unit Price]]</f>
        <v>74846.460000000006</v>
      </c>
      <c r="F1193">
        <v>78</v>
      </c>
      <c r="G1193" s="16">
        <v>959.57</v>
      </c>
      <c r="H1193" t="s">
        <v>464</v>
      </c>
      <c r="I1193" t="s">
        <v>649</v>
      </c>
      <c r="J1193" t="s">
        <v>20</v>
      </c>
      <c r="K1193" t="s">
        <v>15</v>
      </c>
    </row>
    <row r="1194" spans="1:11" x14ac:dyDescent="0.45">
      <c r="A1194">
        <v>7388</v>
      </c>
      <c r="B1194" s="15">
        <v>43893</v>
      </c>
      <c r="C1194" t="str">
        <f>TEXT(Table1[[#This Row],[Order Date]], "yyyy")</f>
        <v>2020</v>
      </c>
      <c r="D1194" t="str">
        <f>TEXT(Table1[[#This Row],[Order Date]], "mmmm")</f>
        <v>March</v>
      </c>
      <c r="E1194" s="16">
        <f>Table1[[#This Row],[Order Quantity]]*Table1[[#This Row],[Unit Price]]</f>
        <v>1878.4</v>
      </c>
      <c r="F1194">
        <v>20</v>
      </c>
      <c r="G1194" s="16">
        <v>93.92</v>
      </c>
      <c r="H1194" t="s">
        <v>8</v>
      </c>
      <c r="I1194" t="s">
        <v>650</v>
      </c>
      <c r="J1194" t="s">
        <v>10</v>
      </c>
      <c r="K1194" t="s">
        <v>11</v>
      </c>
    </row>
    <row r="1195" spans="1:11" x14ac:dyDescent="0.45">
      <c r="A1195">
        <v>7389</v>
      </c>
      <c r="B1195" s="15">
        <v>43961</v>
      </c>
      <c r="C1195" t="str">
        <f>TEXT(Table1[[#This Row],[Order Date]], "yyyy")</f>
        <v>2020</v>
      </c>
      <c r="D1195" t="str">
        <f>TEXT(Table1[[#This Row],[Order Date]], "mmmm")</f>
        <v>May</v>
      </c>
      <c r="E1195" s="16">
        <f>Table1[[#This Row],[Order Quantity]]*Table1[[#This Row],[Unit Price]]</f>
        <v>29902.940000000002</v>
      </c>
      <c r="F1195">
        <v>41</v>
      </c>
      <c r="G1195" s="16">
        <v>729.34</v>
      </c>
      <c r="H1195" t="s">
        <v>25</v>
      </c>
      <c r="I1195" t="s">
        <v>651</v>
      </c>
      <c r="J1195" t="s">
        <v>20</v>
      </c>
      <c r="K1195" t="s">
        <v>11</v>
      </c>
    </row>
    <row r="1196" spans="1:11" x14ac:dyDescent="0.45">
      <c r="A1196">
        <v>7390</v>
      </c>
      <c r="B1196" s="15">
        <v>44056</v>
      </c>
      <c r="C1196" t="str">
        <f>TEXT(Table1[[#This Row],[Order Date]], "yyyy")</f>
        <v>2020</v>
      </c>
      <c r="D1196" t="str">
        <f>TEXT(Table1[[#This Row],[Order Date]], "mmmm")</f>
        <v>August</v>
      </c>
      <c r="E1196" s="16">
        <f>Table1[[#This Row],[Order Quantity]]*Table1[[#This Row],[Unit Price]]</f>
        <v>38862.450000000004</v>
      </c>
      <c r="F1196">
        <v>55</v>
      </c>
      <c r="G1196" s="16">
        <v>706.59</v>
      </c>
      <c r="H1196" t="s">
        <v>25</v>
      </c>
      <c r="I1196" t="s">
        <v>652</v>
      </c>
      <c r="J1196" t="s">
        <v>20</v>
      </c>
      <c r="K1196" t="s">
        <v>11</v>
      </c>
    </row>
    <row r="1197" spans="1:11" x14ac:dyDescent="0.45">
      <c r="A1197">
        <v>7391</v>
      </c>
      <c r="B1197" s="15">
        <v>43914</v>
      </c>
      <c r="C1197" t="str">
        <f>TEXT(Table1[[#This Row],[Order Date]], "yyyy")</f>
        <v>2020</v>
      </c>
      <c r="D1197" t="str">
        <f>TEXT(Table1[[#This Row],[Order Date]], "mmmm")</f>
        <v>March</v>
      </c>
      <c r="E1197" s="16">
        <f>Table1[[#This Row],[Order Quantity]]*Table1[[#This Row],[Unit Price]]</f>
        <v>22824.99</v>
      </c>
      <c r="F1197">
        <v>93</v>
      </c>
      <c r="G1197" s="16">
        <v>245.43</v>
      </c>
      <c r="H1197" t="s">
        <v>8</v>
      </c>
      <c r="I1197" t="s">
        <v>653</v>
      </c>
      <c r="J1197" t="s">
        <v>13</v>
      </c>
      <c r="K1197" t="s">
        <v>17</v>
      </c>
    </row>
    <row r="1198" spans="1:11" x14ac:dyDescent="0.45">
      <c r="A1198">
        <v>7392</v>
      </c>
      <c r="B1198" s="15">
        <v>44195</v>
      </c>
      <c r="C1198" t="str">
        <f>TEXT(Table1[[#This Row],[Order Date]], "yyyy")</f>
        <v>2020</v>
      </c>
      <c r="D1198" t="str">
        <f>TEXT(Table1[[#This Row],[Order Date]], "mmmm")</f>
        <v>December</v>
      </c>
      <c r="E1198" s="16">
        <f>Table1[[#This Row],[Order Quantity]]*Table1[[#This Row],[Unit Price]]</f>
        <v>112760.76000000001</v>
      </c>
      <c r="F1198">
        <v>84</v>
      </c>
      <c r="G1198" s="16">
        <v>1342.39</v>
      </c>
      <c r="H1198" t="s">
        <v>25</v>
      </c>
      <c r="I1198" t="s">
        <v>654</v>
      </c>
      <c r="J1198" t="s">
        <v>10</v>
      </c>
      <c r="K1198" t="s">
        <v>17</v>
      </c>
    </row>
    <row r="1199" spans="1:11" x14ac:dyDescent="0.45">
      <c r="A1199">
        <v>7393</v>
      </c>
      <c r="B1199" s="15">
        <v>43915</v>
      </c>
      <c r="C1199" t="str">
        <f>TEXT(Table1[[#This Row],[Order Date]], "yyyy")</f>
        <v>2020</v>
      </c>
      <c r="D1199" t="str">
        <f>TEXT(Table1[[#This Row],[Order Date]], "mmmm")</f>
        <v>March</v>
      </c>
      <c r="E1199" s="16">
        <f>Table1[[#This Row],[Order Quantity]]*Table1[[#This Row],[Unit Price]]</f>
        <v>79940.25</v>
      </c>
      <c r="F1199">
        <v>65</v>
      </c>
      <c r="G1199" s="16">
        <v>1229.8499999999999</v>
      </c>
      <c r="H1199" t="s">
        <v>8</v>
      </c>
      <c r="I1199" t="s">
        <v>655</v>
      </c>
      <c r="J1199" t="s">
        <v>13</v>
      </c>
      <c r="K1199" t="s">
        <v>11</v>
      </c>
    </row>
    <row r="1200" spans="1:11" x14ac:dyDescent="0.45">
      <c r="A1200">
        <v>7394</v>
      </c>
      <c r="B1200" s="15">
        <v>44157</v>
      </c>
      <c r="C1200" t="str">
        <f>TEXT(Table1[[#This Row],[Order Date]], "yyyy")</f>
        <v>2020</v>
      </c>
      <c r="D1200" t="str">
        <f>TEXT(Table1[[#This Row],[Order Date]], "mmmm")</f>
        <v>November</v>
      </c>
      <c r="E1200" s="16">
        <f>Table1[[#This Row],[Order Quantity]]*Table1[[#This Row],[Unit Price]]</f>
        <v>97215.540000000008</v>
      </c>
      <c r="F1200">
        <v>87</v>
      </c>
      <c r="G1200" s="16">
        <v>1117.42</v>
      </c>
      <c r="H1200" t="s">
        <v>464</v>
      </c>
      <c r="I1200" t="s">
        <v>656</v>
      </c>
      <c r="J1200" t="s">
        <v>20</v>
      </c>
      <c r="K1200" t="s">
        <v>17</v>
      </c>
    </row>
    <row r="1201" spans="1:11" x14ac:dyDescent="0.45">
      <c r="A1201">
        <v>7395</v>
      </c>
      <c r="B1201" s="15">
        <v>44168</v>
      </c>
      <c r="C1201" t="str">
        <f>TEXT(Table1[[#This Row],[Order Date]], "yyyy")</f>
        <v>2020</v>
      </c>
      <c r="D1201" t="str">
        <f>TEXT(Table1[[#This Row],[Order Date]], "mmmm")</f>
        <v>December</v>
      </c>
      <c r="E1201" s="16">
        <f>Table1[[#This Row],[Order Quantity]]*Table1[[#This Row],[Unit Price]]</f>
        <v>53881.38</v>
      </c>
      <c r="F1201">
        <v>49</v>
      </c>
      <c r="G1201" s="16">
        <v>1099.6199999999999</v>
      </c>
      <c r="H1201" t="s">
        <v>8</v>
      </c>
      <c r="I1201" t="s">
        <v>657</v>
      </c>
      <c r="J1201" t="s">
        <v>10</v>
      </c>
      <c r="K1201" t="s">
        <v>11</v>
      </c>
    </row>
    <row r="1202" spans="1:11" x14ac:dyDescent="0.45">
      <c r="A1202">
        <v>7396</v>
      </c>
      <c r="B1202" s="15">
        <v>44131</v>
      </c>
      <c r="C1202" t="str">
        <f>TEXT(Table1[[#This Row],[Order Date]], "yyyy")</f>
        <v>2020</v>
      </c>
      <c r="D1202" t="str">
        <f>TEXT(Table1[[#This Row],[Order Date]], "mmmm")</f>
        <v>October</v>
      </c>
      <c r="E1202" s="16">
        <f>Table1[[#This Row],[Order Quantity]]*Table1[[#This Row],[Unit Price]]</f>
        <v>49758.5</v>
      </c>
      <c r="F1202">
        <v>50</v>
      </c>
      <c r="G1202" s="16">
        <v>995.17</v>
      </c>
      <c r="H1202" t="s">
        <v>25</v>
      </c>
      <c r="I1202" t="s">
        <v>658</v>
      </c>
      <c r="J1202" t="s">
        <v>20</v>
      </c>
      <c r="K1202" t="s">
        <v>15</v>
      </c>
    </row>
    <row r="1203" spans="1:11" x14ac:dyDescent="0.45">
      <c r="A1203">
        <v>7397</v>
      </c>
      <c r="B1203" s="15">
        <v>44145</v>
      </c>
      <c r="C1203" t="str">
        <f>TEXT(Table1[[#This Row],[Order Date]], "yyyy")</f>
        <v>2020</v>
      </c>
      <c r="D1203" t="str">
        <f>TEXT(Table1[[#This Row],[Order Date]], "mmmm")</f>
        <v>November</v>
      </c>
      <c r="E1203" s="16">
        <f>Table1[[#This Row],[Order Quantity]]*Table1[[#This Row],[Unit Price]]</f>
        <v>54022.939999999995</v>
      </c>
      <c r="F1203">
        <v>58</v>
      </c>
      <c r="G1203" s="16">
        <v>931.43</v>
      </c>
      <c r="H1203" t="s">
        <v>464</v>
      </c>
      <c r="I1203" t="s">
        <v>659</v>
      </c>
      <c r="J1203" t="s">
        <v>23</v>
      </c>
      <c r="K1203" t="s">
        <v>15</v>
      </c>
    </row>
    <row r="1204" spans="1:11" x14ac:dyDescent="0.45">
      <c r="A1204">
        <v>7398</v>
      </c>
      <c r="B1204" s="15">
        <v>43875</v>
      </c>
      <c r="C1204" t="str">
        <f>TEXT(Table1[[#This Row],[Order Date]], "yyyy")</f>
        <v>2020</v>
      </c>
      <c r="D1204" t="str">
        <f>TEXT(Table1[[#This Row],[Order Date]], "mmmm")</f>
        <v>February</v>
      </c>
      <c r="E1204" s="16">
        <f>Table1[[#This Row],[Order Quantity]]*Table1[[#This Row],[Unit Price]]</f>
        <v>30633.75</v>
      </c>
      <c r="F1204">
        <v>75</v>
      </c>
      <c r="G1204" s="16">
        <v>408.45</v>
      </c>
      <c r="H1204" t="s">
        <v>464</v>
      </c>
      <c r="I1204" t="s">
        <v>660</v>
      </c>
      <c r="J1204" t="s">
        <v>20</v>
      </c>
      <c r="K1204" t="s">
        <v>11</v>
      </c>
    </row>
    <row r="1205" spans="1:11" x14ac:dyDescent="0.45">
      <c r="A1205">
        <v>7399</v>
      </c>
      <c r="B1205" s="15">
        <v>44137</v>
      </c>
      <c r="C1205" t="str">
        <f>TEXT(Table1[[#This Row],[Order Date]], "yyyy")</f>
        <v>2020</v>
      </c>
      <c r="D1205" t="str">
        <f>TEXT(Table1[[#This Row],[Order Date]], "mmmm")</f>
        <v>November</v>
      </c>
      <c r="E1205" s="16">
        <f>Table1[[#This Row],[Order Quantity]]*Table1[[#This Row],[Unit Price]]</f>
        <v>2069.8199999999997</v>
      </c>
      <c r="F1205">
        <v>18</v>
      </c>
      <c r="G1205" s="16">
        <v>114.99</v>
      </c>
      <c r="H1205" t="s">
        <v>464</v>
      </c>
      <c r="I1205" t="s">
        <v>661</v>
      </c>
      <c r="J1205" t="s">
        <v>13</v>
      </c>
      <c r="K1205" t="s">
        <v>11</v>
      </c>
    </row>
    <row r="1206" spans="1:11" x14ac:dyDescent="0.45">
      <c r="A1206">
        <v>7400</v>
      </c>
      <c r="B1206" s="15">
        <v>44109</v>
      </c>
      <c r="C1206" t="str">
        <f>TEXT(Table1[[#This Row],[Order Date]], "yyyy")</f>
        <v>2020</v>
      </c>
      <c r="D1206" t="str">
        <f>TEXT(Table1[[#This Row],[Order Date]], "mmmm")</f>
        <v>October</v>
      </c>
      <c r="E1206" s="16">
        <f>Table1[[#This Row],[Order Quantity]]*Table1[[#This Row],[Unit Price]]</f>
        <v>29761.919999999998</v>
      </c>
      <c r="F1206">
        <v>24</v>
      </c>
      <c r="G1206" s="16">
        <v>1240.08</v>
      </c>
      <c r="H1206" t="s">
        <v>25</v>
      </c>
      <c r="I1206" t="s">
        <v>662</v>
      </c>
      <c r="J1206" t="s">
        <v>23</v>
      </c>
      <c r="K1206" t="s">
        <v>11</v>
      </c>
    </row>
    <row r="1207" spans="1:11" x14ac:dyDescent="0.45">
      <c r="A1207">
        <v>7401</v>
      </c>
      <c r="B1207" s="15">
        <v>44127</v>
      </c>
      <c r="C1207" t="str">
        <f>TEXT(Table1[[#This Row],[Order Date]], "yyyy")</f>
        <v>2020</v>
      </c>
      <c r="D1207" t="str">
        <f>TEXT(Table1[[#This Row],[Order Date]], "mmmm")</f>
        <v>October</v>
      </c>
      <c r="E1207" s="16">
        <f>Table1[[#This Row],[Order Quantity]]*Table1[[#This Row],[Unit Price]]</f>
        <v>24179.760000000002</v>
      </c>
      <c r="F1207">
        <v>33</v>
      </c>
      <c r="G1207" s="16">
        <v>732.72</v>
      </c>
      <c r="H1207" t="s">
        <v>25</v>
      </c>
      <c r="I1207" t="s">
        <v>663</v>
      </c>
      <c r="J1207" t="s">
        <v>20</v>
      </c>
      <c r="K1207" t="s">
        <v>17</v>
      </c>
    </row>
    <row r="1208" spans="1:11" x14ac:dyDescent="0.45">
      <c r="A1208">
        <v>7402</v>
      </c>
      <c r="B1208" s="15">
        <v>43943</v>
      </c>
      <c r="C1208" t="str">
        <f>TEXT(Table1[[#This Row],[Order Date]], "yyyy")</f>
        <v>2020</v>
      </c>
      <c r="D1208" t="str">
        <f>TEXT(Table1[[#This Row],[Order Date]], "mmmm")</f>
        <v>April</v>
      </c>
      <c r="E1208" s="16">
        <f>Table1[[#This Row],[Order Quantity]]*Table1[[#This Row],[Unit Price]]</f>
        <v>74843.86</v>
      </c>
      <c r="F1208">
        <v>82</v>
      </c>
      <c r="G1208" s="16">
        <v>912.73</v>
      </c>
      <c r="H1208" t="s">
        <v>25</v>
      </c>
      <c r="I1208" t="s">
        <v>664</v>
      </c>
      <c r="J1208" t="s">
        <v>20</v>
      </c>
      <c r="K1208" t="s">
        <v>15</v>
      </c>
    </row>
    <row r="1209" spans="1:11" x14ac:dyDescent="0.45">
      <c r="A1209">
        <v>7403</v>
      </c>
      <c r="B1209" s="15">
        <v>44054</v>
      </c>
      <c r="C1209" t="str">
        <f>TEXT(Table1[[#This Row],[Order Date]], "yyyy")</f>
        <v>2020</v>
      </c>
      <c r="D1209" t="str">
        <f>TEXT(Table1[[#This Row],[Order Date]], "mmmm")</f>
        <v>August</v>
      </c>
      <c r="E1209" s="16">
        <f>Table1[[#This Row],[Order Quantity]]*Table1[[#This Row],[Unit Price]]</f>
        <v>6973.12</v>
      </c>
      <c r="F1209">
        <v>8</v>
      </c>
      <c r="G1209" s="16">
        <v>871.64</v>
      </c>
      <c r="H1209" t="s">
        <v>464</v>
      </c>
      <c r="I1209" t="s">
        <v>665</v>
      </c>
      <c r="J1209" t="s">
        <v>23</v>
      </c>
      <c r="K1209" t="s">
        <v>17</v>
      </c>
    </row>
    <row r="1210" spans="1:11" x14ac:dyDescent="0.45">
      <c r="A1210">
        <v>7404</v>
      </c>
      <c r="B1210" s="15">
        <v>43913</v>
      </c>
      <c r="C1210" t="str">
        <f>TEXT(Table1[[#This Row],[Order Date]], "yyyy")</f>
        <v>2020</v>
      </c>
      <c r="D1210" t="str">
        <f>TEXT(Table1[[#This Row],[Order Date]], "mmmm")</f>
        <v>March</v>
      </c>
      <c r="E1210" s="16">
        <f>Table1[[#This Row],[Order Quantity]]*Table1[[#This Row],[Unit Price]]</f>
        <v>30018.480000000003</v>
      </c>
      <c r="F1210">
        <v>38</v>
      </c>
      <c r="G1210" s="16">
        <v>789.96</v>
      </c>
      <c r="H1210" t="s">
        <v>25</v>
      </c>
      <c r="I1210" t="s">
        <v>666</v>
      </c>
      <c r="J1210" t="s">
        <v>13</v>
      </c>
      <c r="K1210" t="s">
        <v>11</v>
      </c>
    </row>
    <row r="1211" spans="1:11" x14ac:dyDescent="0.45">
      <c r="A1211">
        <v>7405</v>
      </c>
      <c r="B1211" s="15">
        <v>44153</v>
      </c>
      <c r="C1211" t="str">
        <f>TEXT(Table1[[#This Row],[Order Date]], "yyyy")</f>
        <v>2020</v>
      </c>
      <c r="D1211" t="str">
        <f>TEXT(Table1[[#This Row],[Order Date]], "mmmm")</f>
        <v>November</v>
      </c>
      <c r="E1211" s="16">
        <f>Table1[[#This Row],[Order Quantity]]*Table1[[#This Row],[Unit Price]]</f>
        <v>101299.96</v>
      </c>
      <c r="F1211">
        <v>71</v>
      </c>
      <c r="G1211" s="16">
        <v>1426.76</v>
      </c>
      <c r="H1211" t="s">
        <v>464</v>
      </c>
      <c r="I1211" t="s">
        <v>667</v>
      </c>
      <c r="J1211" t="s">
        <v>10</v>
      </c>
      <c r="K1211" t="s">
        <v>11</v>
      </c>
    </row>
    <row r="1212" spans="1:11" x14ac:dyDescent="0.45">
      <c r="A1212">
        <v>7406</v>
      </c>
      <c r="B1212" s="15">
        <v>43893</v>
      </c>
      <c r="C1212" t="str">
        <f>TEXT(Table1[[#This Row],[Order Date]], "yyyy")</f>
        <v>2020</v>
      </c>
      <c r="D1212" t="str">
        <f>TEXT(Table1[[#This Row],[Order Date]], "mmmm")</f>
        <v>March</v>
      </c>
      <c r="E1212" s="16">
        <f>Table1[[#This Row],[Order Quantity]]*Table1[[#This Row],[Unit Price]]</f>
        <v>22290.45</v>
      </c>
      <c r="F1212">
        <v>69</v>
      </c>
      <c r="G1212" s="16">
        <v>323.05</v>
      </c>
      <c r="H1212" t="s">
        <v>464</v>
      </c>
      <c r="I1212" t="s">
        <v>668</v>
      </c>
      <c r="J1212" t="s">
        <v>13</v>
      </c>
      <c r="K1212" t="s">
        <v>17</v>
      </c>
    </row>
    <row r="1213" spans="1:11" x14ac:dyDescent="0.45">
      <c r="A1213">
        <v>7407</v>
      </c>
      <c r="B1213" s="15">
        <v>43989</v>
      </c>
      <c r="C1213" t="str">
        <f>TEXT(Table1[[#This Row],[Order Date]], "yyyy")</f>
        <v>2020</v>
      </c>
      <c r="D1213" t="str">
        <f>TEXT(Table1[[#This Row],[Order Date]], "mmmm")</f>
        <v>June</v>
      </c>
      <c r="E1213" s="16">
        <f>Table1[[#This Row],[Order Quantity]]*Table1[[#This Row],[Unit Price]]</f>
        <v>18647.25</v>
      </c>
      <c r="F1213">
        <v>75</v>
      </c>
      <c r="G1213" s="16">
        <v>248.63</v>
      </c>
      <c r="H1213" t="s">
        <v>464</v>
      </c>
      <c r="I1213" t="s">
        <v>669</v>
      </c>
      <c r="J1213" t="s">
        <v>13</v>
      </c>
      <c r="K1213" t="s">
        <v>11</v>
      </c>
    </row>
    <row r="1214" spans="1:11" x14ac:dyDescent="0.45">
      <c r="A1214">
        <v>7408</v>
      </c>
      <c r="B1214" s="15">
        <v>44078</v>
      </c>
      <c r="C1214" t="str">
        <f>TEXT(Table1[[#This Row],[Order Date]], "yyyy")</f>
        <v>2020</v>
      </c>
      <c r="D1214" t="str">
        <f>TEXT(Table1[[#This Row],[Order Date]], "mmmm")</f>
        <v>September</v>
      </c>
      <c r="E1214" s="16">
        <f>Table1[[#This Row],[Order Quantity]]*Table1[[#This Row],[Unit Price]]</f>
        <v>44167.5</v>
      </c>
      <c r="F1214">
        <v>45</v>
      </c>
      <c r="G1214" s="16">
        <v>981.5</v>
      </c>
      <c r="H1214" t="s">
        <v>25</v>
      </c>
      <c r="I1214" t="s">
        <v>670</v>
      </c>
      <c r="J1214" t="s">
        <v>23</v>
      </c>
      <c r="K1214" t="s">
        <v>15</v>
      </c>
    </row>
    <row r="1215" spans="1:11" x14ac:dyDescent="0.45">
      <c r="A1215">
        <v>7409</v>
      </c>
      <c r="B1215" s="15">
        <v>43842</v>
      </c>
      <c r="C1215" t="str">
        <f>TEXT(Table1[[#This Row],[Order Date]], "yyyy")</f>
        <v>2020</v>
      </c>
      <c r="D1215" t="str">
        <f>TEXT(Table1[[#This Row],[Order Date]], "mmmm")</f>
        <v>January</v>
      </c>
      <c r="E1215" s="16">
        <f>Table1[[#This Row],[Order Quantity]]*Table1[[#This Row],[Unit Price]]</f>
        <v>26682.560000000001</v>
      </c>
      <c r="F1215">
        <v>32</v>
      </c>
      <c r="G1215" s="16">
        <v>833.83</v>
      </c>
      <c r="H1215" t="s">
        <v>25</v>
      </c>
      <c r="I1215" t="s">
        <v>671</v>
      </c>
      <c r="J1215" t="s">
        <v>23</v>
      </c>
      <c r="K1215" t="s">
        <v>15</v>
      </c>
    </row>
    <row r="1216" spans="1:11" x14ac:dyDescent="0.45">
      <c r="A1216">
        <v>7410</v>
      </c>
      <c r="B1216" s="15">
        <v>44174</v>
      </c>
      <c r="C1216" t="str">
        <f>TEXT(Table1[[#This Row],[Order Date]], "yyyy")</f>
        <v>2020</v>
      </c>
      <c r="D1216" t="str">
        <f>TEXT(Table1[[#This Row],[Order Date]], "mmmm")</f>
        <v>December</v>
      </c>
      <c r="E1216" s="16">
        <f>Table1[[#This Row],[Order Quantity]]*Table1[[#This Row],[Unit Price]]</f>
        <v>2107.5</v>
      </c>
      <c r="F1216">
        <v>25</v>
      </c>
      <c r="G1216" s="16">
        <v>84.3</v>
      </c>
      <c r="H1216" t="s">
        <v>25</v>
      </c>
      <c r="I1216" t="s">
        <v>672</v>
      </c>
      <c r="J1216" t="s">
        <v>23</v>
      </c>
      <c r="K1216" t="s">
        <v>11</v>
      </c>
    </row>
    <row r="1217" spans="1:11" x14ac:dyDescent="0.45">
      <c r="A1217">
        <v>7411</v>
      </c>
      <c r="B1217" s="15">
        <v>44104</v>
      </c>
      <c r="C1217" t="str">
        <f>TEXT(Table1[[#This Row],[Order Date]], "yyyy")</f>
        <v>2020</v>
      </c>
      <c r="D1217" t="str">
        <f>TEXT(Table1[[#This Row],[Order Date]], "mmmm")</f>
        <v>September</v>
      </c>
      <c r="E1217" s="16">
        <f>Table1[[#This Row],[Order Quantity]]*Table1[[#This Row],[Unit Price]]</f>
        <v>23754.720000000001</v>
      </c>
      <c r="F1217">
        <v>33</v>
      </c>
      <c r="G1217" s="16">
        <v>719.84</v>
      </c>
      <c r="H1217" t="s">
        <v>25</v>
      </c>
      <c r="I1217" t="s">
        <v>673</v>
      </c>
      <c r="J1217" t="s">
        <v>13</v>
      </c>
      <c r="K1217" t="s">
        <v>17</v>
      </c>
    </row>
    <row r="1218" spans="1:11" x14ac:dyDescent="0.45">
      <c r="A1218">
        <v>7412</v>
      </c>
      <c r="B1218" s="15">
        <v>43896</v>
      </c>
      <c r="C1218" t="str">
        <f>TEXT(Table1[[#This Row],[Order Date]], "yyyy")</f>
        <v>2020</v>
      </c>
      <c r="D1218" t="str">
        <f>TEXT(Table1[[#This Row],[Order Date]], "mmmm")</f>
        <v>March</v>
      </c>
      <c r="E1218" s="16">
        <f>Table1[[#This Row],[Order Quantity]]*Table1[[#This Row],[Unit Price]]</f>
        <v>23242.5</v>
      </c>
      <c r="F1218">
        <v>90</v>
      </c>
      <c r="G1218" s="16">
        <v>258.25</v>
      </c>
      <c r="H1218" t="s">
        <v>25</v>
      </c>
      <c r="I1218" t="s">
        <v>674</v>
      </c>
      <c r="J1218" t="s">
        <v>13</v>
      </c>
      <c r="K1218" t="s">
        <v>17</v>
      </c>
    </row>
    <row r="1219" spans="1:11" x14ac:dyDescent="0.45">
      <c r="A1219">
        <v>7413</v>
      </c>
      <c r="B1219" s="15">
        <v>43880</v>
      </c>
      <c r="C1219" t="str">
        <f>TEXT(Table1[[#This Row],[Order Date]], "yyyy")</f>
        <v>2020</v>
      </c>
      <c r="D1219" t="str">
        <f>TEXT(Table1[[#This Row],[Order Date]], "mmmm")</f>
        <v>February</v>
      </c>
      <c r="E1219" s="16">
        <f>Table1[[#This Row],[Order Quantity]]*Table1[[#This Row],[Unit Price]]</f>
        <v>18785.919999999998</v>
      </c>
      <c r="F1219">
        <v>16</v>
      </c>
      <c r="G1219" s="16">
        <v>1174.1199999999999</v>
      </c>
      <c r="H1219" t="s">
        <v>464</v>
      </c>
      <c r="I1219" t="s">
        <v>675</v>
      </c>
      <c r="J1219" t="s">
        <v>13</v>
      </c>
      <c r="K1219" t="s">
        <v>17</v>
      </c>
    </row>
    <row r="1220" spans="1:11" x14ac:dyDescent="0.45">
      <c r="A1220">
        <v>7414</v>
      </c>
      <c r="B1220" s="15">
        <v>44174</v>
      </c>
      <c r="C1220" t="str">
        <f>TEXT(Table1[[#This Row],[Order Date]], "yyyy")</f>
        <v>2020</v>
      </c>
      <c r="D1220" t="str">
        <f>TEXT(Table1[[#This Row],[Order Date]], "mmmm")</f>
        <v>December</v>
      </c>
      <c r="E1220" s="16">
        <f>Table1[[#This Row],[Order Quantity]]*Table1[[#This Row],[Unit Price]]</f>
        <v>9265.1200000000008</v>
      </c>
      <c r="F1220">
        <v>16</v>
      </c>
      <c r="G1220" s="16">
        <v>579.07000000000005</v>
      </c>
      <c r="H1220" t="s">
        <v>8</v>
      </c>
      <c r="I1220" t="s">
        <v>676</v>
      </c>
      <c r="J1220" t="s">
        <v>23</v>
      </c>
      <c r="K1220" t="s">
        <v>11</v>
      </c>
    </row>
    <row r="1221" spans="1:11" x14ac:dyDescent="0.45">
      <c r="A1221">
        <v>7415</v>
      </c>
      <c r="B1221" s="15">
        <v>44067</v>
      </c>
      <c r="C1221" t="str">
        <f>TEXT(Table1[[#This Row],[Order Date]], "yyyy")</f>
        <v>2020</v>
      </c>
      <c r="D1221" t="str">
        <f>TEXT(Table1[[#This Row],[Order Date]], "mmmm")</f>
        <v>August</v>
      </c>
      <c r="E1221" s="16">
        <f>Table1[[#This Row],[Order Quantity]]*Table1[[#This Row],[Unit Price]]</f>
        <v>18707.57</v>
      </c>
      <c r="F1221">
        <v>31</v>
      </c>
      <c r="G1221" s="16">
        <v>603.47</v>
      </c>
      <c r="H1221" t="s">
        <v>464</v>
      </c>
      <c r="I1221" t="s">
        <v>677</v>
      </c>
      <c r="J1221" t="s">
        <v>20</v>
      </c>
      <c r="K1221" t="s">
        <v>11</v>
      </c>
    </row>
    <row r="1222" spans="1:11" x14ac:dyDescent="0.45">
      <c r="A1222">
        <v>7416</v>
      </c>
      <c r="B1222" s="15">
        <v>43998</v>
      </c>
      <c r="C1222" t="str">
        <f>TEXT(Table1[[#This Row],[Order Date]], "yyyy")</f>
        <v>2020</v>
      </c>
      <c r="D1222" t="str">
        <f>TEXT(Table1[[#This Row],[Order Date]], "mmmm")</f>
        <v>June</v>
      </c>
      <c r="E1222" s="16">
        <f>Table1[[#This Row],[Order Quantity]]*Table1[[#This Row],[Unit Price]]</f>
        <v>26447.360000000001</v>
      </c>
      <c r="F1222">
        <v>64</v>
      </c>
      <c r="G1222" s="16">
        <v>413.24</v>
      </c>
      <c r="H1222" t="s">
        <v>464</v>
      </c>
      <c r="I1222" t="s">
        <v>678</v>
      </c>
      <c r="J1222" t="s">
        <v>20</v>
      </c>
      <c r="K1222" t="s">
        <v>15</v>
      </c>
    </row>
    <row r="1223" spans="1:11" x14ac:dyDescent="0.45">
      <c r="A1223">
        <v>7417</v>
      </c>
      <c r="B1223" s="15">
        <v>43848</v>
      </c>
      <c r="C1223" t="str">
        <f>TEXT(Table1[[#This Row],[Order Date]], "yyyy")</f>
        <v>2020</v>
      </c>
      <c r="D1223" t="str">
        <f>TEXT(Table1[[#This Row],[Order Date]], "mmmm")</f>
        <v>January</v>
      </c>
      <c r="E1223" s="16">
        <f>Table1[[#This Row],[Order Quantity]]*Table1[[#This Row],[Unit Price]]</f>
        <v>4055.2799999999997</v>
      </c>
      <c r="F1223">
        <v>3</v>
      </c>
      <c r="G1223" s="16">
        <v>1351.76</v>
      </c>
      <c r="H1223" t="s">
        <v>8</v>
      </c>
      <c r="I1223" t="s">
        <v>679</v>
      </c>
      <c r="J1223" t="s">
        <v>10</v>
      </c>
      <c r="K1223" t="s">
        <v>17</v>
      </c>
    </row>
    <row r="1224" spans="1:11" x14ac:dyDescent="0.45">
      <c r="A1224">
        <v>7418</v>
      </c>
      <c r="B1224" s="15">
        <v>44172</v>
      </c>
      <c r="C1224" t="str">
        <f>TEXT(Table1[[#This Row],[Order Date]], "yyyy")</f>
        <v>2020</v>
      </c>
      <c r="D1224" t="str">
        <f>TEXT(Table1[[#This Row],[Order Date]], "mmmm")</f>
        <v>December</v>
      </c>
      <c r="E1224" s="16">
        <f>Table1[[#This Row],[Order Quantity]]*Table1[[#This Row],[Unit Price]]</f>
        <v>18279.8</v>
      </c>
      <c r="F1224">
        <v>22</v>
      </c>
      <c r="G1224" s="16">
        <v>830.9</v>
      </c>
      <c r="H1224" t="s">
        <v>25</v>
      </c>
      <c r="I1224" t="s">
        <v>680</v>
      </c>
      <c r="J1224" t="s">
        <v>20</v>
      </c>
      <c r="K1224" t="s">
        <v>15</v>
      </c>
    </row>
    <row r="1225" spans="1:11" x14ac:dyDescent="0.45">
      <c r="A1225">
        <v>7419</v>
      </c>
      <c r="B1225" s="15">
        <v>43857</v>
      </c>
      <c r="C1225" t="str">
        <f>TEXT(Table1[[#This Row],[Order Date]], "yyyy")</f>
        <v>2020</v>
      </c>
      <c r="D1225" t="str">
        <f>TEXT(Table1[[#This Row],[Order Date]], "mmmm")</f>
        <v>January</v>
      </c>
      <c r="E1225" s="16">
        <f>Table1[[#This Row],[Order Quantity]]*Table1[[#This Row],[Unit Price]]</f>
        <v>12451.92</v>
      </c>
      <c r="F1225">
        <v>26</v>
      </c>
      <c r="G1225" s="16">
        <v>478.92</v>
      </c>
      <c r="H1225" t="s">
        <v>8</v>
      </c>
      <c r="I1225" t="s">
        <v>681</v>
      </c>
      <c r="J1225" t="s">
        <v>13</v>
      </c>
      <c r="K1225" t="s">
        <v>17</v>
      </c>
    </row>
    <row r="1226" spans="1:11" x14ac:dyDescent="0.45">
      <c r="A1226">
        <v>7420</v>
      </c>
      <c r="B1226" s="15">
        <v>44200</v>
      </c>
      <c r="C1226" t="str">
        <f>TEXT(Table1[[#This Row],[Order Date]], "yyyy")</f>
        <v>2021</v>
      </c>
      <c r="D1226" t="str">
        <f>TEXT(Table1[[#This Row],[Order Date]], "mmmm")</f>
        <v>January</v>
      </c>
      <c r="E1226" s="16">
        <f>Table1[[#This Row],[Order Quantity]]*Table1[[#This Row],[Unit Price]]</f>
        <v>19686.530000000002</v>
      </c>
      <c r="F1226">
        <v>61</v>
      </c>
      <c r="G1226" s="16">
        <v>322.73</v>
      </c>
      <c r="H1226" t="s">
        <v>8</v>
      </c>
      <c r="I1226" t="s">
        <v>682</v>
      </c>
      <c r="J1226" t="s">
        <v>20</v>
      </c>
      <c r="K1226" t="s">
        <v>15</v>
      </c>
    </row>
    <row r="1227" spans="1:11" x14ac:dyDescent="0.45">
      <c r="A1227">
        <v>7421</v>
      </c>
      <c r="B1227" s="15">
        <v>44063</v>
      </c>
      <c r="C1227" t="str">
        <f>TEXT(Table1[[#This Row],[Order Date]], "yyyy")</f>
        <v>2020</v>
      </c>
      <c r="D1227" t="str">
        <f>TEXT(Table1[[#This Row],[Order Date]], "mmmm")</f>
        <v>August</v>
      </c>
      <c r="E1227" s="16">
        <f>Table1[[#This Row],[Order Quantity]]*Table1[[#This Row],[Unit Price]]</f>
        <v>56125.079999999994</v>
      </c>
      <c r="F1227">
        <v>99</v>
      </c>
      <c r="G1227" s="16">
        <v>566.91999999999996</v>
      </c>
      <c r="H1227" t="s">
        <v>25</v>
      </c>
      <c r="I1227" t="s">
        <v>683</v>
      </c>
      <c r="J1227" t="s">
        <v>13</v>
      </c>
      <c r="K1227" t="s">
        <v>15</v>
      </c>
    </row>
    <row r="1228" spans="1:11" x14ac:dyDescent="0.45">
      <c r="A1228">
        <v>7422</v>
      </c>
      <c r="B1228" s="15">
        <v>43905</v>
      </c>
      <c r="C1228" t="str">
        <f>TEXT(Table1[[#This Row],[Order Date]], "yyyy")</f>
        <v>2020</v>
      </c>
      <c r="D1228" t="str">
        <f>TEXT(Table1[[#This Row],[Order Date]], "mmmm")</f>
        <v>March</v>
      </c>
      <c r="E1228" s="16">
        <f>Table1[[#This Row],[Order Quantity]]*Table1[[#This Row],[Unit Price]]</f>
        <v>14860.12</v>
      </c>
      <c r="F1228">
        <v>22</v>
      </c>
      <c r="G1228" s="16">
        <v>675.46</v>
      </c>
      <c r="H1228" t="s">
        <v>25</v>
      </c>
      <c r="I1228" t="s">
        <v>684</v>
      </c>
      <c r="J1228" t="s">
        <v>10</v>
      </c>
      <c r="K1228" t="s">
        <v>17</v>
      </c>
    </row>
    <row r="1229" spans="1:11" x14ac:dyDescent="0.45">
      <c r="A1229">
        <v>7423</v>
      </c>
      <c r="B1229" s="15">
        <v>43998</v>
      </c>
      <c r="C1229" t="str">
        <f>TEXT(Table1[[#This Row],[Order Date]], "yyyy")</f>
        <v>2020</v>
      </c>
      <c r="D1229" t="str">
        <f>TEXT(Table1[[#This Row],[Order Date]], "mmmm")</f>
        <v>June</v>
      </c>
      <c r="E1229" s="16">
        <f>Table1[[#This Row],[Order Quantity]]*Table1[[#This Row],[Unit Price]]</f>
        <v>575.78</v>
      </c>
      <c r="F1229">
        <v>1</v>
      </c>
      <c r="G1229" s="16">
        <v>575.78</v>
      </c>
      <c r="H1229" t="s">
        <v>25</v>
      </c>
      <c r="I1229" t="s">
        <v>685</v>
      </c>
      <c r="J1229" t="s">
        <v>23</v>
      </c>
      <c r="K1229" t="s">
        <v>11</v>
      </c>
    </row>
    <row r="1230" spans="1:11" x14ac:dyDescent="0.45">
      <c r="A1230">
        <v>7424</v>
      </c>
      <c r="B1230" s="15">
        <v>44191</v>
      </c>
      <c r="C1230" t="str">
        <f>TEXT(Table1[[#This Row],[Order Date]], "yyyy")</f>
        <v>2020</v>
      </c>
      <c r="D1230" t="str">
        <f>TEXT(Table1[[#This Row],[Order Date]], "mmmm")</f>
        <v>December</v>
      </c>
      <c r="E1230" s="16">
        <f>Table1[[#This Row],[Order Quantity]]*Table1[[#This Row],[Unit Price]]</f>
        <v>106734.59999999999</v>
      </c>
      <c r="F1230">
        <v>86</v>
      </c>
      <c r="G1230" s="16">
        <v>1241.0999999999999</v>
      </c>
      <c r="H1230" t="s">
        <v>25</v>
      </c>
      <c r="I1230" t="s">
        <v>686</v>
      </c>
      <c r="J1230" t="s">
        <v>23</v>
      </c>
      <c r="K1230" t="s">
        <v>15</v>
      </c>
    </row>
    <row r="1231" spans="1:11" x14ac:dyDescent="0.45">
      <c r="A1231">
        <v>7425</v>
      </c>
      <c r="B1231" s="15">
        <v>43911</v>
      </c>
      <c r="C1231" t="str">
        <f>TEXT(Table1[[#This Row],[Order Date]], "yyyy")</f>
        <v>2020</v>
      </c>
      <c r="D1231" t="str">
        <f>TEXT(Table1[[#This Row],[Order Date]], "mmmm")</f>
        <v>March</v>
      </c>
      <c r="E1231" s="16">
        <f>Table1[[#This Row],[Order Quantity]]*Table1[[#This Row],[Unit Price]]</f>
        <v>107812.3</v>
      </c>
      <c r="F1231">
        <v>85</v>
      </c>
      <c r="G1231" s="16">
        <v>1268.3800000000001</v>
      </c>
      <c r="H1231" t="s">
        <v>25</v>
      </c>
      <c r="I1231" t="s">
        <v>687</v>
      </c>
      <c r="J1231" t="s">
        <v>23</v>
      </c>
      <c r="K1231" t="s">
        <v>17</v>
      </c>
    </row>
    <row r="1232" spans="1:11" x14ac:dyDescent="0.45">
      <c r="A1232">
        <v>7426</v>
      </c>
      <c r="B1232" s="15">
        <v>44091</v>
      </c>
      <c r="C1232" t="str">
        <f>TEXT(Table1[[#This Row],[Order Date]], "yyyy")</f>
        <v>2020</v>
      </c>
      <c r="D1232" t="str">
        <f>TEXT(Table1[[#This Row],[Order Date]], "mmmm")</f>
        <v>September</v>
      </c>
      <c r="E1232" s="16">
        <f>Table1[[#This Row],[Order Quantity]]*Table1[[#This Row],[Unit Price]]</f>
        <v>71101.8</v>
      </c>
      <c r="F1232">
        <v>77</v>
      </c>
      <c r="G1232" s="16">
        <v>923.4</v>
      </c>
      <c r="H1232" t="s">
        <v>464</v>
      </c>
      <c r="I1232" t="s">
        <v>688</v>
      </c>
      <c r="J1232" t="s">
        <v>10</v>
      </c>
      <c r="K1232" t="s">
        <v>17</v>
      </c>
    </row>
    <row r="1233" spans="1:11" x14ac:dyDescent="0.45">
      <c r="A1233">
        <v>7427</v>
      </c>
      <c r="B1233" s="15">
        <v>44084</v>
      </c>
      <c r="C1233" t="str">
        <f>TEXT(Table1[[#This Row],[Order Date]], "yyyy")</f>
        <v>2020</v>
      </c>
      <c r="D1233" t="str">
        <f>TEXT(Table1[[#This Row],[Order Date]], "mmmm")</f>
        <v>September</v>
      </c>
      <c r="E1233" s="16">
        <f>Table1[[#This Row],[Order Quantity]]*Table1[[#This Row],[Unit Price]]</f>
        <v>26853.64</v>
      </c>
      <c r="F1233">
        <v>44</v>
      </c>
      <c r="G1233" s="16">
        <v>610.30999999999995</v>
      </c>
      <c r="H1233" t="s">
        <v>8</v>
      </c>
      <c r="I1233" t="s">
        <v>689</v>
      </c>
      <c r="J1233" t="s">
        <v>13</v>
      </c>
      <c r="K1233" t="s">
        <v>11</v>
      </c>
    </row>
    <row r="1234" spans="1:11" x14ac:dyDescent="0.45">
      <c r="A1234">
        <v>7428</v>
      </c>
      <c r="B1234" s="15">
        <v>44078</v>
      </c>
      <c r="C1234" t="str">
        <f>TEXT(Table1[[#This Row],[Order Date]], "yyyy")</f>
        <v>2020</v>
      </c>
      <c r="D1234" t="str">
        <f>TEXT(Table1[[#This Row],[Order Date]], "mmmm")</f>
        <v>September</v>
      </c>
      <c r="E1234" s="16">
        <f>Table1[[#This Row],[Order Quantity]]*Table1[[#This Row],[Unit Price]]</f>
        <v>35581.839999999997</v>
      </c>
      <c r="F1234">
        <v>56</v>
      </c>
      <c r="G1234" s="16">
        <v>635.39</v>
      </c>
      <c r="H1234" t="s">
        <v>8</v>
      </c>
      <c r="I1234" t="s">
        <v>690</v>
      </c>
      <c r="J1234" t="s">
        <v>10</v>
      </c>
      <c r="K1234" t="s">
        <v>11</v>
      </c>
    </row>
    <row r="1235" spans="1:11" x14ac:dyDescent="0.45">
      <c r="A1235">
        <v>7429</v>
      </c>
      <c r="B1235" s="15">
        <v>43872</v>
      </c>
      <c r="C1235" t="str">
        <f>TEXT(Table1[[#This Row],[Order Date]], "yyyy")</f>
        <v>2020</v>
      </c>
      <c r="D1235" t="str">
        <f>TEXT(Table1[[#This Row],[Order Date]], "mmmm")</f>
        <v>February</v>
      </c>
      <c r="E1235" s="16">
        <f>Table1[[#This Row],[Order Quantity]]*Table1[[#This Row],[Unit Price]]</f>
        <v>65672.819999999992</v>
      </c>
      <c r="F1235">
        <v>58</v>
      </c>
      <c r="G1235" s="16">
        <v>1132.29</v>
      </c>
      <c r="H1235" t="s">
        <v>464</v>
      </c>
      <c r="I1235" t="s">
        <v>691</v>
      </c>
      <c r="J1235" t="s">
        <v>13</v>
      </c>
      <c r="K1235" t="s">
        <v>15</v>
      </c>
    </row>
    <row r="1236" spans="1:11" x14ac:dyDescent="0.45">
      <c r="A1236">
        <v>7430</v>
      </c>
      <c r="B1236" s="15">
        <v>43858</v>
      </c>
      <c r="C1236" t="str">
        <f>TEXT(Table1[[#This Row],[Order Date]], "yyyy")</f>
        <v>2020</v>
      </c>
      <c r="D1236" t="str">
        <f>TEXT(Table1[[#This Row],[Order Date]], "mmmm")</f>
        <v>January</v>
      </c>
      <c r="E1236" s="16">
        <f>Table1[[#This Row],[Order Quantity]]*Table1[[#This Row],[Unit Price]]</f>
        <v>8222.76</v>
      </c>
      <c r="F1236">
        <v>6</v>
      </c>
      <c r="G1236" s="16">
        <v>1370.46</v>
      </c>
      <c r="H1236" t="s">
        <v>25</v>
      </c>
      <c r="I1236" t="s">
        <v>692</v>
      </c>
      <c r="J1236" t="s">
        <v>13</v>
      </c>
      <c r="K1236" t="s">
        <v>17</v>
      </c>
    </row>
    <row r="1237" spans="1:11" x14ac:dyDescent="0.45">
      <c r="A1237">
        <v>7431</v>
      </c>
      <c r="B1237" s="15">
        <v>44057</v>
      </c>
      <c r="C1237" t="str">
        <f>TEXT(Table1[[#This Row],[Order Date]], "yyyy")</f>
        <v>2020</v>
      </c>
      <c r="D1237" t="str">
        <f>TEXT(Table1[[#This Row],[Order Date]], "mmmm")</f>
        <v>August</v>
      </c>
      <c r="E1237" s="16">
        <f>Table1[[#This Row],[Order Quantity]]*Table1[[#This Row],[Unit Price]]</f>
        <v>8128.16</v>
      </c>
      <c r="F1237">
        <v>37</v>
      </c>
      <c r="G1237" s="16">
        <v>219.68</v>
      </c>
      <c r="H1237" t="s">
        <v>25</v>
      </c>
      <c r="I1237" t="s">
        <v>693</v>
      </c>
      <c r="J1237" t="s">
        <v>23</v>
      </c>
      <c r="K1237" t="s">
        <v>15</v>
      </c>
    </row>
    <row r="1238" spans="1:11" x14ac:dyDescent="0.45">
      <c r="A1238">
        <v>7432</v>
      </c>
      <c r="B1238" s="15">
        <v>43991</v>
      </c>
      <c r="C1238" t="str">
        <f>TEXT(Table1[[#This Row],[Order Date]], "yyyy")</f>
        <v>2020</v>
      </c>
      <c r="D1238" t="str">
        <f>TEXT(Table1[[#This Row],[Order Date]], "mmmm")</f>
        <v>June</v>
      </c>
      <c r="E1238" s="16">
        <f>Table1[[#This Row],[Order Quantity]]*Table1[[#This Row],[Unit Price]]</f>
        <v>23247.199999999997</v>
      </c>
      <c r="F1238">
        <v>80</v>
      </c>
      <c r="G1238" s="16">
        <v>290.58999999999997</v>
      </c>
      <c r="H1238" t="s">
        <v>464</v>
      </c>
      <c r="I1238" t="s">
        <v>694</v>
      </c>
      <c r="J1238" t="s">
        <v>10</v>
      </c>
      <c r="K1238" t="s">
        <v>17</v>
      </c>
    </row>
    <row r="1239" spans="1:11" x14ac:dyDescent="0.45">
      <c r="A1239">
        <v>7433</v>
      </c>
      <c r="B1239" s="15">
        <v>43910</v>
      </c>
      <c r="C1239" t="str">
        <f>TEXT(Table1[[#This Row],[Order Date]], "yyyy")</f>
        <v>2020</v>
      </c>
      <c r="D1239" t="str">
        <f>TEXT(Table1[[#This Row],[Order Date]], "mmmm")</f>
        <v>March</v>
      </c>
      <c r="E1239" s="16">
        <f>Table1[[#This Row],[Order Quantity]]*Table1[[#This Row],[Unit Price]]</f>
        <v>8811.4399999999987</v>
      </c>
      <c r="F1239">
        <v>44</v>
      </c>
      <c r="G1239" s="16">
        <v>200.26</v>
      </c>
      <c r="H1239" t="s">
        <v>464</v>
      </c>
      <c r="I1239" t="s">
        <v>695</v>
      </c>
      <c r="J1239" t="s">
        <v>13</v>
      </c>
      <c r="K1239" t="s">
        <v>11</v>
      </c>
    </row>
    <row r="1240" spans="1:11" x14ac:dyDescent="0.45">
      <c r="A1240">
        <v>7434</v>
      </c>
      <c r="B1240" s="15">
        <v>44031</v>
      </c>
      <c r="C1240" t="str">
        <f>TEXT(Table1[[#This Row],[Order Date]], "yyyy")</f>
        <v>2020</v>
      </c>
      <c r="D1240" t="str">
        <f>TEXT(Table1[[#This Row],[Order Date]], "mmmm")</f>
        <v>July</v>
      </c>
      <c r="E1240" s="16">
        <f>Table1[[#This Row],[Order Quantity]]*Table1[[#This Row],[Unit Price]]</f>
        <v>76809.209999999992</v>
      </c>
      <c r="F1240">
        <v>57</v>
      </c>
      <c r="G1240" s="16">
        <v>1347.53</v>
      </c>
      <c r="H1240" t="s">
        <v>464</v>
      </c>
      <c r="I1240" t="s">
        <v>696</v>
      </c>
      <c r="J1240" t="s">
        <v>20</v>
      </c>
      <c r="K1240" t="s">
        <v>15</v>
      </c>
    </row>
    <row r="1241" spans="1:11" x14ac:dyDescent="0.45">
      <c r="A1241">
        <v>7435</v>
      </c>
      <c r="B1241" s="15">
        <v>43848</v>
      </c>
      <c r="C1241" t="str">
        <f>TEXT(Table1[[#This Row],[Order Date]], "yyyy")</f>
        <v>2020</v>
      </c>
      <c r="D1241" t="str">
        <f>TEXT(Table1[[#This Row],[Order Date]], "mmmm")</f>
        <v>January</v>
      </c>
      <c r="E1241" s="16">
        <f>Table1[[#This Row],[Order Quantity]]*Table1[[#This Row],[Unit Price]]</f>
        <v>9240.56</v>
      </c>
      <c r="F1241">
        <v>8</v>
      </c>
      <c r="G1241" s="16">
        <v>1155.07</v>
      </c>
      <c r="H1241" t="s">
        <v>8</v>
      </c>
      <c r="I1241" t="s">
        <v>697</v>
      </c>
      <c r="J1241" t="s">
        <v>20</v>
      </c>
      <c r="K1241" t="s">
        <v>17</v>
      </c>
    </row>
    <row r="1242" spans="1:11" x14ac:dyDescent="0.45">
      <c r="A1242">
        <v>7436</v>
      </c>
      <c r="B1242" s="15">
        <v>44131</v>
      </c>
      <c r="C1242" t="str">
        <f>TEXT(Table1[[#This Row],[Order Date]], "yyyy")</f>
        <v>2020</v>
      </c>
      <c r="D1242" t="str">
        <f>TEXT(Table1[[#This Row],[Order Date]], "mmmm")</f>
        <v>October</v>
      </c>
      <c r="E1242" s="16">
        <f>Table1[[#This Row],[Order Quantity]]*Table1[[#This Row],[Unit Price]]</f>
        <v>5104.7699999999995</v>
      </c>
      <c r="F1242">
        <v>31</v>
      </c>
      <c r="G1242" s="16">
        <v>164.67</v>
      </c>
      <c r="H1242" t="s">
        <v>25</v>
      </c>
      <c r="I1242" t="s">
        <v>698</v>
      </c>
      <c r="J1242" t="s">
        <v>23</v>
      </c>
      <c r="K1242" t="s">
        <v>11</v>
      </c>
    </row>
    <row r="1243" spans="1:11" x14ac:dyDescent="0.45">
      <c r="A1243">
        <v>7437</v>
      </c>
      <c r="B1243" s="15">
        <v>44169</v>
      </c>
      <c r="C1243" t="str">
        <f>TEXT(Table1[[#This Row],[Order Date]], "yyyy")</f>
        <v>2020</v>
      </c>
      <c r="D1243" t="str">
        <f>TEXT(Table1[[#This Row],[Order Date]], "mmmm")</f>
        <v>December</v>
      </c>
      <c r="E1243" s="16">
        <f>Table1[[#This Row],[Order Quantity]]*Table1[[#This Row],[Unit Price]]</f>
        <v>49551.369999999995</v>
      </c>
      <c r="F1243">
        <v>41</v>
      </c>
      <c r="G1243" s="16">
        <v>1208.57</v>
      </c>
      <c r="H1243" t="s">
        <v>25</v>
      </c>
      <c r="I1243" t="s">
        <v>699</v>
      </c>
      <c r="J1243" t="s">
        <v>10</v>
      </c>
      <c r="K1243" t="s">
        <v>17</v>
      </c>
    </row>
    <row r="1244" spans="1:11" x14ac:dyDescent="0.45">
      <c r="A1244">
        <v>7438</v>
      </c>
      <c r="B1244" s="15">
        <v>44181</v>
      </c>
      <c r="C1244" t="str">
        <f>TEXT(Table1[[#This Row],[Order Date]], "yyyy")</f>
        <v>2020</v>
      </c>
      <c r="D1244" t="str">
        <f>TEXT(Table1[[#This Row],[Order Date]], "mmmm")</f>
        <v>December</v>
      </c>
      <c r="E1244" s="16">
        <f>Table1[[#This Row],[Order Quantity]]*Table1[[#This Row],[Unit Price]]</f>
        <v>120440.78</v>
      </c>
      <c r="F1244">
        <v>82</v>
      </c>
      <c r="G1244" s="16">
        <v>1468.79</v>
      </c>
      <c r="H1244" t="s">
        <v>464</v>
      </c>
      <c r="I1244" t="s">
        <v>700</v>
      </c>
      <c r="J1244" t="s">
        <v>23</v>
      </c>
      <c r="K1244" t="s">
        <v>11</v>
      </c>
    </row>
    <row r="1245" spans="1:11" x14ac:dyDescent="0.45">
      <c r="A1245">
        <v>7439</v>
      </c>
      <c r="B1245" s="15">
        <v>44051</v>
      </c>
      <c r="C1245" t="str">
        <f>TEXT(Table1[[#This Row],[Order Date]], "yyyy")</f>
        <v>2020</v>
      </c>
      <c r="D1245" t="str">
        <f>TEXT(Table1[[#This Row],[Order Date]], "mmmm")</f>
        <v>August</v>
      </c>
      <c r="E1245" s="16">
        <f>Table1[[#This Row],[Order Quantity]]*Table1[[#This Row],[Unit Price]]</f>
        <v>38726.800000000003</v>
      </c>
      <c r="F1245">
        <v>70</v>
      </c>
      <c r="G1245" s="16">
        <v>553.24</v>
      </c>
      <c r="H1245" t="s">
        <v>464</v>
      </c>
      <c r="I1245" t="s">
        <v>701</v>
      </c>
      <c r="J1245" t="s">
        <v>13</v>
      </c>
      <c r="K1245" t="s">
        <v>11</v>
      </c>
    </row>
    <row r="1246" spans="1:11" x14ac:dyDescent="0.45">
      <c r="A1246">
        <v>7440</v>
      </c>
      <c r="B1246" s="15">
        <v>43840</v>
      </c>
      <c r="C1246" t="str">
        <f>TEXT(Table1[[#This Row],[Order Date]], "yyyy")</f>
        <v>2020</v>
      </c>
      <c r="D1246" t="str">
        <f>TEXT(Table1[[#This Row],[Order Date]], "mmmm")</f>
        <v>January</v>
      </c>
      <c r="E1246" s="16">
        <f>Table1[[#This Row],[Order Quantity]]*Table1[[#This Row],[Unit Price]]</f>
        <v>102112.23999999999</v>
      </c>
      <c r="F1246">
        <v>79</v>
      </c>
      <c r="G1246" s="16">
        <v>1292.56</v>
      </c>
      <c r="H1246" t="s">
        <v>464</v>
      </c>
      <c r="I1246" t="s">
        <v>702</v>
      </c>
      <c r="J1246" t="s">
        <v>20</v>
      </c>
      <c r="K1246" t="s">
        <v>17</v>
      </c>
    </row>
    <row r="1247" spans="1:11" x14ac:dyDescent="0.45">
      <c r="A1247">
        <v>7441</v>
      </c>
      <c r="B1247" s="15">
        <v>43889</v>
      </c>
      <c r="C1247" t="str">
        <f>TEXT(Table1[[#This Row],[Order Date]], "yyyy")</f>
        <v>2020</v>
      </c>
      <c r="D1247" t="str">
        <f>TEXT(Table1[[#This Row],[Order Date]], "mmmm")</f>
        <v>February</v>
      </c>
      <c r="E1247" s="16">
        <f>Table1[[#This Row],[Order Quantity]]*Table1[[#This Row],[Unit Price]]</f>
        <v>38512.82</v>
      </c>
      <c r="F1247">
        <v>34</v>
      </c>
      <c r="G1247" s="16">
        <v>1132.73</v>
      </c>
      <c r="H1247" t="s">
        <v>8</v>
      </c>
      <c r="I1247" t="s">
        <v>703</v>
      </c>
      <c r="J1247" t="s">
        <v>20</v>
      </c>
      <c r="K1247" t="s">
        <v>11</v>
      </c>
    </row>
    <row r="1248" spans="1:11" x14ac:dyDescent="0.45">
      <c r="A1248">
        <v>7442</v>
      </c>
      <c r="B1248" s="15">
        <v>44110</v>
      </c>
      <c r="C1248" t="str">
        <f>TEXT(Table1[[#This Row],[Order Date]], "yyyy")</f>
        <v>2020</v>
      </c>
      <c r="D1248" t="str">
        <f>TEXT(Table1[[#This Row],[Order Date]], "mmmm")</f>
        <v>October</v>
      </c>
      <c r="E1248" s="16">
        <f>Table1[[#This Row],[Order Quantity]]*Table1[[#This Row],[Unit Price]]</f>
        <v>2688.85</v>
      </c>
      <c r="F1248">
        <v>5</v>
      </c>
      <c r="G1248" s="16">
        <v>537.77</v>
      </c>
      <c r="H1248" t="s">
        <v>8</v>
      </c>
      <c r="I1248" t="s">
        <v>704</v>
      </c>
      <c r="J1248" t="s">
        <v>23</v>
      </c>
      <c r="K1248" t="s">
        <v>17</v>
      </c>
    </row>
    <row r="1249" spans="1:11" x14ac:dyDescent="0.45">
      <c r="A1249">
        <v>7443</v>
      </c>
      <c r="B1249" s="15">
        <v>43986</v>
      </c>
      <c r="C1249" t="str">
        <f>TEXT(Table1[[#This Row],[Order Date]], "yyyy")</f>
        <v>2020</v>
      </c>
      <c r="D1249" t="str">
        <f>TEXT(Table1[[#This Row],[Order Date]], "mmmm")</f>
        <v>June</v>
      </c>
      <c r="E1249" s="16">
        <f>Table1[[#This Row],[Order Quantity]]*Table1[[#This Row],[Unit Price]]</f>
        <v>2806.9100000000003</v>
      </c>
      <c r="F1249">
        <v>29</v>
      </c>
      <c r="G1249" s="16">
        <v>96.79</v>
      </c>
      <c r="H1249" t="s">
        <v>464</v>
      </c>
      <c r="I1249" t="s">
        <v>705</v>
      </c>
      <c r="J1249" t="s">
        <v>23</v>
      </c>
      <c r="K1249" t="s">
        <v>17</v>
      </c>
    </row>
    <row r="1250" spans="1:11" x14ac:dyDescent="0.45">
      <c r="A1250">
        <v>7444</v>
      </c>
      <c r="B1250" s="15">
        <v>44153</v>
      </c>
      <c r="C1250" t="str">
        <f>TEXT(Table1[[#This Row],[Order Date]], "yyyy")</f>
        <v>2020</v>
      </c>
      <c r="D1250" t="str">
        <f>TEXT(Table1[[#This Row],[Order Date]], "mmmm")</f>
        <v>November</v>
      </c>
      <c r="E1250" s="16">
        <f>Table1[[#This Row],[Order Quantity]]*Table1[[#This Row],[Unit Price]]</f>
        <v>67024.260000000009</v>
      </c>
      <c r="F1250">
        <v>54</v>
      </c>
      <c r="G1250" s="16">
        <v>1241.19</v>
      </c>
      <c r="H1250" t="s">
        <v>8</v>
      </c>
      <c r="I1250" t="s">
        <v>706</v>
      </c>
      <c r="J1250" t="s">
        <v>13</v>
      </c>
      <c r="K1250" t="s">
        <v>11</v>
      </c>
    </row>
    <row r="1251" spans="1:11" x14ac:dyDescent="0.45">
      <c r="A1251">
        <v>7445</v>
      </c>
      <c r="B1251" s="15">
        <v>44032</v>
      </c>
      <c r="C1251" t="str">
        <f>TEXT(Table1[[#This Row],[Order Date]], "yyyy")</f>
        <v>2020</v>
      </c>
      <c r="D1251" t="str">
        <f>TEXT(Table1[[#This Row],[Order Date]], "mmmm")</f>
        <v>July</v>
      </c>
      <c r="E1251" s="16">
        <f>Table1[[#This Row],[Order Quantity]]*Table1[[#This Row],[Unit Price]]</f>
        <v>24253.920000000002</v>
      </c>
      <c r="F1251">
        <v>36</v>
      </c>
      <c r="G1251" s="16">
        <v>673.72</v>
      </c>
      <c r="H1251" t="s">
        <v>25</v>
      </c>
      <c r="I1251" t="s">
        <v>707</v>
      </c>
      <c r="J1251" t="s">
        <v>10</v>
      </c>
      <c r="K1251" t="s">
        <v>17</v>
      </c>
    </row>
    <row r="1252" spans="1:11" x14ac:dyDescent="0.45">
      <c r="A1252">
        <v>7446</v>
      </c>
      <c r="B1252" s="15">
        <v>43869</v>
      </c>
      <c r="C1252" t="str">
        <f>TEXT(Table1[[#This Row],[Order Date]], "yyyy")</f>
        <v>2020</v>
      </c>
      <c r="D1252" t="str">
        <f>TEXT(Table1[[#This Row],[Order Date]], "mmmm")</f>
        <v>February</v>
      </c>
      <c r="E1252" s="16">
        <f>Table1[[#This Row],[Order Quantity]]*Table1[[#This Row],[Unit Price]]</f>
        <v>54933.120000000003</v>
      </c>
      <c r="F1252">
        <v>68</v>
      </c>
      <c r="G1252" s="16">
        <v>807.84</v>
      </c>
      <c r="H1252" t="s">
        <v>8</v>
      </c>
      <c r="I1252" t="s">
        <v>708</v>
      </c>
      <c r="J1252" t="s">
        <v>20</v>
      </c>
      <c r="K1252" t="s">
        <v>17</v>
      </c>
    </row>
    <row r="1253" spans="1:11" x14ac:dyDescent="0.45">
      <c r="A1253">
        <v>7447</v>
      </c>
      <c r="B1253" s="15">
        <v>43841</v>
      </c>
      <c r="C1253" t="str">
        <f>TEXT(Table1[[#This Row],[Order Date]], "yyyy")</f>
        <v>2020</v>
      </c>
      <c r="D1253" t="str">
        <f>TEXT(Table1[[#This Row],[Order Date]], "mmmm")</f>
        <v>January</v>
      </c>
      <c r="E1253" s="16">
        <f>Table1[[#This Row],[Order Quantity]]*Table1[[#This Row],[Unit Price]]</f>
        <v>110440.48000000001</v>
      </c>
      <c r="F1253">
        <v>92</v>
      </c>
      <c r="G1253" s="16">
        <v>1200.44</v>
      </c>
      <c r="H1253" t="s">
        <v>8</v>
      </c>
      <c r="I1253" t="s">
        <v>709</v>
      </c>
      <c r="J1253" t="s">
        <v>10</v>
      </c>
      <c r="K1253" t="s">
        <v>17</v>
      </c>
    </row>
    <row r="1254" spans="1:11" x14ac:dyDescent="0.45">
      <c r="A1254">
        <v>7448</v>
      </c>
      <c r="B1254" s="15">
        <v>44146</v>
      </c>
      <c r="C1254" t="str">
        <f>TEXT(Table1[[#This Row],[Order Date]], "yyyy")</f>
        <v>2020</v>
      </c>
      <c r="D1254" t="str">
        <f>TEXT(Table1[[#This Row],[Order Date]], "mmmm")</f>
        <v>November</v>
      </c>
      <c r="E1254" s="16">
        <f>Table1[[#This Row],[Order Quantity]]*Table1[[#This Row],[Unit Price]]</f>
        <v>39054.100000000006</v>
      </c>
      <c r="F1254">
        <v>34</v>
      </c>
      <c r="G1254" s="16">
        <v>1148.6500000000001</v>
      </c>
      <c r="H1254" t="s">
        <v>25</v>
      </c>
      <c r="I1254" t="s">
        <v>710</v>
      </c>
      <c r="J1254" t="s">
        <v>10</v>
      </c>
      <c r="K1254" t="s">
        <v>11</v>
      </c>
    </row>
    <row r="1255" spans="1:11" x14ac:dyDescent="0.45">
      <c r="A1255">
        <v>7449</v>
      </c>
      <c r="B1255" s="15">
        <v>44003</v>
      </c>
      <c r="C1255" t="str">
        <f>TEXT(Table1[[#This Row],[Order Date]], "yyyy")</f>
        <v>2020</v>
      </c>
      <c r="D1255" t="str">
        <f>TEXT(Table1[[#This Row],[Order Date]], "mmmm")</f>
        <v>June</v>
      </c>
      <c r="E1255" s="16">
        <f>Table1[[#This Row],[Order Quantity]]*Table1[[#This Row],[Unit Price]]</f>
        <v>7701.44</v>
      </c>
      <c r="F1255">
        <v>8</v>
      </c>
      <c r="G1255" s="16">
        <v>962.68</v>
      </c>
      <c r="H1255" t="s">
        <v>25</v>
      </c>
      <c r="I1255" t="s">
        <v>711</v>
      </c>
      <c r="J1255" t="s">
        <v>20</v>
      </c>
      <c r="K1255" t="s">
        <v>15</v>
      </c>
    </row>
    <row r="1256" spans="1:11" x14ac:dyDescent="0.45">
      <c r="A1256">
        <v>7450</v>
      </c>
      <c r="B1256" s="15">
        <v>43978</v>
      </c>
      <c r="C1256" t="str">
        <f>TEXT(Table1[[#This Row],[Order Date]], "yyyy")</f>
        <v>2020</v>
      </c>
      <c r="D1256" t="str">
        <f>TEXT(Table1[[#This Row],[Order Date]], "mmmm")</f>
        <v>May</v>
      </c>
      <c r="E1256" s="16">
        <f>Table1[[#This Row],[Order Quantity]]*Table1[[#This Row],[Unit Price]]</f>
        <v>44789.120000000003</v>
      </c>
      <c r="F1256">
        <v>47</v>
      </c>
      <c r="G1256" s="16">
        <v>952.96</v>
      </c>
      <c r="H1256" t="s">
        <v>464</v>
      </c>
      <c r="I1256" t="s">
        <v>712</v>
      </c>
      <c r="J1256" t="s">
        <v>20</v>
      </c>
      <c r="K1256" t="s">
        <v>17</v>
      </c>
    </row>
    <row r="1257" spans="1:11" x14ac:dyDescent="0.45">
      <c r="A1257">
        <v>7451</v>
      </c>
      <c r="B1257" s="15">
        <v>43890</v>
      </c>
      <c r="C1257" t="str">
        <f>TEXT(Table1[[#This Row],[Order Date]], "yyyy")</f>
        <v>2020</v>
      </c>
      <c r="D1257" t="str">
        <f>TEXT(Table1[[#This Row],[Order Date]], "mmmm")</f>
        <v>February</v>
      </c>
      <c r="E1257" s="16">
        <f>Table1[[#This Row],[Order Quantity]]*Table1[[#This Row],[Unit Price]]</f>
        <v>54935.28</v>
      </c>
      <c r="F1257">
        <v>72</v>
      </c>
      <c r="G1257" s="16">
        <v>762.99</v>
      </c>
      <c r="H1257" t="s">
        <v>8</v>
      </c>
      <c r="I1257" t="s">
        <v>713</v>
      </c>
      <c r="J1257" t="s">
        <v>10</v>
      </c>
      <c r="K1257" t="s">
        <v>15</v>
      </c>
    </row>
    <row r="1258" spans="1:11" x14ac:dyDescent="0.45">
      <c r="A1258">
        <v>7452</v>
      </c>
      <c r="B1258" s="15">
        <v>44163</v>
      </c>
      <c r="C1258" t="str">
        <f>TEXT(Table1[[#This Row],[Order Date]], "yyyy")</f>
        <v>2020</v>
      </c>
      <c r="D1258" t="str">
        <f>TEXT(Table1[[#This Row],[Order Date]], "mmmm")</f>
        <v>November</v>
      </c>
      <c r="E1258" s="16">
        <f>Table1[[#This Row],[Order Quantity]]*Table1[[#This Row],[Unit Price]]</f>
        <v>18833.11</v>
      </c>
      <c r="F1258">
        <v>17</v>
      </c>
      <c r="G1258" s="16">
        <v>1107.83</v>
      </c>
      <c r="H1258" t="s">
        <v>8</v>
      </c>
      <c r="I1258" t="s">
        <v>714</v>
      </c>
      <c r="J1258" t="s">
        <v>13</v>
      </c>
      <c r="K1258" t="s">
        <v>11</v>
      </c>
    </row>
    <row r="1259" spans="1:11" x14ac:dyDescent="0.45">
      <c r="A1259">
        <v>7453</v>
      </c>
      <c r="B1259" s="15">
        <v>43871</v>
      </c>
      <c r="C1259" t="str">
        <f>TEXT(Table1[[#This Row],[Order Date]], "yyyy")</f>
        <v>2020</v>
      </c>
      <c r="D1259" t="str">
        <f>TEXT(Table1[[#This Row],[Order Date]], "mmmm")</f>
        <v>February</v>
      </c>
      <c r="E1259" s="16">
        <f>Table1[[#This Row],[Order Quantity]]*Table1[[#This Row],[Unit Price]]</f>
        <v>82064.399999999994</v>
      </c>
      <c r="F1259">
        <v>88</v>
      </c>
      <c r="G1259" s="16">
        <v>932.55</v>
      </c>
      <c r="H1259" t="s">
        <v>8</v>
      </c>
      <c r="I1259" t="s">
        <v>715</v>
      </c>
      <c r="J1259" t="s">
        <v>23</v>
      </c>
      <c r="K1259" t="s">
        <v>15</v>
      </c>
    </row>
    <row r="1260" spans="1:11" x14ac:dyDescent="0.45">
      <c r="A1260">
        <v>7454</v>
      </c>
      <c r="B1260" s="15">
        <v>44138</v>
      </c>
      <c r="C1260" t="str">
        <f>TEXT(Table1[[#This Row],[Order Date]], "yyyy")</f>
        <v>2020</v>
      </c>
      <c r="D1260" t="str">
        <f>TEXT(Table1[[#This Row],[Order Date]], "mmmm")</f>
        <v>November</v>
      </c>
      <c r="E1260" s="16">
        <f>Table1[[#This Row],[Order Quantity]]*Table1[[#This Row],[Unit Price]]</f>
        <v>30012</v>
      </c>
      <c r="F1260">
        <v>41</v>
      </c>
      <c r="G1260" s="16">
        <v>732</v>
      </c>
      <c r="H1260" t="s">
        <v>25</v>
      </c>
      <c r="I1260" t="s">
        <v>716</v>
      </c>
      <c r="J1260" t="s">
        <v>10</v>
      </c>
      <c r="K1260" t="s">
        <v>11</v>
      </c>
    </row>
    <row r="1261" spans="1:11" x14ac:dyDescent="0.45">
      <c r="A1261">
        <v>7455</v>
      </c>
      <c r="B1261" s="15">
        <v>43969</v>
      </c>
      <c r="C1261" t="str">
        <f>TEXT(Table1[[#This Row],[Order Date]], "yyyy")</f>
        <v>2020</v>
      </c>
      <c r="D1261" t="str">
        <f>TEXT(Table1[[#This Row],[Order Date]], "mmmm")</f>
        <v>May</v>
      </c>
      <c r="E1261" s="16">
        <f>Table1[[#This Row],[Order Quantity]]*Table1[[#This Row],[Unit Price]]</f>
        <v>52957.72</v>
      </c>
      <c r="F1261">
        <v>47</v>
      </c>
      <c r="G1261" s="16">
        <v>1126.76</v>
      </c>
      <c r="H1261" t="s">
        <v>464</v>
      </c>
      <c r="I1261" t="s">
        <v>717</v>
      </c>
      <c r="J1261" t="s">
        <v>20</v>
      </c>
      <c r="K1261" t="s">
        <v>15</v>
      </c>
    </row>
    <row r="1262" spans="1:11" x14ac:dyDescent="0.45">
      <c r="A1262">
        <v>7456</v>
      </c>
      <c r="B1262" s="15">
        <v>43990</v>
      </c>
      <c r="C1262" t="str">
        <f>TEXT(Table1[[#This Row],[Order Date]], "yyyy")</f>
        <v>2020</v>
      </c>
      <c r="D1262" t="str">
        <f>TEXT(Table1[[#This Row],[Order Date]], "mmmm")</f>
        <v>June</v>
      </c>
      <c r="E1262" s="16">
        <f>Table1[[#This Row],[Order Quantity]]*Table1[[#This Row],[Unit Price]]</f>
        <v>40096.33</v>
      </c>
      <c r="F1262">
        <v>31</v>
      </c>
      <c r="G1262" s="16">
        <v>1293.43</v>
      </c>
      <c r="H1262" t="s">
        <v>8</v>
      </c>
      <c r="I1262" t="s">
        <v>718</v>
      </c>
      <c r="J1262" t="s">
        <v>20</v>
      </c>
      <c r="K1262" t="s">
        <v>17</v>
      </c>
    </row>
    <row r="1263" spans="1:11" x14ac:dyDescent="0.45">
      <c r="A1263">
        <v>7457</v>
      </c>
      <c r="B1263" s="15">
        <v>43898</v>
      </c>
      <c r="C1263" t="str">
        <f>TEXT(Table1[[#This Row],[Order Date]], "yyyy")</f>
        <v>2020</v>
      </c>
      <c r="D1263" t="str">
        <f>TEXT(Table1[[#This Row],[Order Date]], "mmmm")</f>
        <v>March</v>
      </c>
      <c r="E1263" s="16">
        <f>Table1[[#This Row],[Order Quantity]]*Table1[[#This Row],[Unit Price]]</f>
        <v>21963.32</v>
      </c>
      <c r="F1263">
        <v>17</v>
      </c>
      <c r="G1263" s="16">
        <v>1291.96</v>
      </c>
      <c r="H1263" t="s">
        <v>464</v>
      </c>
      <c r="I1263" t="s">
        <v>719</v>
      </c>
      <c r="J1263" t="s">
        <v>10</v>
      </c>
      <c r="K1263" t="s">
        <v>17</v>
      </c>
    </row>
    <row r="1264" spans="1:11" x14ac:dyDescent="0.45">
      <c r="A1264">
        <v>7458</v>
      </c>
      <c r="B1264" s="15">
        <v>44143</v>
      </c>
      <c r="C1264" t="str">
        <f>TEXT(Table1[[#This Row],[Order Date]], "yyyy")</f>
        <v>2020</v>
      </c>
      <c r="D1264" t="str">
        <f>TEXT(Table1[[#This Row],[Order Date]], "mmmm")</f>
        <v>November</v>
      </c>
      <c r="E1264" s="16">
        <f>Table1[[#This Row],[Order Quantity]]*Table1[[#This Row],[Unit Price]]</f>
        <v>15032.32</v>
      </c>
      <c r="F1264">
        <v>16</v>
      </c>
      <c r="G1264" s="16">
        <v>939.52</v>
      </c>
      <c r="H1264" t="s">
        <v>8</v>
      </c>
      <c r="I1264" t="s">
        <v>720</v>
      </c>
      <c r="J1264" t="s">
        <v>20</v>
      </c>
      <c r="K1264" t="s">
        <v>11</v>
      </c>
    </row>
    <row r="1265" spans="1:11" x14ac:dyDescent="0.45">
      <c r="A1265">
        <v>7459</v>
      </c>
      <c r="B1265" s="15">
        <v>43864</v>
      </c>
      <c r="C1265" t="str">
        <f>TEXT(Table1[[#This Row],[Order Date]], "yyyy")</f>
        <v>2020</v>
      </c>
      <c r="D1265" t="str">
        <f>TEXT(Table1[[#This Row],[Order Date]], "mmmm")</f>
        <v>February</v>
      </c>
      <c r="E1265" s="16">
        <f>Table1[[#This Row],[Order Quantity]]*Table1[[#This Row],[Unit Price]]</f>
        <v>38735.300000000003</v>
      </c>
      <c r="F1265">
        <v>37</v>
      </c>
      <c r="G1265" s="16">
        <v>1046.9000000000001</v>
      </c>
      <c r="H1265" t="s">
        <v>25</v>
      </c>
      <c r="I1265" t="s">
        <v>721</v>
      </c>
      <c r="J1265" t="s">
        <v>13</v>
      </c>
      <c r="K1265" t="s">
        <v>17</v>
      </c>
    </row>
    <row r="1266" spans="1:11" x14ac:dyDescent="0.45">
      <c r="A1266">
        <v>7460</v>
      </c>
      <c r="B1266" s="15">
        <v>44076</v>
      </c>
      <c r="C1266" t="str">
        <f>TEXT(Table1[[#This Row],[Order Date]], "yyyy")</f>
        <v>2020</v>
      </c>
      <c r="D1266" t="str">
        <f>TEXT(Table1[[#This Row],[Order Date]], "mmmm")</f>
        <v>September</v>
      </c>
      <c r="E1266" s="16">
        <f>Table1[[#This Row],[Order Quantity]]*Table1[[#This Row],[Unit Price]]</f>
        <v>8928.1500000000015</v>
      </c>
      <c r="F1266">
        <v>55</v>
      </c>
      <c r="G1266" s="16">
        <v>162.33000000000001</v>
      </c>
      <c r="H1266" t="s">
        <v>8</v>
      </c>
      <c r="I1266" t="s">
        <v>722</v>
      </c>
      <c r="J1266" t="s">
        <v>23</v>
      </c>
      <c r="K1266" t="s">
        <v>17</v>
      </c>
    </row>
    <row r="1267" spans="1:11" x14ac:dyDescent="0.45">
      <c r="A1267">
        <v>7461</v>
      </c>
      <c r="B1267" s="15">
        <v>44055</v>
      </c>
      <c r="C1267" t="str">
        <f>TEXT(Table1[[#This Row],[Order Date]], "yyyy")</f>
        <v>2020</v>
      </c>
      <c r="D1267" t="str">
        <f>TEXT(Table1[[#This Row],[Order Date]], "mmmm")</f>
        <v>August</v>
      </c>
      <c r="E1267" s="16">
        <f>Table1[[#This Row],[Order Quantity]]*Table1[[#This Row],[Unit Price]]</f>
        <v>132274.51999999999</v>
      </c>
      <c r="F1267">
        <v>98</v>
      </c>
      <c r="G1267" s="16">
        <v>1349.74</v>
      </c>
      <c r="H1267" t="s">
        <v>8</v>
      </c>
      <c r="I1267" t="s">
        <v>723</v>
      </c>
      <c r="J1267" t="s">
        <v>13</v>
      </c>
      <c r="K1267" t="s">
        <v>11</v>
      </c>
    </row>
    <row r="1268" spans="1:11" x14ac:dyDescent="0.45">
      <c r="A1268">
        <v>7462</v>
      </c>
      <c r="B1268" s="15">
        <v>43871</v>
      </c>
      <c r="C1268" t="str">
        <f>TEXT(Table1[[#This Row],[Order Date]], "yyyy")</f>
        <v>2020</v>
      </c>
      <c r="D1268" t="str">
        <f>TEXT(Table1[[#This Row],[Order Date]], "mmmm")</f>
        <v>February</v>
      </c>
      <c r="E1268" s="16">
        <f>Table1[[#This Row],[Order Quantity]]*Table1[[#This Row],[Unit Price]]</f>
        <v>77031.360000000001</v>
      </c>
      <c r="F1268">
        <v>56</v>
      </c>
      <c r="G1268" s="16">
        <v>1375.56</v>
      </c>
      <c r="H1268" t="s">
        <v>464</v>
      </c>
      <c r="I1268" t="s">
        <v>724</v>
      </c>
      <c r="J1268" t="s">
        <v>23</v>
      </c>
      <c r="K1268" t="s">
        <v>15</v>
      </c>
    </row>
    <row r="1269" spans="1:11" x14ac:dyDescent="0.45">
      <c r="A1269">
        <v>7463</v>
      </c>
      <c r="B1269" s="15">
        <v>44203</v>
      </c>
      <c r="C1269" t="str">
        <f>TEXT(Table1[[#This Row],[Order Date]], "yyyy")</f>
        <v>2021</v>
      </c>
      <c r="D1269" t="str">
        <f>TEXT(Table1[[#This Row],[Order Date]], "mmmm")</f>
        <v>January</v>
      </c>
      <c r="E1269" s="16">
        <f>Table1[[#This Row],[Order Quantity]]*Table1[[#This Row],[Unit Price]]</f>
        <v>2544.9</v>
      </c>
      <c r="F1269">
        <v>15</v>
      </c>
      <c r="G1269" s="16">
        <v>169.66</v>
      </c>
      <c r="H1269" t="s">
        <v>25</v>
      </c>
      <c r="I1269" t="s">
        <v>725</v>
      </c>
      <c r="J1269" t="s">
        <v>10</v>
      </c>
      <c r="K1269" t="s">
        <v>11</v>
      </c>
    </row>
    <row r="1270" spans="1:11" x14ac:dyDescent="0.45">
      <c r="A1270">
        <v>7464</v>
      </c>
      <c r="B1270" s="15">
        <v>44198</v>
      </c>
      <c r="C1270" t="str">
        <f>TEXT(Table1[[#This Row],[Order Date]], "yyyy")</f>
        <v>2021</v>
      </c>
      <c r="D1270" t="str">
        <f>TEXT(Table1[[#This Row],[Order Date]], "mmmm")</f>
        <v>January</v>
      </c>
      <c r="E1270" s="16">
        <f>Table1[[#This Row],[Order Quantity]]*Table1[[#This Row],[Unit Price]]</f>
        <v>21119.399999999998</v>
      </c>
      <c r="F1270">
        <v>36</v>
      </c>
      <c r="G1270" s="16">
        <v>586.65</v>
      </c>
      <c r="H1270" t="s">
        <v>464</v>
      </c>
      <c r="I1270" t="s">
        <v>726</v>
      </c>
      <c r="J1270" t="s">
        <v>20</v>
      </c>
      <c r="K1270" t="s">
        <v>11</v>
      </c>
    </row>
    <row r="1271" spans="1:11" x14ac:dyDescent="0.45">
      <c r="A1271">
        <v>7465</v>
      </c>
      <c r="B1271" s="15">
        <v>43914</v>
      </c>
      <c r="C1271" t="str">
        <f>TEXT(Table1[[#This Row],[Order Date]], "yyyy")</f>
        <v>2020</v>
      </c>
      <c r="D1271" t="str">
        <f>TEXT(Table1[[#This Row],[Order Date]], "mmmm")</f>
        <v>March</v>
      </c>
      <c r="E1271" s="16">
        <f>Table1[[#This Row],[Order Quantity]]*Table1[[#This Row],[Unit Price]]</f>
        <v>73658.240000000005</v>
      </c>
      <c r="F1271">
        <v>71</v>
      </c>
      <c r="G1271" s="16">
        <v>1037.44</v>
      </c>
      <c r="H1271" t="s">
        <v>25</v>
      </c>
      <c r="I1271" t="s">
        <v>727</v>
      </c>
      <c r="J1271" t="s">
        <v>23</v>
      </c>
      <c r="K1271" t="s">
        <v>15</v>
      </c>
    </row>
    <row r="1272" spans="1:11" x14ac:dyDescent="0.45">
      <c r="A1272">
        <v>7466</v>
      </c>
      <c r="B1272" s="15">
        <v>43981</v>
      </c>
      <c r="C1272" t="str">
        <f>TEXT(Table1[[#This Row],[Order Date]], "yyyy")</f>
        <v>2020</v>
      </c>
      <c r="D1272" t="str">
        <f>TEXT(Table1[[#This Row],[Order Date]], "mmmm")</f>
        <v>May</v>
      </c>
      <c r="E1272" s="16">
        <f>Table1[[#This Row],[Order Quantity]]*Table1[[#This Row],[Unit Price]]</f>
        <v>15616</v>
      </c>
      <c r="F1272">
        <v>32</v>
      </c>
      <c r="G1272" s="16">
        <v>488</v>
      </c>
      <c r="H1272" t="s">
        <v>25</v>
      </c>
      <c r="I1272" t="s">
        <v>728</v>
      </c>
      <c r="J1272" t="s">
        <v>23</v>
      </c>
      <c r="K1272" t="s">
        <v>11</v>
      </c>
    </row>
    <row r="1273" spans="1:11" x14ac:dyDescent="0.45">
      <c r="A1273">
        <v>7467</v>
      </c>
      <c r="B1273" s="15">
        <v>44098</v>
      </c>
      <c r="C1273" t="str">
        <f>TEXT(Table1[[#This Row],[Order Date]], "yyyy")</f>
        <v>2020</v>
      </c>
      <c r="D1273" t="str">
        <f>TEXT(Table1[[#This Row],[Order Date]], "mmmm")</f>
        <v>September</v>
      </c>
      <c r="E1273" s="16">
        <f>Table1[[#This Row],[Order Quantity]]*Table1[[#This Row],[Unit Price]]</f>
        <v>41415.259999999995</v>
      </c>
      <c r="F1273">
        <v>89</v>
      </c>
      <c r="G1273" s="16">
        <v>465.34</v>
      </c>
      <c r="H1273" t="s">
        <v>8</v>
      </c>
      <c r="I1273" t="s">
        <v>729</v>
      </c>
      <c r="J1273" t="s">
        <v>13</v>
      </c>
      <c r="K1273" t="s">
        <v>17</v>
      </c>
    </row>
    <row r="1274" spans="1:11" x14ac:dyDescent="0.45">
      <c r="A1274">
        <v>7468</v>
      </c>
      <c r="B1274" s="15">
        <v>44017</v>
      </c>
      <c r="C1274" t="str">
        <f>TEXT(Table1[[#This Row],[Order Date]], "yyyy")</f>
        <v>2020</v>
      </c>
      <c r="D1274" t="str">
        <f>TEXT(Table1[[#This Row],[Order Date]], "mmmm")</f>
        <v>July</v>
      </c>
      <c r="E1274" s="16">
        <f>Table1[[#This Row],[Order Quantity]]*Table1[[#This Row],[Unit Price]]</f>
        <v>87030.24</v>
      </c>
      <c r="F1274">
        <v>88</v>
      </c>
      <c r="G1274" s="16">
        <v>988.98</v>
      </c>
      <c r="H1274" t="s">
        <v>8</v>
      </c>
      <c r="I1274" t="s">
        <v>730</v>
      </c>
      <c r="J1274" t="s">
        <v>13</v>
      </c>
      <c r="K1274" t="s">
        <v>15</v>
      </c>
    </row>
    <row r="1275" spans="1:11" x14ac:dyDescent="0.45">
      <c r="A1275">
        <v>7469</v>
      </c>
      <c r="B1275" s="15">
        <v>44014</v>
      </c>
      <c r="C1275" t="str">
        <f>TEXT(Table1[[#This Row],[Order Date]], "yyyy")</f>
        <v>2020</v>
      </c>
      <c r="D1275" t="str">
        <f>TEXT(Table1[[#This Row],[Order Date]], "mmmm")</f>
        <v>July</v>
      </c>
      <c r="E1275" s="16">
        <f>Table1[[#This Row],[Order Quantity]]*Table1[[#This Row],[Unit Price]]</f>
        <v>18297.919999999998</v>
      </c>
      <c r="F1275">
        <v>32</v>
      </c>
      <c r="G1275" s="16">
        <v>571.80999999999995</v>
      </c>
      <c r="H1275" t="s">
        <v>25</v>
      </c>
      <c r="I1275" t="s">
        <v>731</v>
      </c>
      <c r="J1275" t="s">
        <v>13</v>
      </c>
      <c r="K1275" t="s">
        <v>17</v>
      </c>
    </row>
    <row r="1276" spans="1:11" x14ac:dyDescent="0.45">
      <c r="A1276">
        <v>7470</v>
      </c>
      <c r="B1276" s="15">
        <v>43844</v>
      </c>
      <c r="C1276" t="str">
        <f>TEXT(Table1[[#This Row],[Order Date]], "yyyy")</f>
        <v>2020</v>
      </c>
      <c r="D1276" t="str">
        <f>TEXT(Table1[[#This Row],[Order Date]], "mmmm")</f>
        <v>January</v>
      </c>
      <c r="E1276" s="16">
        <f>Table1[[#This Row],[Order Quantity]]*Table1[[#This Row],[Unit Price]]</f>
        <v>29812.38</v>
      </c>
      <c r="F1276">
        <v>37</v>
      </c>
      <c r="G1276" s="16">
        <v>805.74</v>
      </c>
      <c r="H1276" t="s">
        <v>8</v>
      </c>
      <c r="I1276" t="s">
        <v>732</v>
      </c>
      <c r="J1276" t="s">
        <v>10</v>
      </c>
      <c r="K1276" t="s">
        <v>17</v>
      </c>
    </row>
    <row r="1277" spans="1:11" x14ac:dyDescent="0.45">
      <c r="A1277">
        <v>7471</v>
      </c>
      <c r="B1277" s="15">
        <v>44079</v>
      </c>
      <c r="C1277" t="str">
        <f>TEXT(Table1[[#This Row],[Order Date]], "yyyy")</f>
        <v>2020</v>
      </c>
      <c r="D1277" t="str">
        <f>TEXT(Table1[[#This Row],[Order Date]], "mmmm")</f>
        <v>September</v>
      </c>
      <c r="E1277" s="16">
        <f>Table1[[#This Row],[Order Quantity]]*Table1[[#This Row],[Unit Price]]</f>
        <v>24352.2</v>
      </c>
      <c r="F1277">
        <v>36</v>
      </c>
      <c r="G1277" s="16">
        <v>676.45</v>
      </c>
      <c r="H1277" t="s">
        <v>8</v>
      </c>
      <c r="I1277" t="s">
        <v>733</v>
      </c>
      <c r="J1277" t="s">
        <v>10</v>
      </c>
      <c r="K1277" t="s">
        <v>17</v>
      </c>
    </row>
    <row r="1278" spans="1:11" x14ac:dyDescent="0.45">
      <c r="A1278">
        <v>7472</v>
      </c>
      <c r="B1278" s="15">
        <v>44172</v>
      </c>
      <c r="C1278" t="str">
        <f>TEXT(Table1[[#This Row],[Order Date]], "yyyy")</f>
        <v>2020</v>
      </c>
      <c r="D1278" t="str">
        <f>TEXT(Table1[[#This Row],[Order Date]], "mmmm")</f>
        <v>December</v>
      </c>
      <c r="E1278" s="16">
        <f>Table1[[#This Row],[Order Quantity]]*Table1[[#This Row],[Unit Price]]</f>
        <v>14489.4</v>
      </c>
      <c r="F1278">
        <v>31</v>
      </c>
      <c r="G1278" s="16">
        <v>467.4</v>
      </c>
      <c r="H1278" t="s">
        <v>464</v>
      </c>
      <c r="I1278" t="s">
        <v>734</v>
      </c>
      <c r="J1278" t="s">
        <v>10</v>
      </c>
      <c r="K1278" t="s">
        <v>15</v>
      </c>
    </row>
    <row r="1279" spans="1:11" x14ac:dyDescent="0.45">
      <c r="A1279">
        <v>7473</v>
      </c>
      <c r="B1279" s="15">
        <v>44074</v>
      </c>
      <c r="C1279" t="str">
        <f>TEXT(Table1[[#This Row],[Order Date]], "yyyy")</f>
        <v>2020</v>
      </c>
      <c r="D1279" t="str">
        <f>TEXT(Table1[[#This Row],[Order Date]], "mmmm")</f>
        <v>August</v>
      </c>
      <c r="E1279" s="16">
        <f>Table1[[#This Row],[Order Quantity]]*Table1[[#This Row],[Unit Price]]</f>
        <v>78030.720000000001</v>
      </c>
      <c r="F1279">
        <v>69</v>
      </c>
      <c r="G1279" s="16">
        <v>1130.8800000000001</v>
      </c>
      <c r="H1279" t="s">
        <v>464</v>
      </c>
      <c r="I1279" t="s">
        <v>735</v>
      </c>
      <c r="J1279" t="s">
        <v>13</v>
      </c>
      <c r="K1279" t="s">
        <v>17</v>
      </c>
    </row>
    <row r="1280" spans="1:11" x14ac:dyDescent="0.45">
      <c r="A1280">
        <v>7474</v>
      </c>
      <c r="B1280" s="15">
        <v>43959</v>
      </c>
      <c r="C1280" t="str">
        <f>TEXT(Table1[[#This Row],[Order Date]], "yyyy")</f>
        <v>2020</v>
      </c>
      <c r="D1280" t="str">
        <f>TEXT(Table1[[#This Row],[Order Date]], "mmmm")</f>
        <v>May</v>
      </c>
      <c r="E1280" s="16">
        <f>Table1[[#This Row],[Order Quantity]]*Table1[[#This Row],[Unit Price]]</f>
        <v>9015.77</v>
      </c>
      <c r="F1280">
        <v>23</v>
      </c>
      <c r="G1280" s="16">
        <v>391.99</v>
      </c>
      <c r="H1280" t="s">
        <v>25</v>
      </c>
      <c r="I1280" t="s">
        <v>736</v>
      </c>
      <c r="J1280" t="s">
        <v>20</v>
      </c>
      <c r="K1280" t="s">
        <v>11</v>
      </c>
    </row>
    <row r="1281" spans="1:11" x14ac:dyDescent="0.45">
      <c r="A1281">
        <v>7475</v>
      </c>
      <c r="B1281" s="15">
        <v>44182</v>
      </c>
      <c r="C1281" t="str">
        <f>TEXT(Table1[[#This Row],[Order Date]], "yyyy")</f>
        <v>2020</v>
      </c>
      <c r="D1281" t="str">
        <f>TEXT(Table1[[#This Row],[Order Date]], "mmmm")</f>
        <v>December</v>
      </c>
      <c r="E1281" s="16">
        <f>Table1[[#This Row],[Order Quantity]]*Table1[[#This Row],[Unit Price]]</f>
        <v>109742.39999999999</v>
      </c>
      <c r="F1281">
        <v>80</v>
      </c>
      <c r="G1281" s="16">
        <v>1371.78</v>
      </c>
      <c r="H1281" t="s">
        <v>464</v>
      </c>
      <c r="I1281" t="s">
        <v>737</v>
      </c>
      <c r="J1281" t="s">
        <v>13</v>
      </c>
      <c r="K1281" t="s">
        <v>17</v>
      </c>
    </row>
    <row r="1282" spans="1:11" x14ac:dyDescent="0.45">
      <c r="A1282">
        <v>7476</v>
      </c>
      <c r="B1282" s="15">
        <v>44034</v>
      </c>
      <c r="C1282" t="str">
        <f>TEXT(Table1[[#This Row],[Order Date]], "yyyy")</f>
        <v>2020</v>
      </c>
      <c r="D1282" t="str">
        <f>TEXT(Table1[[#This Row],[Order Date]], "mmmm")</f>
        <v>July</v>
      </c>
      <c r="E1282" s="16">
        <f>Table1[[#This Row],[Order Quantity]]*Table1[[#This Row],[Unit Price]]</f>
        <v>33593.56</v>
      </c>
      <c r="F1282">
        <v>28</v>
      </c>
      <c r="G1282" s="16">
        <v>1199.77</v>
      </c>
      <c r="H1282" t="s">
        <v>25</v>
      </c>
      <c r="I1282" t="s">
        <v>738</v>
      </c>
      <c r="J1282" t="s">
        <v>10</v>
      </c>
      <c r="K1282" t="s">
        <v>15</v>
      </c>
    </row>
    <row r="1283" spans="1:11" x14ac:dyDescent="0.45">
      <c r="A1283">
        <v>7477</v>
      </c>
      <c r="B1283" s="15">
        <v>43887</v>
      </c>
      <c r="C1283" t="str">
        <f>TEXT(Table1[[#This Row],[Order Date]], "yyyy")</f>
        <v>2020</v>
      </c>
      <c r="D1283" t="str">
        <f>TEXT(Table1[[#This Row],[Order Date]], "mmmm")</f>
        <v>February</v>
      </c>
      <c r="E1283" s="16">
        <f>Table1[[#This Row],[Order Quantity]]*Table1[[#This Row],[Unit Price]]</f>
        <v>13615.279999999999</v>
      </c>
      <c r="F1283">
        <v>56</v>
      </c>
      <c r="G1283" s="16">
        <v>243.13</v>
      </c>
      <c r="H1283" t="s">
        <v>25</v>
      </c>
      <c r="I1283" t="s">
        <v>739</v>
      </c>
      <c r="J1283" t="s">
        <v>20</v>
      </c>
      <c r="K1283" t="s">
        <v>15</v>
      </c>
    </row>
    <row r="1284" spans="1:11" x14ac:dyDescent="0.45">
      <c r="A1284">
        <v>7478</v>
      </c>
      <c r="B1284" s="15">
        <v>43994</v>
      </c>
      <c r="C1284" t="str">
        <f>TEXT(Table1[[#This Row],[Order Date]], "yyyy")</f>
        <v>2020</v>
      </c>
      <c r="D1284" t="str">
        <f>TEXT(Table1[[#This Row],[Order Date]], "mmmm")</f>
        <v>June</v>
      </c>
      <c r="E1284" s="16">
        <f>Table1[[#This Row],[Order Quantity]]*Table1[[#This Row],[Unit Price]]</f>
        <v>32589.39</v>
      </c>
      <c r="F1284">
        <v>73</v>
      </c>
      <c r="G1284" s="16">
        <v>446.43</v>
      </c>
      <c r="H1284" t="s">
        <v>8</v>
      </c>
      <c r="I1284" t="s">
        <v>740</v>
      </c>
      <c r="J1284" t="s">
        <v>10</v>
      </c>
      <c r="K1284" t="s">
        <v>11</v>
      </c>
    </row>
    <row r="1285" spans="1:11" x14ac:dyDescent="0.45">
      <c r="A1285">
        <v>7479</v>
      </c>
      <c r="B1285" s="15">
        <v>44163</v>
      </c>
      <c r="C1285" t="str">
        <f>TEXT(Table1[[#This Row],[Order Date]], "yyyy")</f>
        <v>2020</v>
      </c>
      <c r="D1285" t="str">
        <f>TEXT(Table1[[#This Row],[Order Date]], "mmmm")</f>
        <v>November</v>
      </c>
      <c r="E1285" s="16">
        <f>Table1[[#This Row],[Order Quantity]]*Table1[[#This Row],[Unit Price]]</f>
        <v>7826.4000000000005</v>
      </c>
      <c r="F1285">
        <v>12</v>
      </c>
      <c r="G1285" s="16">
        <v>652.20000000000005</v>
      </c>
      <c r="H1285" t="s">
        <v>25</v>
      </c>
      <c r="I1285" t="s">
        <v>741</v>
      </c>
      <c r="J1285" t="s">
        <v>13</v>
      </c>
      <c r="K1285" t="s">
        <v>11</v>
      </c>
    </row>
    <row r="1286" spans="1:11" x14ac:dyDescent="0.45">
      <c r="A1286">
        <v>7480</v>
      </c>
      <c r="B1286" s="15">
        <v>44144</v>
      </c>
      <c r="C1286" t="str">
        <f>TEXT(Table1[[#This Row],[Order Date]], "yyyy")</f>
        <v>2020</v>
      </c>
      <c r="D1286" t="str">
        <f>TEXT(Table1[[#This Row],[Order Date]], "mmmm")</f>
        <v>November</v>
      </c>
      <c r="E1286" s="16">
        <f>Table1[[#This Row],[Order Quantity]]*Table1[[#This Row],[Unit Price]]</f>
        <v>35437.08</v>
      </c>
      <c r="F1286">
        <v>42</v>
      </c>
      <c r="G1286" s="16">
        <v>843.74</v>
      </c>
      <c r="H1286" t="s">
        <v>8</v>
      </c>
      <c r="I1286" t="s">
        <v>742</v>
      </c>
      <c r="J1286" t="s">
        <v>13</v>
      </c>
      <c r="K1286" t="s">
        <v>11</v>
      </c>
    </row>
    <row r="1287" spans="1:11" x14ac:dyDescent="0.45">
      <c r="A1287">
        <v>7481</v>
      </c>
      <c r="B1287" s="15">
        <v>44120</v>
      </c>
      <c r="C1287" t="str">
        <f>TEXT(Table1[[#This Row],[Order Date]], "yyyy")</f>
        <v>2020</v>
      </c>
      <c r="D1287" t="str">
        <f>TEXT(Table1[[#This Row],[Order Date]], "mmmm")</f>
        <v>October</v>
      </c>
      <c r="E1287" s="16">
        <f>Table1[[#This Row],[Order Quantity]]*Table1[[#This Row],[Unit Price]]</f>
        <v>15976.380000000001</v>
      </c>
      <c r="F1287">
        <v>14</v>
      </c>
      <c r="G1287" s="16">
        <v>1141.17</v>
      </c>
      <c r="H1287" t="s">
        <v>25</v>
      </c>
      <c r="I1287" t="s">
        <v>743</v>
      </c>
      <c r="J1287" t="s">
        <v>13</v>
      </c>
      <c r="K1287" t="s">
        <v>11</v>
      </c>
    </row>
    <row r="1288" spans="1:11" x14ac:dyDescent="0.45">
      <c r="A1288">
        <v>7482</v>
      </c>
      <c r="B1288" s="15">
        <v>44186</v>
      </c>
      <c r="C1288" t="str">
        <f>TEXT(Table1[[#This Row],[Order Date]], "yyyy")</f>
        <v>2020</v>
      </c>
      <c r="D1288" t="str">
        <f>TEXT(Table1[[#This Row],[Order Date]], "mmmm")</f>
        <v>December</v>
      </c>
      <c r="E1288" s="16">
        <f>Table1[[#This Row],[Order Quantity]]*Table1[[#This Row],[Unit Price]]</f>
        <v>16947.63</v>
      </c>
      <c r="F1288">
        <v>27</v>
      </c>
      <c r="G1288" s="16">
        <v>627.69000000000005</v>
      </c>
      <c r="H1288" t="s">
        <v>25</v>
      </c>
      <c r="I1288" t="s">
        <v>744</v>
      </c>
      <c r="J1288" t="s">
        <v>13</v>
      </c>
      <c r="K1288" t="s">
        <v>11</v>
      </c>
    </row>
    <row r="1289" spans="1:11" x14ac:dyDescent="0.45">
      <c r="A1289">
        <v>7483</v>
      </c>
      <c r="B1289" s="15">
        <v>43981</v>
      </c>
      <c r="C1289" t="str">
        <f>TEXT(Table1[[#This Row],[Order Date]], "yyyy")</f>
        <v>2020</v>
      </c>
      <c r="D1289" t="str">
        <f>TEXT(Table1[[#This Row],[Order Date]], "mmmm")</f>
        <v>May</v>
      </c>
      <c r="E1289" s="16">
        <f>Table1[[#This Row],[Order Quantity]]*Table1[[#This Row],[Unit Price]]</f>
        <v>10275.300000000001</v>
      </c>
      <c r="F1289">
        <v>9</v>
      </c>
      <c r="G1289" s="16">
        <v>1141.7</v>
      </c>
      <c r="H1289" t="s">
        <v>464</v>
      </c>
      <c r="I1289" t="s">
        <v>745</v>
      </c>
      <c r="J1289" t="s">
        <v>23</v>
      </c>
      <c r="K1289" t="s">
        <v>11</v>
      </c>
    </row>
    <row r="1290" spans="1:11" x14ac:dyDescent="0.45">
      <c r="A1290">
        <v>7484</v>
      </c>
      <c r="B1290" s="15">
        <v>44194</v>
      </c>
      <c r="C1290" t="str">
        <f>TEXT(Table1[[#This Row],[Order Date]], "yyyy")</f>
        <v>2020</v>
      </c>
      <c r="D1290" t="str">
        <f>TEXT(Table1[[#This Row],[Order Date]], "mmmm")</f>
        <v>December</v>
      </c>
      <c r="E1290" s="16">
        <f>Table1[[#This Row],[Order Quantity]]*Table1[[#This Row],[Unit Price]]</f>
        <v>31858.859999999997</v>
      </c>
      <c r="F1290">
        <v>33</v>
      </c>
      <c r="G1290" s="16">
        <v>965.42</v>
      </c>
      <c r="H1290" t="s">
        <v>25</v>
      </c>
      <c r="I1290" t="s">
        <v>746</v>
      </c>
      <c r="J1290" t="s">
        <v>10</v>
      </c>
      <c r="K1290" t="s">
        <v>17</v>
      </c>
    </row>
    <row r="1291" spans="1:11" x14ac:dyDescent="0.45">
      <c r="A1291">
        <v>7485</v>
      </c>
      <c r="B1291" s="15">
        <v>44045</v>
      </c>
      <c r="C1291" t="str">
        <f>TEXT(Table1[[#This Row],[Order Date]], "yyyy")</f>
        <v>2020</v>
      </c>
      <c r="D1291" t="str">
        <f>TEXT(Table1[[#This Row],[Order Date]], "mmmm")</f>
        <v>August</v>
      </c>
      <c r="E1291" s="16">
        <f>Table1[[#This Row],[Order Quantity]]*Table1[[#This Row],[Unit Price]]</f>
        <v>14354.55</v>
      </c>
      <c r="F1291">
        <v>93</v>
      </c>
      <c r="G1291" s="16">
        <v>154.35</v>
      </c>
      <c r="H1291" t="s">
        <v>25</v>
      </c>
      <c r="I1291" t="s">
        <v>747</v>
      </c>
      <c r="J1291" t="s">
        <v>23</v>
      </c>
      <c r="K1291" t="s">
        <v>11</v>
      </c>
    </row>
    <row r="1292" spans="1:11" x14ac:dyDescent="0.45">
      <c r="A1292">
        <v>7486</v>
      </c>
      <c r="B1292" s="15">
        <v>44176</v>
      </c>
      <c r="C1292" t="str">
        <f>TEXT(Table1[[#This Row],[Order Date]], "yyyy")</f>
        <v>2020</v>
      </c>
      <c r="D1292" t="str">
        <f>TEXT(Table1[[#This Row],[Order Date]], "mmmm")</f>
        <v>December</v>
      </c>
      <c r="E1292" s="16">
        <f>Table1[[#This Row],[Order Quantity]]*Table1[[#This Row],[Unit Price]]</f>
        <v>2987.2200000000003</v>
      </c>
      <c r="F1292">
        <v>6</v>
      </c>
      <c r="G1292" s="16">
        <v>497.87</v>
      </c>
      <c r="H1292" t="s">
        <v>464</v>
      </c>
      <c r="I1292" t="s">
        <v>748</v>
      </c>
      <c r="J1292" t="s">
        <v>10</v>
      </c>
      <c r="K1292" t="s">
        <v>11</v>
      </c>
    </row>
    <row r="1293" spans="1:11" x14ac:dyDescent="0.45">
      <c r="A1293">
        <v>7487</v>
      </c>
      <c r="B1293" s="15">
        <v>44064</v>
      </c>
      <c r="C1293" t="str">
        <f>TEXT(Table1[[#This Row],[Order Date]], "yyyy")</f>
        <v>2020</v>
      </c>
      <c r="D1293" t="str">
        <f>TEXT(Table1[[#This Row],[Order Date]], "mmmm")</f>
        <v>August</v>
      </c>
      <c r="E1293" s="16">
        <f>Table1[[#This Row],[Order Quantity]]*Table1[[#This Row],[Unit Price]]</f>
        <v>95517.7</v>
      </c>
      <c r="F1293">
        <v>82</v>
      </c>
      <c r="G1293" s="16">
        <v>1164.8499999999999</v>
      </c>
      <c r="H1293" t="s">
        <v>8</v>
      </c>
      <c r="I1293" t="s">
        <v>749</v>
      </c>
      <c r="J1293" t="s">
        <v>23</v>
      </c>
      <c r="K1293" t="s">
        <v>17</v>
      </c>
    </row>
    <row r="1294" spans="1:11" x14ac:dyDescent="0.45">
      <c r="A1294">
        <v>7488</v>
      </c>
      <c r="B1294" s="15">
        <v>43856</v>
      </c>
      <c r="C1294" t="str">
        <f>TEXT(Table1[[#This Row],[Order Date]], "yyyy")</f>
        <v>2020</v>
      </c>
      <c r="D1294" t="str">
        <f>TEXT(Table1[[#This Row],[Order Date]], "mmmm")</f>
        <v>January</v>
      </c>
      <c r="E1294" s="16">
        <f>Table1[[#This Row],[Order Quantity]]*Table1[[#This Row],[Unit Price]]</f>
        <v>43800.32</v>
      </c>
      <c r="F1294">
        <v>64</v>
      </c>
      <c r="G1294" s="16">
        <v>684.38</v>
      </c>
      <c r="H1294" t="s">
        <v>25</v>
      </c>
      <c r="I1294" t="s">
        <v>750</v>
      </c>
      <c r="J1294" t="s">
        <v>13</v>
      </c>
      <c r="K1294" t="s">
        <v>11</v>
      </c>
    </row>
    <row r="1295" spans="1:11" x14ac:dyDescent="0.45">
      <c r="A1295">
        <v>7489</v>
      </c>
      <c r="B1295" s="15">
        <v>43928</v>
      </c>
      <c r="C1295" t="str">
        <f>TEXT(Table1[[#This Row],[Order Date]], "yyyy")</f>
        <v>2020</v>
      </c>
      <c r="D1295" t="str">
        <f>TEXT(Table1[[#This Row],[Order Date]], "mmmm")</f>
        <v>April</v>
      </c>
      <c r="E1295" s="16">
        <f>Table1[[#This Row],[Order Quantity]]*Table1[[#This Row],[Unit Price]]</f>
        <v>32405.34</v>
      </c>
      <c r="F1295">
        <v>37</v>
      </c>
      <c r="G1295" s="16">
        <v>875.82</v>
      </c>
      <c r="H1295" t="s">
        <v>25</v>
      </c>
      <c r="I1295" t="s">
        <v>751</v>
      </c>
      <c r="J1295" t="s">
        <v>10</v>
      </c>
      <c r="K1295" t="s">
        <v>15</v>
      </c>
    </row>
    <row r="1296" spans="1:11" x14ac:dyDescent="0.45">
      <c r="A1296">
        <v>7490</v>
      </c>
      <c r="B1296" s="15">
        <v>43892</v>
      </c>
      <c r="C1296" t="str">
        <f>TEXT(Table1[[#This Row],[Order Date]], "yyyy")</f>
        <v>2020</v>
      </c>
      <c r="D1296" t="str">
        <f>TEXT(Table1[[#This Row],[Order Date]], "mmmm")</f>
        <v>March</v>
      </c>
      <c r="E1296" s="16">
        <f>Table1[[#This Row],[Order Quantity]]*Table1[[#This Row],[Unit Price]]</f>
        <v>19313.84</v>
      </c>
      <c r="F1296">
        <v>13</v>
      </c>
      <c r="G1296" s="16">
        <v>1485.68</v>
      </c>
      <c r="H1296" t="s">
        <v>25</v>
      </c>
      <c r="I1296" t="s">
        <v>752</v>
      </c>
      <c r="J1296" t="s">
        <v>13</v>
      </c>
      <c r="K1296" t="s">
        <v>17</v>
      </c>
    </row>
    <row r="1297" spans="1:11" x14ac:dyDescent="0.45">
      <c r="A1297">
        <v>7491</v>
      </c>
      <c r="B1297" s="15">
        <v>44163</v>
      </c>
      <c r="C1297" t="str">
        <f>TEXT(Table1[[#This Row],[Order Date]], "yyyy")</f>
        <v>2020</v>
      </c>
      <c r="D1297" t="str">
        <f>TEXT(Table1[[#This Row],[Order Date]], "mmmm")</f>
        <v>November</v>
      </c>
      <c r="E1297" s="16">
        <f>Table1[[#This Row],[Order Quantity]]*Table1[[#This Row],[Unit Price]]</f>
        <v>75733.38</v>
      </c>
      <c r="F1297">
        <v>54</v>
      </c>
      <c r="G1297" s="16">
        <v>1402.47</v>
      </c>
      <c r="H1297" t="s">
        <v>464</v>
      </c>
      <c r="I1297" t="s">
        <v>753</v>
      </c>
      <c r="J1297" t="s">
        <v>20</v>
      </c>
      <c r="K1297" t="s">
        <v>11</v>
      </c>
    </row>
    <row r="1298" spans="1:11" x14ac:dyDescent="0.45">
      <c r="A1298">
        <v>7492</v>
      </c>
      <c r="B1298" s="15">
        <v>44038</v>
      </c>
      <c r="C1298" t="str">
        <f>TEXT(Table1[[#This Row],[Order Date]], "yyyy")</f>
        <v>2020</v>
      </c>
      <c r="D1298" t="str">
        <f>TEXT(Table1[[#This Row],[Order Date]], "mmmm")</f>
        <v>July</v>
      </c>
      <c r="E1298" s="16">
        <f>Table1[[#This Row],[Order Quantity]]*Table1[[#This Row],[Unit Price]]</f>
        <v>3467.66</v>
      </c>
      <c r="F1298">
        <v>34</v>
      </c>
      <c r="G1298" s="16">
        <v>101.99</v>
      </c>
      <c r="H1298" t="s">
        <v>25</v>
      </c>
      <c r="I1298" t="s">
        <v>754</v>
      </c>
      <c r="J1298" t="s">
        <v>13</v>
      </c>
      <c r="K1298" t="s">
        <v>15</v>
      </c>
    </row>
    <row r="1299" spans="1:11" x14ac:dyDescent="0.45">
      <c r="A1299">
        <v>7493</v>
      </c>
      <c r="B1299" s="15">
        <v>44153</v>
      </c>
      <c r="C1299" t="str">
        <f>TEXT(Table1[[#This Row],[Order Date]], "yyyy")</f>
        <v>2020</v>
      </c>
      <c r="D1299" t="str">
        <f>TEXT(Table1[[#This Row],[Order Date]], "mmmm")</f>
        <v>November</v>
      </c>
      <c r="E1299" s="16">
        <f>Table1[[#This Row],[Order Quantity]]*Table1[[#This Row],[Unit Price]]</f>
        <v>29211.839999999997</v>
      </c>
      <c r="F1299">
        <v>23</v>
      </c>
      <c r="G1299" s="16">
        <v>1270.08</v>
      </c>
      <c r="H1299" t="s">
        <v>464</v>
      </c>
      <c r="I1299" t="s">
        <v>755</v>
      </c>
      <c r="J1299" t="s">
        <v>23</v>
      </c>
      <c r="K1299" t="s">
        <v>17</v>
      </c>
    </row>
    <row r="1300" spans="1:11" x14ac:dyDescent="0.45">
      <c r="A1300">
        <v>7494</v>
      </c>
      <c r="B1300" s="15">
        <v>44182</v>
      </c>
      <c r="C1300" t="str">
        <f>TEXT(Table1[[#This Row],[Order Date]], "yyyy")</f>
        <v>2020</v>
      </c>
      <c r="D1300" t="str">
        <f>TEXT(Table1[[#This Row],[Order Date]], "mmmm")</f>
        <v>December</v>
      </c>
      <c r="E1300" s="16">
        <f>Table1[[#This Row],[Order Quantity]]*Table1[[#This Row],[Unit Price]]</f>
        <v>83036.11</v>
      </c>
      <c r="F1300">
        <v>79</v>
      </c>
      <c r="G1300" s="16">
        <v>1051.0899999999999</v>
      </c>
      <c r="H1300" t="s">
        <v>25</v>
      </c>
      <c r="I1300" t="s">
        <v>756</v>
      </c>
      <c r="J1300" t="s">
        <v>23</v>
      </c>
      <c r="K1300" t="s">
        <v>17</v>
      </c>
    </row>
    <row r="1301" spans="1:11" x14ac:dyDescent="0.45">
      <c r="A1301">
        <v>7495</v>
      </c>
      <c r="B1301" s="15">
        <v>43952</v>
      </c>
      <c r="C1301" t="str">
        <f>TEXT(Table1[[#This Row],[Order Date]], "yyyy")</f>
        <v>2020</v>
      </c>
      <c r="D1301" t="str">
        <f>TEXT(Table1[[#This Row],[Order Date]], "mmmm")</f>
        <v>May</v>
      </c>
      <c r="E1301" s="16">
        <f>Table1[[#This Row],[Order Quantity]]*Table1[[#This Row],[Unit Price]]</f>
        <v>92939.68</v>
      </c>
      <c r="F1301">
        <v>68</v>
      </c>
      <c r="G1301" s="16">
        <v>1366.76</v>
      </c>
      <c r="H1301" t="s">
        <v>8</v>
      </c>
      <c r="I1301" t="s">
        <v>757</v>
      </c>
      <c r="J1301" t="s">
        <v>10</v>
      </c>
      <c r="K1301" t="s">
        <v>15</v>
      </c>
    </row>
    <row r="1302" spans="1:11" x14ac:dyDescent="0.45">
      <c r="A1302">
        <v>7496</v>
      </c>
      <c r="B1302" s="15">
        <v>43969</v>
      </c>
      <c r="C1302" t="str">
        <f>TEXT(Table1[[#This Row],[Order Date]], "yyyy")</f>
        <v>2020</v>
      </c>
      <c r="D1302" t="str">
        <f>TEXT(Table1[[#This Row],[Order Date]], "mmmm")</f>
        <v>May</v>
      </c>
      <c r="E1302" s="16">
        <f>Table1[[#This Row],[Order Quantity]]*Table1[[#This Row],[Unit Price]]</f>
        <v>191.06</v>
      </c>
      <c r="F1302">
        <v>1</v>
      </c>
      <c r="G1302" s="16">
        <v>191.06</v>
      </c>
      <c r="H1302" t="s">
        <v>464</v>
      </c>
      <c r="I1302" t="s">
        <v>758</v>
      </c>
      <c r="J1302" t="s">
        <v>10</v>
      </c>
      <c r="K1302" t="s">
        <v>15</v>
      </c>
    </row>
    <row r="1303" spans="1:11" x14ac:dyDescent="0.45">
      <c r="A1303">
        <v>7497</v>
      </c>
      <c r="B1303" s="15">
        <v>44012</v>
      </c>
      <c r="C1303" t="str">
        <f>TEXT(Table1[[#This Row],[Order Date]], "yyyy")</f>
        <v>2020</v>
      </c>
      <c r="D1303" t="str">
        <f>TEXT(Table1[[#This Row],[Order Date]], "mmmm")</f>
        <v>June</v>
      </c>
      <c r="E1303" s="16">
        <f>Table1[[#This Row],[Order Quantity]]*Table1[[#This Row],[Unit Price]]</f>
        <v>3044.45</v>
      </c>
      <c r="F1303">
        <v>5</v>
      </c>
      <c r="G1303" s="16">
        <v>608.89</v>
      </c>
      <c r="H1303" t="s">
        <v>464</v>
      </c>
      <c r="I1303" t="s">
        <v>759</v>
      </c>
      <c r="J1303" t="s">
        <v>10</v>
      </c>
      <c r="K1303" t="s">
        <v>11</v>
      </c>
    </row>
    <row r="1304" spans="1:11" x14ac:dyDescent="0.45">
      <c r="A1304">
        <v>7498</v>
      </c>
      <c r="B1304" s="15">
        <v>44071</v>
      </c>
      <c r="C1304" t="str">
        <f>TEXT(Table1[[#This Row],[Order Date]], "yyyy")</f>
        <v>2020</v>
      </c>
      <c r="D1304" t="str">
        <f>TEXT(Table1[[#This Row],[Order Date]], "mmmm")</f>
        <v>August</v>
      </c>
      <c r="E1304" s="16">
        <f>Table1[[#This Row],[Order Quantity]]*Table1[[#This Row],[Unit Price]]</f>
        <v>8470.9800000000014</v>
      </c>
      <c r="F1304">
        <v>63</v>
      </c>
      <c r="G1304" s="16">
        <v>134.46</v>
      </c>
      <c r="H1304" t="s">
        <v>8</v>
      </c>
      <c r="I1304" t="s">
        <v>760</v>
      </c>
      <c r="J1304" t="s">
        <v>13</v>
      </c>
      <c r="K1304" t="s">
        <v>15</v>
      </c>
    </row>
    <row r="1305" spans="1:11" x14ac:dyDescent="0.45">
      <c r="A1305">
        <v>7499</v>
      </c>
      <c r="B1305" s="15">
        <v>43943</v>
      </c>
      <c r="C1305" t="str">
        <f>TEXT(Table1[[#This Row],[Order Date]], "yyyy")</f>
        <v>2020</v>
      </c>
      <c r="D1305" t="str">
        <f>TEXT(Table1[[#This Row],[Order Date]], "mmmm")</f>
        <v>April</v>
      </c>
      <c r="E1305" s="16">
        <f>Table1[[#This Row],[Order Quantity]]*Table1[[#This Row],[Unit Price]]</f>
        <v>69997.590000000011</v>
      </c>
      <c r="F1305">
        <v>87</v>
      </c>
      <c r="G1305" s="16">
        <v>804.57</v>
      </c>
      <c r="H1305" t="s">
        <v>464</v>
      </c>
      <c r="I1305" t="s">
        <v>761</v>
      </c>
      <c r="J1305" t="s">
        <v>10</v>
      </c>
      <c r="K1305" t="s">
        <v>11</v>
      </c>
    </row>
    <row r="1306" spans="1:11" x14ac:dyDescent="0.45">
      <c r="A1306">
        <v>7500</v>
      </c>
      <c r="B1306" s="15">
        <v>43913</v>
      </c>
      <c r="C1306" t="str">
        <f>TEXT(Table1[[#This Row],[Order Date]], "yyyy")</f>
        <v>2020</v>
      </c>
      <c r="D1306" t="str">
        <f>TEXT(Table1[[#This Row],[Order Date]], "mmmm")</f>
        <v>March</v>
      </c>
      <c r="E1306" s="16">
        <f>Table1[[#This Row],[Order Quantity]]*Table1[[#This Row],[Unit Price]]</f>
        <v>5002.41</v>
      </c>
      <c r="F1306">
        <v>21</v>
      </c>
      <c r="G1306" s="16">
        <v>238.21</v>
      </c>
      <c r="H1306" t="s">
        <v>8</v>
      </c>
      <c r="I1306" t="s">
        <v>762</v>
      </c>
      <c r="J1306" t="s">
        <v>13</v>
      </c>
      <c r="K1306" t="s">
        <v>17</v>
      </c>
    </row>
    <row r="1307" spans="1:11" x14ac:dyDescent="0.45">
      <c r="A1307">
        <v>7501</v>
      </c>
      <c r="B1307" s="15">
        <v>44085</v>
      </c>
      <c r="C1307" t="str">
        <f>TEXT(Table1[[#This Row],[Order Date]], "yyyy")</f>
        <v>2020</v>
      </c>
      <c r="D1307" t="str">
        <f>TEXT(Table1[[#This Row],[Order Date]], "mmmm")</f>
        <v>September</v>
      </c>
      <c r="E1307" s="16">
        <f>Table1[[#This Row],[Order Quantity]]*Table1[[#This Row],[Unit Price]]</f>
        <v>38160.9</v>
      </c>
      <c r="F1307">
        <v>90</v>
      </c>
      <c r="G1307" s="16">
        <v>424.01</v>
      </c>
      <c r="H1307" t="s">
        <v>8</v>
      </c>
      <c r="I1307" t="s">
        <v>763</v>
      </c>
      <c r="J1307" t="s">
        <v>10</v>
      </c>
      <c r="K1307" t="s">
        <v>15</v>
      </c>
    </row>
    <row r="1308" spans="1:11" x14ac:dyDescent="0.45">
      <c r="A1308">
        <v>7502</v>
      </c>
      <c r="B1308" s="15">
        <v>44202</v>
      </c>
      <c r="C1308" t="str">
        <f>TEXT(Table1[[#This Row],[Order Date]], "yyyy")</f>
        <v>2021</v>
      </c>
      <c r="D1308" t="str">
        <f>TEXT(Table1[[#This Row],[Order Date]], "mmmm")</f>
        <v>January</v>
      </c>
      <c r="E1308" s="16">
        <f>Table1[[#This Row],[Order Quantity]]*Table1[[#This Row],[Unit Price]]</f>
        <v>33676.58</v>
      </c>
      <c r="F1308">
        <v>41</v>
      </c>
      <c r="G1308" s="16">
        <v>821.38</v>
      </c>
      <c r="H1308" t="s">
        <v>25</v>
      </c>
      <c r="I1308" t="s">
        <v>764</v>
      </c>
      <c r="J1308" t="s">
        <v>23</v>
      </c>
      <c r="K1308" t="s">
        <v>17</v>
      </c>
    </row>
    <row r="1309" spans="1:11" x14ac:dyDescent="0.45">
      <c r="A1309">
        <v>7503</v>
      </c>
      <c r="B1309" s="15">
        <v>43928</v>
      </c>
      <c r="C1309" t="str">
        <f>TEXT(Table1[[#This Row],[Order Date]], "yyyy")</f>
        <v>2020</v>
      </c>
      <c r="D1309" t="str">
        <f>TEXT(Table1[[#This Row],[Order Date]], "mmmm")</f>
        <v>April</v>
      </c>
      <c r="E1309" s="16">
        <f>Table1[[#This Row],[Order Quantity]]*Table1[[#This Row],[Unit Price]]</f>
        <v>112583.35999999999</v>
      </c>
      <c r="F1309">
        <v>76</v>
      </c>
      <c r="G1309" s="16">
        <v>1481.36</v>
      </c>
      <c r="H1309" t="s">
        <v>464</v>
      </c>
      <c r="I1309" t="s">
        <v>765</v>
      </c>
      <c r="J1309" t="s">
        <v>20</v>
      </c>
      <c r="K1309" t="s">
        <v>11</v>
      </c>
    </row>
    <row r="1310" spans="1:11" x14ac:dyDescent="0.45">
      <c r="A1310">
        <v>7504</v>
      </c>
      <c r="B1310" s="15">
        <v>44059</v>
      </c>
      <c r="C1310" t="str">
        <f>TEXT(Table1[[#This Row],[Order Date]], "yyyy")</f>
        <v>2020</v>
      </c>
      <c r="D1310" t="str">
        <f>TEXT(Table1[[#This Row],[Order Date]], "mmmm")</f>
        <v>August</v>
      </c>
      <c r="E1310" s="16">
        <f>Table1[[#This Row],[Order Quantity]]*Table1[[#This Row],[Unit Price]]</f>
        <v>41529.279999999999</v>
      </c>
      <c r="F1310">
        <v>32</v>
      </c>
      <c r="G1310" s="16">
        <v>1297.79</v>
      </c>
      <c r="H1310" t="s">
        <v>464</v>
      </c>
      <c r="I1310" t="s">
        <v>766</v>
      </c>
      <c r="J1310" t="s">
        <v>20</v>
      </c>
      <c r="K1310" t="s">
        <v>15</v>
      </c>
    </row>
    <row r="1311" spans="1:11" x14ac:dyDescent="0.45">
      <c r="A1311">
        <v>7505</v>
      </c>
      <c r="B1311" s="15">
        <v>43981</v>
      </c>
      <c r="C1311" t="str">
        <f>TEXT(Table1[[#This Row],[Order Date]], "yyyy")</f>
        <v>2020</v>
      </c>
      <c r="D1311" t="str">
        <f>TEXT(Table1[[#This Row],[Order Date]], "mmmm")</f>
        <v>May</v>
      </c>
      <c r="E1311" s="16">
        <f>Table1[[#This Row],[Order Quantity]]*Table1[[#This Row],[Unit Price]]</f>
        <v>32929.599999999999</v>
      </c>
      <c r="F1311">
        <v>44</v>
      </c>
      <c r="G1311" s="16">
        <v>748.4</v>
      </c>
      <c r="H1311" t="s">
        <v>464</v>
      </c>
      <c r="I1311" t="s">
        <v>767</v>
      </c>
      <c r="J1311" t="s">
        <v>20</v>
      </c>
      <c r="K1311" t="s">
        <v>11</v>
      </c>
    </row>
    <row r="1312" spans="1:11" x14ac:dyDescent="0.45">
      <c r="A1312">
        <v>7506</v>
      </c>
      <c r="B1312" s="15">
        <v>44071</v>
      </c>
      <c r="C1312" t="str">
        <f>TEXT(Table1[[#This Row],[Order Date]], "yyyy")</f>
        <v>2020</v>
      </c>
      <c r="D1312" t="str">
        <f>TEXT(Table1[[#This Row],[Order Date]], "mmmm")</f>
        <v>August</v>
      </c>
      <c r="E1312" s="16">
        <f>Table1[[#This Row],[Order Quantity]]*Table1[[#This Row],[Unit Price]]</f>
        <v>17679.600000000002</v>
      </c>
      <c r="F1312">
        <v>36</v>
      </c>
      <c r="G1312" s="16">
        <v>491.1</v>
      </c>
      <c r="H1312" t="s">
        <v>8</v>
      </c>
      <c r="I1312" t="s">
        <v>768</v>
      </c>
      <c r="J1312" t="s">
        <v>10</v>
      </c>
      <c r="K1312" t="s">
        <v>15</v>
      </c>
    </row>
    <row r="1313" spans="1:11" x14ac:dyDescent="0.45">
      <c r="A1313">
        <v>7507</v>
      </c>
      <c r="B1313" s="15">
        <v>44174</v>
      </c>
      <c r="C1313" t="str">
        <f>TEXT(Table1[[#This Row],[Order Date]], "yyyy")</f>
        <v>2020</v>
      </c>
      <c r="D1313" t="str">
        <f>TEXT(Table1[[#This Row],[Order Date]], "mmmm")</f>
        <v>December</v>
      </c>
      <c r="E1313" s="16">
        <f>Table1[[#This Row],[Order Quantity]]*Table1[[#This Row],[Unit Price]]</f>
        <v>9172.9599999999991</v>
      </c>
      <c r="F1313">
        <v>16</v>
      </c>
      <c r="G1313" s="16">
        <v>573.30999999999995</v>
      </c>
      <c r="H1313" t="s">
        <v>464</v>
      </c>
      <c r="I1313" t="s">
        <v>769</v>
      </c>
      <c r="J1313" t="s">
        <v>20</v>
      </c>
      <c r="K1313" t="s">
        <v>11</v>
      </c>
    </row>
    <row r="1314" spans="1:11" x14ac:dyDescent="0.45">
      <c r="A1314">
        <v>7508</v>
      </c>
      <c r="B1314" s="15">
        <v>44130</v>
      </c>
      <c r="C1314" t="str">
        <f>TEXT(Table1[[#This Row],[Order Date]], "yyyy")</f>
        <v>2020</v>
      </c>
      <c r="D1314" t="str">
        <f>TEXT(Table1[[#This Row],[Order Date]], "mmmm")</f>
        <v>October</v>
      </c>
      <c r="E1314" s="16">
        <f>Table1[[#This Row],[Order Quantity]]*Table1[[#This Row],[Unit Price]]</f>
        <v>23047.56</v>
      </c>
      <c r="F1314">
        <v>18</v>
      </c>
      <c r="G1314" s="16">
        <v>1280.42</v>
      </c>
      <c r="H1314" t="s">
        <v>464</v>
      </c>
      <c r="I1314" t="s">
        <v>770</v>
      </c>
      <c r="J1314" t="s">
        <v>10</v>
      </c>
      <c r="K1314" t="s">
        <v>11</v>
      </c>
    </row>
    <row r="1315" spans="1:11" x14ac:dyDescent="0.45">
      <c r="A1315">
        <v>7509</v>
      </c>
      <c r="B1315" s="15">
        <v>43859</v>
      </c>
      <c r="C1315" t="str">
        <f>TEXT(Table1[[#This Row],[Order Date]], "yyyy")</f>
        <v>2020</v>
      </c>
      <c r="D1315" t="str">
        <f>TEXT(Table1[[#This Row],[Order Date]], "mmmm")</f>
        <v>January</v>
      </c>
      <c r="E1315" s="16">
        <f>Table1[[#This Row],[Order Quantity]]*Table1[[#This Row],[Unit Price]]</f>
        <v>2816.58</v>
      </c>
      <c r="F1315">
        <v>39</v>
      </c>
      <c r="G1315" s="16">
        <v>72.22</v>
      </c>
      <c r="H1315" t="s">
        <v>25</v>
      </c>
      <c r="I1315" t="s">
        <v>771</v>
      </c>
      <c r="J1315" t="s">
        <v>20</v>
      </c>
      <c r="K1315" t="s">
        <v>17</v>
      </c>
    </row>
    <row r="1316" spans="1:11" x14ac:dyDescent="0.45">
      <c r="A1316">
        <v>7510</v>
      </c>
      <c r="B1316" s="15">
        <v>43959</v>
      </c>
      <c r="C1316" t="str">
        <f>TEXT(Table1[[#This Row],[Order Date]], "yyyy")</f>
        <v>2020</v>
      </c>
      <c r="D1316" t="str">
        <f>TEXT(Table1[[#This Row],[Order Date]], "mmmm")</f>
        <v>May</v>
      </c>
      <c r="E1316" s="16">
        <f>Table1[[#This Row],[Order Quantity]]*Table1[[#This Row],[Unit Price]]</f>
        <v>34356.259999999995</v>
      </c>
      <c r="F1316">
        <v>67</v>
      </c>
      <c r="G1316" s="16">
        <v>512.78</v>
      </c>
      <c r="H1316" t="s">
        <v>8</v>
      </c>
      <c r="I1316" t="s">
        <v>772</v>
      </c>
      <c r="J1316" t="s">
        <v>23</v>
      </c>
      <c r="K1316" t="s">
        <v>17</v>
      </c>
    </row>
    <row r="1317" spans="1:11" x14ac:dyDescent="0.45">
      <c r="A1317">
        <v>7511</v>
      </c>
      <c r="B1317" s="15">
        <v>43951</v>
      </c>
      <c r="C1317" t="str">
        <f>TEXT(Table1[[#This Row],[Order Date]], "yyyy")</f>
        <v>2020</v>
      </c>
      <c r="D1317" t="str">
        <f>TEXT(Table1[[#This Row],[Order Date]], "mmmm")</f>
        <v>April</v>
      </c>
      <c r="E1317" s="16">
        <f>Table1[[#This Row],[Order Quantity]]*Table1[[#This Row],[Unit Price]]</f>
        <v>58245.83</v>
      </c>
      <c r="F1317">
        <v>41</v>
      </c>
      <c r="G1317" s="16">
        <v>1420.63</v>
      </c>
      <c r="H1317" t="s">
        <v>8</v>
      </c>
      <c r="I1317" t="s">
        <v>773</v>
      </c>
      <c r="J1317" t="s">
        <v>20</v>
      </c>
      <c r="K1317" t="s">
        <v>15</v>
      </c>
    </row>
    <row r="1318" spans="1:11" x14ac:dyDescent="0.45">
      <c r="A1318">
        <v>7512</v>
      </c>
      <c r="B1318" s="15">
        <v>43956</v>
      </c>
      <c r="C1318" t="str">
        <f>TEXT(Table1[[#This Row],[Order Date]], "yyyy")</f>
        <v>2020</v>
      </c>
      <c r="D1318" t="str">
        <f>TEXT(Table1[[#This Row],[Order Date]], "mmmm")</f>
        <v>May</v>
      </c>
      <c r="E1318" s="16">
        <f>Table1[[#This Row],[Order Quantity]]*Table1[[#This Row],[Unit Price]]</f>
        <v>1642.2</v>
      </c>
      <c r="F1318">
        <v>15</v>
      </c>
      <c r="G1318" s="16">
        <v>109.48</v>
      </c>
      <c r="H1318" t="s">
        <v>25</v>
      </c>
      <c r="I1318" t="s">
        <v>774</v>
      </c>
      <c r="J1318" t="s">
        <v>20</v>
      </c>
      <c r="K1318" t="s">
        <v>11</v>
      </c>
    </row>
    <row r="1319" spans="1:11" x14ac:dyDescent="0.45">
      <c r="A1319">
        <v>7513</v>
      </c>
      <c r="B1319" s="15">
        <v>43999</v>
      </c>
      <c r="C1319" t="str">
        <f>TEXT(Table1[[#This Row],[Order Date]], "yyyy")</f>
        <v>2020</v>
      </c>
      <c r="D1319" t="str">
        <f>TEXT(Table1[[#This Row],[Order Date]], "mmmm")</f>
        <v>June</v>
      </c>
      <c r="E1319" s="16">
        <f>Table1[[#This Row],[Order Quantity]]*Table1[[#This Row],[Unit Price]]</f>
        <v>92767.87999999999</v>
      </c>
      <c r="F1319">
        <v>74</v>
      </c>
      <c r="G1319" s="16">
        <v>1253.6199999999999</v>
      </c>
      <c r="H1319" t="s">
        <v>8</v>
      </c>
      <c r="I1319" t="s">
        <v>775</v>
      </c>
      <c r="J1319" t="s">
        <v>13</v>
      </c>
      <c r="K1319" t="s">
        <v>11</v>
      </c>
    </row>
    <row r="1320" spans="1:11" x14ac:dyDescent="0.45">
      <c r="A1320">
        <v>7514</v>
      </c>
      <c r="B1320" s="15">
        <v>44141</v>
      </c>
      <c r="C1320" t="str">
        <f>TEXT(Table1[[#This Row],[Order Date]], "yyyy")</f>
        <v>2020</v>
      </c>
      <c r="D1320" t="str">
        <f>TEXT(Table1[[#This Row],[Order Date]], "mmmm")</f>
        <v>November</v>
      </c>
      <c r="E1320" s="16">
        <f>Table1[[#This Row],[Order Quantity]]*Table1[[#This Row],[Unit Price]]</f>
        <v>2858.7999999999997</v>
      </c>
      <c r="F1320">
        <v>28</v>
      </c>
      <c r="G1320" s="16">
        <v>102.1</v>
      </c>
      <c r="H1320" t="s">
        <v>8</v>
      </c>
      <c r="I1320" t="s">
        <v>776</v>
      </c>
      <c r="J1320" t="s">
        <v>13</v>
      </c>
      <c r="K1320" t="s">
        <v>17</v>
      </c>
    </row>
    <row r="1321" spans="1:11" x14ac:dyDescent="0.45">
      <c r="A1321">
        <v>7515</v>
      </c>
      <c r="B1321" s="15">
        <v>44100</v>
      </c>
      <c r="C1321" t="str">
        <f>TEXT(Table1[[#This Row],[Order Date]], "yyyy")</f>
        <v>2020</v>
      </c>
      <c r="D1321" t="str">
        <f>TEXT(Table1[[#This Row],[Order Date]], "mmmm")</f>
        <v>September</v>
      </c>
      <c r="E1321" s="16">
        <f>Table1[[#This Row],[Order Quantity]]*Table1[[#This Row],[Unit Price]]</f>
        <v>11911.2</v>
      </c>
      <c r="F1321">
        <v>21</v>
      </c>
      <c r="G1321" s="16">
        <v>567.20000000000005</v>
      </c>
      <c r="H1321" t="s">
        <v>25</v>
      </c>
      <c r="I1321" t="s">
        <v>777</v>
      </c>
      <c r="J1321" t="s">
        <v>20</v>
      </c>
      <c r="K1321" t="s">
        <v>15</v>
      </c>
    </row>
    <row r="1322" spans="1:11" x14ac:dyDescent="0.45">
      <c r="A1322">
        <v>7516</v>
      </c>
      <c r="B1322" s="15">
        <v>44002</v>
      </c>
      <c r="C1322" t="str">
        <f>TEXT(Table1[[#This Row],[Order Date]], "yyyy")</f>
        <v>2020</v>
      </c>
      <c r="D1322" t="str">
        <f>TEXT(Table1[[#This Row],[Order Date]], "mmmm")</f>
        <v>June</v>
      </c>
      <c r="E1322" s="16">
        <f>Table1[[#This Row],[Order Quantity]]*Table1[[#This Row],[Unit Price]]</f>
        <v>27850.95</v>
      </c>
      <c r="F1322">
        <v>59</v>
      </c>
      <c r="G1322" s="16">
        <v>472.05</v>
      </c>
      <c r="H1322" t="s">
        <v>25</v>
      </c>
      <c r="I1322" t="s">
        <v>778</v>
      </c>
      <c r="J1322" t="s">
        <v>13</v>
      </c>
      <c r="K1322" t="s">
        <v>11</v>
      </c>
    </row>
    <row r="1323" spans="1:11" x14ac:dyDescent="0.45">
      <c r="A1323">
        <v>7517</v>
      </c>
      <c r="B1323" s="15">
        <v>44096</v>
      </c>
      <c r="C1323" t="str">
        <f>TEXT(Table1[[#This Row],[Order Date]], "yyyy")</f>
        <v>2020</v>
      </c>
      <c r="D1323" t="str">
        <f>TEXT(Table1[[#This Row],[Order Date]], "mmmm")</f>
        <v>September</v>
      </c>
      <c r="E1323" s="16">
        <f>Table1[[#This Row],[Order Quantity]]*Table1[[#This Row],[Unit Price]]</f>
        <v>48175.56</v>
      </c>
      <c r="F1323">
        <v>54</v>
      </c>
      <c r="G1323" s="16">
        <v>892.14</v>
      </c>
      <c r="H1323" t="s">
        <v>8</v>
      </c>
      <c r="I1323" t="s">
        <v>779</v>
      </c>
      <c r="J1323" t="s">
        <v>10</v>
      </c>
      <c r="K1323" t="s">
        <v>15</v>
      </c>
    </row>
    <row r="1324" spans="1:11" x14ac:dyDescent="0.45">
      <c r="A1324">
        <v>7518</v>
      </c>
      <c r="B1324" s="15">
        <v>43863</v>
      </c>
      <c r="C1324" t="str">
        <f>TEXT(Table1[[#This Row],[Order Date]], "yyyy")</f>
        <v>2020</v>
      </c>
      <c r="D1324" t="str">
        <f>TEXT(Table1[[#This Row],[Order Date]], "mmmm")</f>
        <v>February</v>
      </c>
      <c r="E1324" s="16">
        <f>Table1[[#This Row],[Order Quantity]]*Table1[[#This Row],[Unit Price]]</f>
        <v>64605.420000000006</v>
      </c>
      <c r="F1324">
        <v>99</v>
      </c>
      <c r="G1324" s="16">
        <v>652.58000000000004</v>
      </c>
      <c r="H1324" t="s">
        <v>8</v>
      </c>
      <c r="I1324" t="s">
        <v>780</v>
      </c>
      <c r="J1324" t="s">
        <v>23</v>
      </c>
      <c r="K1324" t="s">
        <v>15</v>
      </c>
    </row>
    <row r="1325" spans="1:11" x14ac:dyDescent="0.45">
      <c r="A1325">
        <v>7519</v>
      </c>
      <c r="B1325" s="15">
        <v>44106</v>
      </c>
      <c r="C1325" t="str">
        <f>TEXT(Table1[[#This Row],[Order Date]], "yyyy")</f>
        <v>2020</v>
      </c>
      <c r="D1325" t="str">
        <f>TEXT(Table1[[#This Row],[Order Date]], "mmmm")</f>
        <v>October</v>
      </c>
      <c r="E1325" s="16">
        <f>Table1[[#This Row],[Order Quantity]]*Table1[[#This Row],[Unit Price]]</f>
        <v>37333.660000000003</v>
      </c>
      <c r="F1325">
        <v>73</v>
      </c>
      <c r="G1325" s="16">
        <v>511.42</v>
      </c>
      <c r="H1325" t="s">
        <v>8</v>
      </c>
      <c r="I1325" t="s">
        <v>781</v>
      </c>
      <c r="J1325" t="s">
        <v>20</v>
      </c>
      <c r="K1325" t="s">
        <v>15</v>
      </c>
    </row>
    <row r="1326" spans="1:11" x14ac:dyDescent="0.45">
      <c r="A1326">
        <v>7520</v>
      </c>
      <c r="B1326" s="15">
        <v>43902</v>
      </c>
      <c r="C1326" t="str">
        <f>TEXT(Table1[[#This Row],[Order Date]], "yyyy")</f>
        <v>2020</v>
      </c>
      <c r="D1326" t="str">
        <f>TEXT(Table1[[#This Row],[Order Date]], "mmmm")</f>
        <v>March</v>
      </c>
      <c r="E1326" s="16">
        <f>Table1[[#This Row],[Order Quantity]]*Table1[[#This Row],[Unit Price]]</f>
        <v>4968.66</v>
      </c>
      <c r="F1326">
        <v>6</v>
      </c>
      <c r="G1326" s="16">
        <v>828.11</v>
      </c>
      <c r="H1326" t="s">
        <v>25</v>
      </c>
      <c r="I1326" t="s">
        <v>782</v>
      </c>
      <c r="J1326" t="s">
        <v>13</v>
      </c>
      <c r="K1326" t="s">
        <v>11</v>
      </c>
    </row>
    <row r="1327" spans="1:11" x14ac:dyDescent="0.45">
      <c r="A1327">
        <v>7521</v>
      </c>
      <c r="B1327" s="15">
        <v>44094</v>
      </c>
      <c r="C1327" t="str">
        <f>TEXT(Table1[[#This Row],[Order Date]], "yyyy")</f>
        <v>2020</v>
      </c>
      <c r="D1327" t="str">
        <f>TEXT(Table1[[#This Row],[Order Date]], "mmmm")</f>
        <v>September</v>
      </c>
      <c r="E1327" s="16">
        <f>Table1[[#This Row],[Order Quantity]]*Table1[[#This Row],[Unit Price]]</f>
        <v>48689.02</v>
      </c>
      <c r="F1327">
        <v>34</v>
      </c>
      <c r="G1327" s="16">
        <v>1432.03</v>
      </c>
      <c r="H1327" t="s">
        <v>25</v>
      </c>
      <c r="I1327" t="s">
        <v>783</v>
      </c>
      <c r="J1327" t="s">
        <v>20</v>
      </c>
      <c r="K1327" t="s">
        <v>17</v>
      </c>
    </row>
    <row r="1328" spans="1:11" x14ac:dyDescent="0.45">
      <c r="A1328">
        <v>7522</v>
      </c>
      <c r="B1328" s="15">
        <v>43936</v>
      </c>
      <c r="C1328" t="str">
        <f>TEXT(Table1[[#This Row],[Order Date]], "yyyy")</f>
        <v>2020</v>
      </c>
      <c r="D1328" t="str">
        <f>TEXT(Table1[[#This Row],[Order Date]], "mmmm")</f>
        <v>April</v>
      </c>
      <c r="E1328" s="16">
        <f>Table1[[#This Row],[Order Quantity]]*Table1[[#This Row],[Unit Price]]</f>
        <v>78446.070000000007</v>
      </c>
      <c r="F1328">
        <v>81</v>
      </c>
      <c r="G1328" s="16">
        <v>968.47</v>
      </c>
      <c r="H1328" t="s">
        <v>8</v>
      </c>
      <c r="I1328" t="s">
        <v>784</v>
      </c>
      <c r="J1328" t="s">
        <v>10</v>
      </c>
      <c r="K1328" t="s">
        <v>17</v>
      </c>
    </row>
    <row r="1329" spans="1:11" x14ac:dyDescent="0.45">
      <c r="A1329">
        <v>7523</v>
      </c>
      <c r="B1329" s="15">
        <v>43892</v>
      </c>
      <c r="C1329" t="str">
        <f>TEXT(Table1[[#This Row],[Order Date]], "yyyy")</f>
        <v>2020</v>
      </c>
      <c r="D1329" t="str">
        <f>TEXT(Table1[[#This Row],[Order Date]], "mmmm")</f>
        <v>March</v>
      </c>
      <c r="E1329" s="16">
        <f>Table1[[#This Row],[Order Quantity]]*Table1[[#This Row],[Unit Price]]</f>
        <v>7821.5999999999995</v>
      </c>
      <c r="F1329">
        <v>24</v>
      </c>
      <c r="G1329" s="16">
        <v>325.89999999999998</v>
      </c>
      <c r="H1329" t="s">
        <v>464</v>
      </c>
      <c r="I1329" t="s">
        <v>785</v>
      </c>
      <c r="J1329" t="s">
        <v>10</v>
      </c>
      <c r="K1329" t="s">
        <v>15</v>
      </c>
    </row>
    <row r="1330" spans="1:11" x14ac:dyDescent="0.45">
      <c r="A1330">
        <v>7524</v>
      </c>
      <c r="B1330" s="15">
        <v>43847</v>
      </c>
      <c r="C1330" t="str">
        <f>TEXT(Table1[[#This Row],[Order Date]], "yyyy")</f>
        <v>2020</v>
      </c>
      <c r="D1330" t="str">
        <f>TEXT(Table1[[#This Row],[Order Date]], "mmmm")</f>
        <v>January</v>
      </c>
      <c r="E1330" s="16">
        <f>Table1[[#This Row],[Order Quantity]]*Table1[[#This Row],[Unit Price]]</f>
        <v>48143.159999999996</v>
      </c>
      <c r="F1330">
        <v>54</v>
      </c>
      <c r="G1330" s="16">
        <v>891.54</v>
      </c>
      <c r="H1330" t="s">
        <v>8</v>
      </c>
      <c r="I1330" t="s">
        <v>786</v>
      </c>
      <c r="J1330" t="s">
        <v>10</v>
      </c>
      <c r="K1330" t="s">
        <v>11</v>
      </c>
    </row>
    <row r="1331" spans="1:11" x14ac:dyDescent="0.45">
      <c r="A1331">
        <v>7525</v>
      </c>
      <c r="B1331" s="15">
        <v>44022</v>
      </c>
      <c r="C1331" t="str">
        <f>TEXT(Table1[[#This Row],[Order Date]], "yyyy")</f>
        <v>2020</v>
      </c>
      <c r="D1331" t="str">
        <f>TEXT(Table1[[#This Row],[Order Date]], "mmmm")</f>
        <v>July</v>
      </c>
      <c r="E1331" s="16">
        <f>Table1[[#This Row],[Order Quantity]]*Table1[[#This Row],[Unit Price]]</f>
        <v>52619.74</v>
      </c>
      <c r="F1331">
        <v>38</v>
      </c>
      <c r="G1331" s="16">
        <v>1384.73</v>
      </c>
      <c r="H1331" t="s">
        <v>8</v>
      </c>
      <c r="I1331" t="s">
        <v>787</v>
      </c>
      <c r="J1331" t="s">
        <v>23</v>
      </c>
      <c r="K1331" t="s">
        <v>15</v>
      </c>
    </row>
    <row r="1332" spans="1:11" x14ac:dyDescent="0.45">
      <c r="A1332">
        <v>7526</v>
      </c>
      <c r="B1332" s="15">
        <v>43962</v>
      </c>
      <c r="C1332" t="str">
        <f>TEXT(Table1[[#This Row],[Order Date]], "yyyy")</f>
        <v>2020</v>
      </c>
      <c r="D1332" t="str">
        <f>TEXT(Table1[[#This Row],[Order Date]], "mmmm")</f>
        <v>May</v>
      </c>
      <c r="E1332" s="16">
        <f>Table1[[#This Row],[Order Quantity]]*Table1[[#This Row],[Unit Price]]</f>
        <v>26287.05</v>
      </c>
      <c r="F1332">
        <v>87</v>
      </c>
      <c r="G1332" s="16">
        <v>302.14999999999998</v>
      </c>
      <c r="H1332" t="s">
        <v>8</v>
      </c>
      <c r="I1332" t="s">
        <v>788</v>
      </c>
      <c r="J1332" t="s">
        <v>23</v>
      </c>
      <c r="K1332" t="s">
        <v>11</v>
      </c>
    </row>
    <row r="1333" spans="1:11" x14ac:dyDescent="0.45">
      <c r="A1333">
        <v>7527</v>
      </c>
      <c r="B1333" s="15">
        <v>43930</v>
      </c>
      <c r="C1333" t="str">
        <f>TEXT(Table1[[#This Row],[Order Date]], "yyyy")</f>
        <v>2020</v>
      </c>
      <c r="D1333" t="str">
        <f>TEXT(Table1[[#This Row],[Order Date]], "mmmm")</f>
        <v>April</v>
      </c>
      <c r="E1333" s="16">
        <f>Table1[[#This Row],[Order Quantity]]*Table1[[#This Row],[Unit Price]]</f>
        <v>5203.68</v>
      </c>
      <c r="F1333">
        <v>24</v>
      </c>
      <c r="G1333" s="16">
        <v>216.82</v>
      </c>
      <c r="H1333" t="s">
        <v>25</v>
      </c>
      <c r="I1333" t="s">
        <v>789</v>
      </c>
      <c r="J1333" t="s">
        <v>20</v>
      </c>
      <c r="K1333" t="s">
        <v>17</v>
      </c>
    </row>
    <row r="1334" spans="1:11" x14ac:dyDescent="0.45">
      <c r="A1334">
        <v>7528</v>
      </c>
      <c r="B1334" s="15">
        <v>44089</v>
      </c>
      <c r="C1334" t="str">
        <f>TEXT(Table1[[#This Row],[Order Date]], "yyyy")</f>
        <v>2020</v>
      </c>
      <c r="D1334" t="str">
        <f>TEXT(Table1[[#This Row],[Order Date]], "mmmm")</f>
        <v>September</v>
      </c>
      <c r="E1334" s="16">
        <f>Table1[[#This Row],[Order Quantity]]*Table1[[#This Row],[Unit Price]]</f>
        <v>54709.200000000004</v>
      </c>
      <c r="F1334">
        <v>72</v>
      </c>
      <c r="G1334" s="16">
        <v>759.85</v>
      </c>
      <c r="H1334" t="s">
        <v>25</v>
      </c>
      <c r="I1334" t="s">
        <v>790</v>
      </c>
      <c r="J1334" t="s">
        <v>20</v>
      </c>
      <c r="K1334" t="s">
        <v>17</v>
      </c>
    </row>
    <row r="1335" spans="1:11" x14ac:dyDescent="0.45">
      <c r="A1335">
        <v>7529</v>
      </c>
      <c r="B1335" s="15">
        <v>43987</v>
      </c>
      <c r="C1335" t="str">
        <f>TEXT(Table1[[#This Row],[Order Date]], "yyyy")</f>
        <v>2020</v>
      </c>
      <c r="D1335" t="str">
        <f>TEXT(Table1[[#This Row],[Order Date]], "mmmm")</f>
        <v>June</v>
      </c>
      <c r="E1335" s="16">
        <f>Table1[[#This Row],[Order Quantity]]*Table1[[#This Row],[Unit Price]]</f>
        <v>34899.409999999996</v>
      </c>
      <c r="F1335">
        <v>91</v>
      </c>
      <c r="G1335" s="16">
        <v>383.51</v>
      </c>
      <c r="H1335" t="s">
        <v>8</v>
      </c>
      <c r="I1335" t="s">
        <v>791</v>
      </c>
      <c r="J1335" t="s">
        <v>20</v>
      </c>
      <c r="K1335" t="s">
        <v>17</v>
      </c>
    </row>
    <row r="1336" spans="1:11" x14ac:dyDescent="0.45">
      <c r="A1336">
        <v>7530</v>
      </c>
      <c r="B1336" s="15">
        <v>44011</v>
      </c>
      <c r="C1336" t="str">
        <f>TEXT(Table1[[#This Row],[Order Date]], "yyyy")</f>
        <v>2020</v>
      </c>
      <c r="D1336" t="str">
        <f>TEXT(Table1[[#This Row],[Order Date]], "mmmm")</f>
        <v>June</v>
      </c>
      <c r="E1336" s="16">
        <f>Table1[[#This Row],[Order Quantity]]*Table1[[#This Row],[Unit Price]]</f>
        <v>73483.200000000012</v>
      </c>
      <c r="F1336">
        <v>96</v>
      </c>
      <c r="G1336" s="16">
        <v>765.45</v>
      </c>
      <c r="H1336" t="s">
        <v>464</v>
      </c>
      <c r="I1336" t="s">
        <v>792</v>
      </c>
      <c r="J1336" t="s">
        <v>13</v>
      </c>
      <c r="K1336" t="s">
        <v>11</v>
      </c>
    </row>
    <row r="1337" spans="1:11" x14ac:dyDescent="0.45">
      <c r="A1337">
        <v>7531</v>
      </c>
      <c r="B1337" s="15">
        <v>44196</v>
      </c>
      <c r="C1337" t="str">
        <f>TEXT(Table1[[#This Row],[Order Date]], "yyyy")</f>
        <v>2020</v>
      </c>
      <c r="D1337" t="str">
        <f>TEXT(Table1[[#This Row],[Order Date]], "mmmm")</f>
        <v>December</v>
      </c>
      <c r="E1337" s="16">
        <f>Table1[[#This Row],[Order Quantity]]*Table1[[#This Row],[Unit Price]]</f>
        <v>56015.200000000004</v>
      </c>
      <c r="F1337">
        <v>40</v>
      </c>
      <c r="G1337" s="16">
        <v>1400.38</v>
      </c>
      <c r="H1337" t="s">
        <v>8</v>
      </c>
      <c r="I1337" t="s">
        <v>793</v>
      </c>
      <c r="J1337" t="s">
        <v>10</v>
      </c>
      <c r="K1337" t="s">
        <v>17</v>
      </c>
    </row>
    <row r="1338" spans="1:11" x14ac:dyDescent="0.45">
      <c r="A1338">
        <v>7532</v>
      </c>
      <c r="B1338" s="15">
        <v>44018</v>
      </c>
      <c r="C1338" t="str">
        <f>TEXT(Table1[[#This Row],[Order Date]], "yyyy")</f>
        <v>2020</v>
      </c>
      <c r="D1338" t="str">
        <f>TEXT(Table1[[#This Row],[Order Date]], "mmmm")</f>
        <v>July</v>
      </c>
      <c r="E1338" s="16">
        <f>Table1[[#This Row],[Order Quantity]]*Table1[[#This Row],[Unit Price]]</f>
        <v>10359.959999999999</v>
      </c>
      <c r="F1338">
        <v>78</v>
      </c>
      <c r="G1338" s="16">
        <v>132.82</v>
      </c>
      <c r="H1338" t="s">
        <v>8</v>
      </c>
      <c r="I1338" t="s">
        <v>794</v>
      </c>
      <c r="J1338" t="s">
        <v>23</v>
      </c>
      <c r="K1338" t="s">
        <v>11</v>
      </c>
    </row>
    <row r="1339" spans="1:11" x14ac:dyDescent="0.45">
      <c r="A1339">
        <v>7533</v>
      </c>
      <c r="B1339" s="15">
        <v>44141</v>
      </c>
      <c r="C1339" t="str">
        <f>TEXT(Table1[[#This Row],[Order Date]], "yyyy")</f>
        <v>2020</v>
      </c>
      <c r="D1339" t="str">
        <f>TEXT(Table1[[#This Row],[Order Date]], "mmmm")</f>
        <v>November</v>
      </c>
      <c r="E1339" s="16">
        <f>Table1[[#This Row],[Order Quantity]]*Table1[[#This Row],[Unit Price]]</f>
        <v>90721.8</v>
      </c>
      <c r="F1339">
        <v>65</v>
      </c>
      <c r="G1339" s="16">
        <v>1395.72</v>
      </c>
      <c r="H1339" t="s">
        <v>25</v>
      </c>
      <c r="I1339" t="s">
        <v>795</v>
      </c>
      <c r="J1339" t="s">
        <v>23</v>
      </c>
      <c r="K1339" t="s">
        <v>11</v>
      </c>
    </row>
    <row r="1340" spans="1:11" x14ac:dyDescent="0.45">
      <c r="A1340">
        <v>7534</v>
      </c>
      <c r="B1340" s="15">
        <v>43885</v>
      </c>
      <c r="C1340" t="str">
        <f>TEXT(Table1[[#This Row],[Order Date]], "yyyy")</f>
        <v>2020</v>
      </c>
      <c r="D1340" t="str">
        <f>TEXT(Table1[[#This Row],[Order Date]], "mmmm")</f>
        <v>February</v>
      </c>
      <c r="E1340" s="16">
        <f>Table1[[#This Row],[Order Quantity]]*Table1[[#This Row],[Unit Price]]</f>
        <v>18636.16</v>
      </c>
      <c r="F1340">
        <v>74</v>
      </c>
      <c r="G1340" s="16">
        <v>251.84</v>
      </c>
      <c r="H1340" t="s">
        <v>25</v>
      </c>
      <c r="I1340" t="s">
        <v>796</v>
      </c>
      <c r="J1340" t="s">
        <v>10</v>
      </c>
      <c r="K1340" t="s">
        <v>17</v>
      </c>
    </row>
    <row r="1341" spans="1:11" x14ac:dyDescent="0.45">
      <c r="A1341">
        <v>7535</v>
      </c>
      <c r="B1341" s="15">
        <v>44017</v>
      </c>
      <c r="C1341" t="str">
        <f>TEXT(Table1[[#This Row],[Order Date]], "yyyy")</f>
        <v>2020</v>
      </c>
      <c r="D1341" t="str">
        <f>TEXT(Table1[[#This Row],[Order Date]], "mmmm")</f>
        <v>July</v>
      </c>
      <c r="E1341" s="16">
        <f>Table1[[#This Row],[Order Quantity]]*Table1[[#This Row],[Unit Price]]</f>
        <v>8277.2999999999993</v>
      </c>
      <c r="F1341">
        <v>45</v>
      </c>
      <c r="G1341" s="16">
        <v>183.94</v>
      </c>
      <c r="H1341" t="s">
        <v>464</v>
      </c>
      <c r="I1341" t="s">
        <v>797</v>
      </c>
      <c r="J1341" t="s">
        <v>23</v>
      </c>
      <c r="K1341" t="s">
        <v>15</v>
      </c>
    </row>
    <row r="1342" spans="1:11" x14ac:dyDescent="0.45">
      <c r="A1342">
        <v>7536</v>
      </c>
      <c r="B1342" s="15">
        <v>44085</v>
      </c>
      <c r="C1342" t="str">
        <f>TEXT(Table1[[#This Row],[Order Date]], "yyyy")</f>
        <v>2020</v>
      </c>
      <c r="D1342" t="str">
        <f>TEXT(Table1[[#This Row],[Order Date]], "mmmm")</f>
        <v>September</v>
      </c>
      <c r="E1342" s="16">
        <f>Table1[[#This Row],[Order Quantity]]*Table1[[#This Row],[Unit Price]]</f>
        <v>52211.880000000005</v>
      </c>
      <c r="F1342">
        <v>84</v>
      </c>
      <c r="G1342" s="16">
        <v>621.57000000000005</v>
      </c>
      <c r="H1342" t="s">
        <v>25</v>
      </c>
      <c r="I1342" t="s">
        <v>798</v>
      </c>
      <c r="J1342" t="s">
        <v>23</v>
      </c>
      <c r="K1342" t="s">
        <v>15</v>
      </c>
    </row>
    <row r="1343" spans="1:11" x14ac:dyDescent="0.45">
      <c r="A1343">
        <v>7537</v>
      </c>
      <c r="B1343" s="15">
        <v>44064</v>
      </c>
      <c r="C1343" t="str">
        <f>TEXT(Table1[[#This Row],[Order Date]], "yyyy")</f>
        <v>2020</v>
      </c>
      <c r="D1343" t="str">
        <f>TEXT(Table1[[#This Row],[Order Date]], "mmmm")</f>
        <v>August</v>
      </c>
      <c r="E1343" s="16">
        <f>Table1[[#This Row],[Order Quantity]]*Table1[[#This Row],[Unit Price]]</f>
        <v>3520.2599999999998</v>
      </c>
      <c r="F1343">
        <v>27</v>
      </c>
      <c r="G1343" s="16">
        <v>130.38</v>
      </c>
      <c r="H1343" t="s">
        <v>464</v>
      </c>
      <c r="I1343" t="s">
        <v>799</v>
      </c>
      <c r="J1343" t="s">
        <v>10</v>
      </c>
      <c r="K1343" t="s">
        <v>17</v>
      </c>
    </row>
    <row r="1344" spans="1:11" x14ac:dyDescent="0.45">
      <c r="A1344">
        <v>7538</v>
      </c>
      <c r="B1344" s="15">
        <v>44165</v>
      </c>
      <c r="C1344" t="str">
        <f>TEXT(Table1[[#This Row],[Order Date]], "yyyy")</f>
        <v>2020</v>
      </c>
      <c r="D1344" t="str">
        <f>TEXT(Table1[[#This Row],[Order Date]], "mmmm")</f>
        <v>November</v>
      </c>
      <c r="E1344" s="16">
        <f>Table1[[#This Row],[Order Quantity]]*Table1[[#This Row],[Unit Price]]</f>
        <v>21415.100000000002</v>
      </c>
      <c r="F1344">
        <v>70</v>
      </c>
      <c r="G1344" s="16">
        <v>305.93</v>
      </c>
      <c r="H1344" t="s">
        <v>464</v>
      </c>
      <c r="I1344" t="s">
        <v>800</v>
      </c>
      <c r="J1344" t="s">
        <v>20</v>
      </c>
      <c r="K1344" t="s">
        <v>15</v>
      </c>
    </row>
    <row r="1345" spans="1:11" x14ac:dyDescent="0.45">
      <c r="A1345">
        <v>7539</v>
      </c>
      <c r="B1345" s="15">
        <v>43960</v>
      </c>
      <c r="C1345" t="str">
        <f>TEXT(Table1[[#This Row],[Order Date]], "yyyy")</f>
        <v>2020</v>
      </c>
      <c r="D1345" t="str">
        <f>TEXT(Table1[[#This Row],[Order Date]], "mmmm")</f>
        <v>May</v>
      </c>
      <c r="E1345" s="16">
        <f>Table1[[#This Row],[Order Quantity]]*Table1[[#This Row],[Unit Price]]</f>
        <v>3226.86</v>
      </c>
      <c r="F1345">
        <v>9</v>
      </c>
      <c r="G1345" s="16">
        <v>358.54</v>
      </c>
      <c r="H1345" t="s">
        <v>464</v>
      </c>
      <c r="I1345" t="s">
        <v>801</v>
      </c>
      <c r="J1345" t="s">
        <v>20</v>
      </c>
      <c r="K1345" t="s">
        <v>11</v>
      </c>
    </row>
    <row r="1346" spans="1:11" x14ac:dyDescent="0.45">
      <c r="A1346">
        <v>7540</v>
      </c>
      <c r="B1346" s="15">
        <v>43862</v>
      </c>
      <c r="C1346" t="str">
        <f>TEXT(Table1[[#This Row],[Order Date]], "yyyy")</f>
        <v>2020</v>
      </c>
      <c r="D1346" t="str">
        <f>TEXT(Table1[[#This Row],[Order Date]], "mmmm")</f>
        <v>February</v>
      </c>
      <c r="E1346" s="16">
        <f>Table1[[#This Row],[Order Quantity]]*Table1[[#This Row],[Unit Price]]</f>
        <v>24749.469999999998</v>
      </c>
      <c r="F1346">
        <v>29</v>
      </c>
      <c r="G1346" s="16">
        <v>853.43</v>
      </c>
      <c r="H1346" t="s">
        <v>25</v>
      </c>
      <c r="I1346" t="s">
        <v>802</v>
      </c>
      <c r="J1346" t="s">
        <v>23</v>
      </c>
      <c r="K1346" t="s">
        <v>15</v>
      </c>
    </row>
    <row r="1347" spans="1:11" x14ac:dyDescent="0.45">
      <c r="A1347">
        <v>7541</v>
      </c>
      <c r="B1347" s="15">
        <v>43869</v>
      </c>
      <c r="C1347" t="str">
        <f>TEXT(Table1[[#This Row],[Order Date]], "yyyy")</f>
        <v>2020</v>
      </c>
      <c r="D1347" t="str">
        <f>TEXT(Table1[[#This Row],[Order Date]], "mmmm")</f>
        <v>February</v>
      </c>
      <c r="E1347" s="16">
        <f>Table1[[#This Row],[Order Quantity]]*Table1[[#This Row],[Unit Price]]</f>
        <v>105108.84000000001</v>
      </c>
      <c r="F1347">
        <v>81</v>
      </c>
      <c r="G1347" s="16">
        <v>1297.6400000000001</v>
      </c>
      <c r="H1347" t="s">
        <v>8</v>
      </c>
      <c r="I1347" t="s">
        <v>803</v>
      </c>
      <c r="J1347" t="s">
        <v>13</v>
      </c>
      <c r="K1347" t="s">
        <v>15</v>
      </c>
    </row>
    <row r="1348" spans="1:11" x14ac:dyDescent="0.45">
      <c r="A1348">
        <v>7542</v>
      </c>
      <c r="B1348" s="15">
        <v>44168</v>
      </c>
      <c r="C1348" t="str">
        <f>TEXT(Table1[[#This Row],[Order Date]], "yyyy")</f>
        <v>2020</v>
      </c>
      <c r="D1348" t="str">
        <f>TEXT(Table1[[#This Row],[Order Date]], "mmmm")</f>
        <v>December</v>
      </c>
      <c r="E1348" s="16">
        <f>Table1[[#This Row],[Order Quantity]]*Table1[[#This Row],[Unit Price]]</f>
        <v>50820.899999999994</v>
      </c>
      <c r="F1348">
        <v>78</v>
      </c>
      <c r="G1348" s="16">
        <v>651.54999999999995</v>
      </c>
      <c r="H1348" t="s">
        <v>464</v>
      </c>
      <c r="I1348" t="s">
        <v>804</v>
      </c>
      <c r="J1348" t="s">
        <v>13</v>
      </c>
      <c r="K1348" t="s">
        <v>17</v>
      </c>
    </row>
    <row r="1349" spans="1:11" x14ac:dyDescent="0.45">
      <c r="A1349">
        <v>7543</v>
      </c>
      <c r="B1349" s="15">
        <v>44179</v>
      </c>
      <c r="C1349" t="str">
        <f>TEXT(Table1[[#This Row],[Order Date]], "yyyy")</f>
        <v>2020</v>
      </c>
      <c r="D1349" t="str">
        <f>TEXT(Table1[[#This Row],[Order Date]], "mmmm")</f>
        <v>December</v>
      </c>
      <c r="E1349" s="16">
        <f>Table1[[#This Row],[Order Quantity]]*Table1[[#This Row],[Unit Price]]</f>
        <v>56360.700000000004</v>
      </c>
      <c r="F1349">
        <v>90</v>
      </c>
      <c r="G1349" s="16">
        <v>626.23</v>
      </c>
      <c r="H1349" t="s">
        <v>8</v>
      </c>
      <c r="I1349" t="s">
        <v>805</v>
      </c>
      <c r="J1349" t="s">
        <v>23</v>
      </c>
      <c r="K1349" t="s">
        <v>15</v>
      </c>
    </row>
    <row r="1350" spans="1:11" x14ac:dyDescent="0.45">
      <c r="A1350">
        <v>7544</v>
      </c>
      <c r="B1350" s="15">
        <v>44194</v>
      </c>
      <c r="C1350" t="str">
        <f>TEXT(Table1[[#This Row],[Order Date]], "yyyy")</f>
        <v>2020</v>
      </c>
      <c r="D1350" t="str">
        <f>TEXT(Table1[[#This Row],[Order Date]], "mmmm")</f>
        <v>December</v>
      </c>
      <c r="E1350" s="16">
        <f>Table1[[#This Row],[Order Quantity]]*Table1[[#This Row],[Unit Price]]</f>
        <v>21428.68</v>
      </c>
      <c r="F1350">
        <v>52</v>
      </c>
      <c r="G1350" s="16">
        <v>412.09</v>
      </c>
      <c r="H1350" t="s">
        <v>25</v>
      </c>
      <c r="I1350" t="s">
        <v>806</v>
      </c>
      <c r="J1350" t="s">
        <v>13</v>
      </c>
      <c r="K1350" t="s">
        <v>15</v>
      </c>
    </row>
    <row r="1351" spans="1:11" x14ac:dyDescent="0.45">
      <c r="A1351">
        <v>7545</v>
      </c>
      <c r="B1351" s="15">
        <v>44131</v>
      </c>
      <c r="C1351" t="str">
        <f>TEXT(Table1[[#This Row],[Order Date]], "yyyy")</f>
        <v>2020</v>
      </c>
      <c r="D1351" t="str">
        <f>TEXT(Table1[[#This Row],[Order Date]], "mmmm")</f>
        <v>October</v>
      </c>
      <c r="E1351" s="16">
        <f>Table1[[#This Row],[Order Quantity]]*Table1[[#This Row],[Unit Price]]</f>
        <v>38392.550000000003</v>
      </c>
      <c r="F1351">
        <v>43</v>
      </c>
      <c r="G1351" s="16">
        <v>892.85</v>
      </c>
      <c r="H1351" t="s">
        <v>25</v>
      </c>
      <c r="I1351" t="s">
        <v>807</v>
      </c>
      <c r="J1351" t="s">
        <v>23</v>
      </c>
      <c r="K1351" t="s">
        <v>11</v>
      </c>
    </row>
    <row r="1352" spans="1:11" x14ac:dyDescent="0.45">
      <c r="A1352">
        <v>7546</v>
      </c>
      <c r="B1352" s="15">
        <v>43913</v>
      </c>
      <c r="C1352" t="str">
        <f>TEXT(Table1[[#This Row],[Order Date]], "yyyy")</f>
        <v>2020</v>
      </c>
      <c r="D1352" t="str">
        <f>TEXT(Table1[[#This Row],[Order Date]], "mmmm")</f>
        <v>March</v>
      </c>
      <c r="E1352" s="16">
        <f>Table1[[#This Row],[Order Quantity]]*Table1[[#This Row],[Unit Price]]</f>
        <v>70989.8</v>
      </c>
      <c r="F1352">
        <v>70</v>
      </c>
      <c r="G1352" s="16">
        <v>1014.14</v>
      </c>
      <c r="H1352" t="s">
        <v>464</v>
      </c>
      <c r="I1352" t="s">
        <v>808</v>
      </c>
      <c r="J1352" t="s">
        <v>13</v>
      </c>
      <c r="K1352" t="s">
        <v>15</v>
      </c>
    </row>
    <row r="1353" spans="1:11" x14ac:dyDescent="0.45">
      <c r="A1353">
        <v>7547</v>
      </c>
      <c r="B1353" s="15">
        <v>43888</v>
      </c>
      <c r="C1353" t="str">
        <f>TEXT(Table1[[#This Row],[Order Date]], "yyyy")</f>
        <v>2020</v>
      </c>
      <c r="D1353" t="str">
        <f>TEXT(Table1[[#This Row],[Order Date]], "mmmm")</f>
        <v>February</v>
      </c>
      <c r="E1353" s="16">
        <f>Table1[[#This Row],[Order Quantity]]*Table1[[#This Row],[Unit Price]]</f>
        <v>18135.899999999998</v>
      </c>
      <c r="F1353">
        <v>90</v>
      </c>
      <c r="G1353" s="16">
        <v>201.51</v>
      </c>
      <c r="H1353" t="s">
        <v>464</v>
      </c>
      <c r="I1353" t="s">
        <v>809</v>
      </c>
      <c r="J1353" t="s">
        <v>20</v>
      </c>
      <c r="K1353" t="s">
        <v>15</v>
      </c>
    </row>
    <row r="1354" spans="1:11" x14ac:dyDescent="0.45">
      <c r="A1354">
        <v>7548</v>
      </c>
      <c r="B1354" s="15">
        <v>44050</v>
      </c>
      <c r="C1354" t="str">
        <f>TEXT(Table1[[#This Row],[Order Date]], "yyyy")</f>
        <v>2020</v>
      </c>
      <c r="D1354" t="str">
        <f>TEXT(Table1[[#This Row],[Order Date]], "mmmm")</f>
        <v>August</v>
      </c>
      <c r="E1354" s="16">
        <f>Table1[[#This Row],[Order Quantity]]*Table1[[#This Row],[Unit Price]]</f>
        <v>12134.359999999999</v>
      </c>
      <c r="F1354">
        <v>98</v>
      </c>
      <c r="G1354" s="16">
        <v>123.82</v>
      </c>
      <c r="H1354" t="s">
        <v>464</v>
      </c>
      <c r="I1354" t="s">
        <v>810</v>
      </c>
      <c r="J1354" t="s">
        <v>13</v>
      </c>
      <c r="K1354" t="s">
        <v>11</v>
      </c>
    </row>
    <row r="1355" spans="1:11" x14ac:dyDescent="0.45">
      <c r="A1355">
        <v>7549</v>
      </c>
      <c r="B1355" s="15">
        <v>43960</v>
      </c>
      <c r="C1355" t="str">
        <f>TEXT(Table1[[#This Row],[Order Date]], "yyyy")</f>
        <v>2020</v>
      </c>
      <c r="D1355" t="str">
        <f>TEXT(Table1[[#This Row],[Order Date]], "mmmm")</f>
        <v>May</v>
      </c>
      <c r="E1355" s="16">
        <f>Table1[[#This Row],[Order Quantity]]*Table1[[#This Row],[Unit Price]]</f>
        <v>17463.47</v>
      </c>
      <c r="F1355">
        <v>19</v>
      </c>
      <c r="G1355" s="16">
        <v>919.13</v>
      </c>
      <c r="H1355" t="s">
        <v>25</v>
      </c>
      <c r="I1355" t="s">
        <v>811</v>
      </c>
      <c r="J1355" t="s">
        <v>13</v>
      </c>
      <c r="K1355" t="s">
        <v>11</v>
      </c>
    </row>
    <row r="1356" spans="1:11" x14ac:dyDescent="0.45">
      <c r="A1356">
        <v>7550</v>
      </c>
      <c r="B1356" s="15">
        <v>43934</v>
      </c>
      <c r="C1356" t="str">
        <f>TEXT(Table1[[#This Row],[Order Date]], "yyyy")</f>
        <v>2020</v>
      </c>
      <c r="D1356" t="str">
        <f>TEXT(Table1[[#This Row],[Order Date]], "mmmm")</f>
        <v>April</v>
      </c>
      <c r="E1356" s="16">
        <f>Table1[[#This Row],[Order Quantity]]*Table1[[#This Row],[Unit Price]]</f>
        <v>108619.62000000001</v>
      </c>
      <c r="F1356">
        <v>73</v>
      </c>
      <c r="G1356" s="16">
        <v>1487.94</v>
      </c>
      <c r="H1356" t="s">
        <v>25</v>
      </c>
      <c r="I1356" t="s">
        <v>812</v>
      </c>
      <c r="J1356" t="s">
        <v>20</v>
      </c>
      <c r="K1356" t="s">
        <v>15</v>
      </c>
    </row>
    <row r="1357" spans="1:11" x14ac:dyDescent="0.45">
      <c r="A1357">
        <v>7551</v>
      </c>
      <c r="B1357" s="15">
        <v>44203</v>
      </c>
      <c r="C1357" t="str">
        <f>TEXT(Table1[[#This Row],[Order Date]], "yyyy")</f>
        <v>2021</v>
      </c>
      <c r="D1357" t="str">
        <f>TEXT(Table1[[#This Row],[Order Date]], "mmmm")</f>
        <v>January</v>
      </c>
      <c r="E1357" s="16">
        <f>Table1[[#This Row],[Order Quantity]]*Table1[[#This Row],[Unit Price]]</f>
        <v>36850.879999999997</v>
      </c>
      <c r="F1357">
        <v>76</v>
      </c>
      <c r="G1357" s="16">
        <v>484.88</v>
      </c>
      <c r="H1357" t="s">
        <v>8</v>
      </c>
      <c r="I1357" t="s">
        <v>813</v>
      </c>
      <c r="J1357" t="s">
        <v>10</v>
      </c>
      <c r="K1357" t="s">
        <v>11</v>
      </c>
    </row>
    <row r="1358" spans="1:11" x14ac:dyDescent="0.45">
      <c r="A1358">
        <v>7552</v>
      </c>
      <c r="B1358" s="15">
        <v>43856</v>
      </c>
      <c r="C1358" t="str">
        <f>TEXT(Table1[[#This Row],[Order Date]], "yyyy")</f>
        <v>2020</v>
      </c>
      <c r="D1358" t="str">
        <f>TEXT(Table1[[#This Row],[Order Date]], "mmmm")</f>
        <v>January</v>
      </c>
      <c r="E1358" s="16">
        <f>Table1[[#This Row],[Order Quantity]]*Table1[[#This Row],[Unit Price]]</f>
        <v>13244.11</v>
      </c>
      <c r="F1358">
        <v>11</v>
      </c>
      <c r="G1358" s="16">
        <v>1204.01</v>
      </c>
      <c r="H1358" t="s">
        <v>25</v>
      </c>
      <c r="I1358" t="s">
        <v>814</v>
      </c>
      <c r="J1358" t="s">
        <v>23</v>
      </c>
      <c r="K1358" t="s">
        <v>11</v>
      </c>
    </row>
    <row r="1359" spans="1:11" x14ac:dyDescent="0.45">
      <c r="A1359">
        <v>7553</v>
      </c>
      <c r="B1359" s="15">
        <v>43924</v>
      </c>
      <c r="C1359" t="str">
        <f>TEXT(Table1[[#This Row],[Order Date]], "yyyy")</f>
        <v>2020</v>
      </c>
      <c r="D1359" t="str">
        <f>TEXT(Table1[[#This Row],[Order Date]], "mmmm")</f>
        <v>April</v>
      </c>
      <c r="E1359" s="16">
        <f>Table1[[#This Row],[Order Quantity]]*Table1[[#This Row],[Unit Price]]</f>
        <v>34458.049999999996</v>
      </c>
      <c r="F1359">
        <v>47</v>
      </c>
      <c r="G1359" s="16">
        <v>733.15</v>
      </c>
      <c r="H1359" t="s">
        <v>464</v>
      </c>
      <c r="I1359" t="s">
        <v>815</v>
      </c>
      <c r="J1359" t="s">
        <v>10</v>
      </c>
      <c r="K1359" t="s">
        <v>17</v>
      </c>
    </row>
    <row r="1360" spans="1:11" x14ac:dyDescent="0.45">
      <c r="A1360">
        <v>7554</v>
      </c>
      <c r="B1360" s="15">
        <v>43960</v>
      </c>
      <c r="C1360" t="str">
        <f>TEXT(Table1[[#This Row],[Order Date]], "yyyy")</f>
        <v>2020</v>
      </c>
      <c r="D1360" t="str">
        <f>TEXT(Table1[[#This Row],[Order Date]], "mmmm")</f>
        <v>May</v>
      </c>
      <c r="E1360" s="16">
        <f>Table1[[#This Row],[Order Quantity]]*Table1[[#This Row],[Unit Price]]</f>
        <v>6275.7800000000007</v>
      </c>
      <c r="F1360">
        <v>46</v>
      </c>
      <c r="G1360" s="16">
        <v>136.43</v>
      </c>
      <c r="H1360" t="s">
        <v>464</v>
      </c>
      <c r="I1360" t="s">
        <v>816</v>
      </c>
      <c r="J1360" t="s">
        <v>20</v>
      </c>
      <c r="K1360" t="s">
        <v>17</v>
      </c>
    </row>
    <row r="1361" spans="1:11" x14ac:dyDescent="0.45">
      <c r="A1361">
        <v>7555</v>
      </c>
      <c r="B1361" s="15">
        <v>44112</v>
      </c>
      <c r="C1361" t="str">
        <f>TEXT(Table1[[#This Row],[Order Date]], "yyyy")</f>
        <v>2020</v>
      </c>
      <c r="D1361" t="str">
        <f>TEXT(Table1[[#This Row],[Order Date]], "mmmm")</f>
        <v>October</v>
      </c>
      <c r="E1361" s="16">
        <f>Table1[[#This Row],[Order Quantity]]*Table1[[#This Row],[Unit Price]]</f>
        <v>88441.859999999986</v>
      </c>
      <c r="F1361">
        <v>78</v>
      </c>
      <c r="G1361" s="16">
        <v>1133.8699999999999</v>
      </c>
      <c r="H1361" t="s">
        <v>25</v>
      </c>
      <c r="I1361" t="s">
        <v>817</v>
      </c>
      <c r="J1361" t="s">
        <v>10</v>
      </c>
      <c r="K1361" t="s">
        <v>11</v>
      </c>
    </row>
    <row r="1362" spans="1:11" x14ac:dyDescent="0.45">
      <c r="A1362">
        <v>7556</v>
      </c>
      <c r="B1362" s="15">
        <v>44146</v>
      </c>
      <c r="C1362" t="str">
        <f>TEXT(Table1[[#This Row],[Order Date]], "yyyy")</f>
        <v>2020</v>
      </c>
      <c r="D1362" t="str">
        <f>TEXT(Table1[[#This Row],[Order Date]], "mmmm")</f>
        <v>November</v>
      </c>
      <c r="E1362" s="16">
        <f>Table1[[#This Row],[Order Quantity]]*Table1[[#This Row],[Unit Price]]</f>
        <v>12478.34</v>
      </c>
      <c r="F1362">
        <v>34</v>
      </c>
      <c r="G1362" s="16">
        <v>367.01</v>
      </c>
      <c r="H1362" t="s">
        <v>25</v>
      </c>
      <c r="I1362" t="s">
        <v>818</v>
      </c>
      <c r="J1362" t="s">
        <v>20</v>
      </c>
      <c r="K1362" t="s">
        <v>11</v>
      </c>
    </row>
    <row r="1363" spans="1:11" x14ac:dyDescent="0.45">
      <c r="A1363">
        <v>7557</v>
      </c>
      <c r="B1363" s="15">
        <v>44168</v>
      </c>
      <c r="C1363" t="str">
        <f>TEXT(Table1[[#This Row],[Order Date]], "yyyy")</f>
        <v>2020</v>
      </c>
      <c r="D1363" t="str">
        <f>TEXT(Table1[[#This Row],[Order Date]], "mmmm")</f>
        <v>December</v>
      </c>
      <c r="E1363" s="16">
        <f>Table1[[#This Row],[Order Quantity]]*Table1[[#This Row],[Unit Price]]</f>
        <v>5099.2</v>
      </c>
      <c r="F1363">
        <v>8</v>
      </c>
      <c r="G1363" s="16">
        <v>637.4</v>
      </c>
      <c r="H1363" t="s">
        <v>464</v>
      </c>
      <c r="I1363" t="s">
        <v>819</v>
      </c>
      <c r="J1363" t="s">
        <v>13</v>
      </c>
      <c r="K1363" t="s">
        <v>17</v>
      </c>
    </row>
    <row r="1364" spans="1:11" x14ac:dyDescent="0.45">
      <c r="A1364">
        <v>7558</v>
      </c>
      <c r="B1364" s="15">
        <v>44194</v>
      </c>
      <c r="C1364" t="str">
        <f>TEXT(Table1[[#This Row],[Order Date]], "yyyy")</f>
        <v>2020</v>
      </c>
      <c r="D1364" t="str">
        <f>TEXT(Table1[[#This Row],[Order Date]], "mmmm")</f>
        <v>December</v>
      </c>
      <c r="E1364" s="16">
        <f>Table1[[#This Row],[Order Quantity]]*Table1[[#This Row],[Unit Price]]</f>
        <v>68686.86</v>
      </c>
      <c r="F1364">
        <v>66</v>
      </c>
      <c r="G1364" s="16">
        <v>1040.71</v>
      </c>
      <c r="H1364" t="s">
        <v>8</v>
      </c>
      <c r="I1364" t="s">
        <v>820</v>
      </c>
      <c r="J1364" t="s">
        <v>10</v>
      </c>
      <c r="K1364" t="s">
        <v>11</v>
      </c>
    </row>
    <row r="1365" spans="1:11" x14ac:dyDescent="0.45">
      <c r="A1365">
        <v>7559</v>
      </c>
      <c r="B1365" s="15">
        <v>43910</v>
      </c>
      <c r="C1365" t="str">
        <f>TEXT(Table1[[#This Row],[Order Date]], "yyyy")</f>
        <v>2020</v>
      </c>
      <c r="D1365" t="str">
        <f>TEXT(Table1[[#This Row],[Order Date]], "mmmm")</f>
        <v>March</v>
      </c>
      <c r="E1365" s="16">
        <f>Table1[[#This Row],[Order Quantity]]*Table1[[#This Row],[Unit Price]]</f>
        <v>62785.58</v>
      </c>
      <c r="F1365">
        <v>58</v>
      </c>
      <c r="G1365" s="16">
        <v>1082.51</v>
      </c>
      <c r="H1365" t="s">
        <v>8</v>
      </c>
      <c r="I1365" t="s">
        <v>821</v>
      </c>
      <c r="J1365" t="s">
        <v>10</v>
      </c>
      <c r="K1365" t="s">
        <v>11</v>
      </c>
    </row>
    <row r="1366" spans="1:11" x14ac:dyDescent="0.45">
      <c r="A1366">
        <v>7560</v>
      </c>
      <c r="B1366" s="15">
        <v>44134</v>
      </c>
      <c r="C1366" t="str">
        <f>TEXT(Table1[[#This Row],[Order Date]], "yyyy")</f>
        <v>2020</v>
      </c>
      <c r="D1366" t="str">
        <f>TEXT(Table1[[#This Row],[Order Date]], "mmmm")</f>
        <v>October</v>
      </c>
      <c r="E1366" s="16">
        <f>Table1[[#This Row],[Order Quantity]]*Table1[[#This Row],[Unit Price]]</f>
        <v>31050.239999999998</v>
      </c>
      <c r="F1366">
        <v>24</v>
      </c>
      <c r="G1366" s="16">
        <v>1293.76</v>
      </c>
      <c r="H1366" t="s">
        <v>8</v>
      </c>
      <c r="I1366" t="s">
        <v>822</v>
      </c>
      <c r="J1366" t="s">
        <v>13</v>
      </c>
      <c r="K1366" t="s">
        <v>17</v>
      </c>
    </row>
    <row r="1367" spans="1:11" x14ac:dyDescent="0.45">
      <c r="A1367">
        <v>7561</v>
      </c>
      <c r="B1367" s="15">
        <v>43911</v>
      </c>
      <c r="C1367" t="str">
        <f>TEXT(Table1[[#This Row],[Order Date]], "yyyy")</f>
        <v>2020</v>
      </c>
      <c r="D1367" t="str">
        <f>TEXT(Table1[[#This Row],[Order Date]], "mmmm")</f>
        <v>March</v>
      </c>
      <c r="E1367" s="16">
        <f>Table1[[#This Row],[Order Quantity]]*Table1[[#This Row],[Unit Price]]</f>
        <v>24220.25</v>
      </c>
      <c r="F1367">
        <v>25</v>
      </c>
      <c r="G1367" s="16">
        <v>968.81</v>
      </c>
      <c r="H1367" t="s">
        <v>464</v>
      </c>
      <c r="I1367" t="s">
        <v>823</v>
      </c>
      <c r="J1367" t="s">
        <v>23</v>
      </c>
      <c r="K1367" t="s">
        <v>15</v>
      </c>
    </row>
    <row r="1368" spans="1:11" x14ac:dyDescent="0.45">
      <c r="A1368">
        <v>7562</v>
      </c>
      <c r="B1368" s="15">
        <v>44177</v>
      </c>
      <c r="C1368" t="str">
        <f>TEXT(Table1[[#This Row],[Order Date]], "yyyy")</f>
        <v>2020</v>
      </c>
      <c r="D1368" t="str">
        <f>TEXT(Table1[[#This Row],[Order Date]], "mmmm")</f>
        <v>December</v>
      </c>
      <c r="E1368" s="16">
        <f>Table1[[#This Row],[Order Quantity]]*Table1[[#This Row],[Unit Price]]</f>
        <v>28692.3</v>
      </c>
      <c r="F1368">
        <v>65</v>
      </c>
      <c r="G1368" s="16">
        <v>441.42</v>
      </c>
      <c r="H1368" t="s">
        <v>8</v>
      </c>
      <c r="I1368" t="s">
        <v>824</v>
      </c>
      <c r="J1368" t="s">
        <v>20</v>
      </c>
      <c r="K1368" t="s">
        <v>11</v>
      </c>
    </row>
    <row r="1369" spans="1:11" x14ac:dyDescent="0.45">
      <c r="A1369">
        <v>7563</v>
      </c>
      <c r="B1369" s="15">
        <v>44129</v>
      </c>
      <c r="C1369" t="str">
        <f>TEXT(Table1[[#This Row],[Order Date]], "yyyy")</f>
        <v>2020</v>
      </c>
      <c r="D1369" t="str">
        <f>TEXT(Table1[[#This Row],[Order Date]], "mmmm")</f>
        <v>October</v>
      </c>
      <c r="E1369" s="16">
        <f>Table1[[#This Row],[Order Quantity]]*Table1[[#This Row],[Unit Price]]</f>
        <v>56140.800000000003</v>
      </c>
      <c r="F1369">
        <v>40</v>
      </c>
      <c r="G1369" s="16">
        <v>1403.52</v>
      </c>
      <c r="H1369" t="s">
        <v>8</v>
      </c>
      <c r="I1369" t="s">
        <v>825</v>
      </c>
      <c r="J1369" t="s">
        <v>23</v>
      </c>
      <c r="K1369" t="s">
        <v>17</v>
      </c>
    </row>
    <row r="1370" spans="1:11" x14ac:dyDescent="0.45">
      <c r="A1370">
        <v>7564</v>
      </c>
      <c r="B1370" s="15">
        <v>43958</v>
      </c>
      <c r="C1370" t="str">
        <f>TEXT(Table1[[#This Row],[Order Date]], "yyyy")</f>
        <v>2020</v>
      </c>
      <c r="D1370" t="str">
        <f>TEXT(Table1[[#This Row],[Order Date]], "mmmm")</f>
        <v>May</v>
      </c>
      <c r="E1370" s="16">
        <f>Table1[[#This Row],[Order Quantity]]*Table1[[#This Row],[Unit Price]]</f>
        <v>76783.849999999991</v>
      </c>
      <c r="F1370">
        <v>55</v>
      </c>
      <c r="G1370" s="16">
        <v>1396.07</v>
      </c>
      <c r="H1370" t="s">
        <v>25</v>
      </c>
      <c r="I1370" t="s">
        <v>826</v>
      </c>
      <c r="J1370" t="s">
        <v>10</v>
      </c>
      <c r="K1370" t="s">
        <v>11</v>
      </c>
    </row>
    <row r="1371" spans="1:11" x14ac:dyDescent="0.45">
      <c r="A1371">
        <v>7565</v>
      </c>
      <c r="B1371" s="15">
        <v>44200</v>
      </c>
      <c r="C1371" t="str">
        <f>TEXT(Table1[[#This Row],[Order Date]], "yyyy")</f>
        <v>2021</v>
      </c>
      <c r="D1371" t="str">
        <f>TEXT(Table1[[#This Row],[Order Date]], "mmmm")</f>
        <v>January</v>
      </c>
      <c r="E1371" s="16">
        <f>Table1[[#This Row],[Order Quantity]]*Table1[[#This Row],[Unit Price]]</f>
        <v>830.58</v>
      </c>
      <c r="F1371">
        <v>1</v>
      </c>
      <c r="G1371" s="16">
        <v>830.58</v>
      </c>
      <c r="H1371" t="s">
        <v>8</v>
      </c>
      <c r="I1371" t="s">
        <v>827</v>
      </c>
      <c r="J1371" t="s">
        <v>20</v>
      </c>
      <c r="K1371" t="s">
        <v>15</v>
      </c>
    </row>
    <row r="1372" spans="1:11" x14ac:dyDescent="0.45">
      <c r="A1372">
        <v>7566</v>
      </c>
      <c r="B1372" s="15">
        <v>43998</v>
      </c>
      <c r="C1372" t="str">
        <f>TEXT(Table1[[#This Row],[Order Date]], "yyyy")</f>
        <v>2020</v>
      </c>
      <c r="D1372" t="str">
        <f>TEXT(Table1[[#This Row],[Order Date]], "mmmm")</f>
        <v>June</v>
      </c>
      <c r="E1372" s="16">
        <f>Table1[[#This Row],[Order Quantity]]*Table1[[#This Row],[Unit Price]]</f>
        <v>9980.1</v>
      </c>
      <c r="F1372">
        <v>10</v>
      </c>
      <c r="G1372" s="16">
        <v>998.01</v>
      </c>
      <c r="H1372" t="s">
        <v>8</v>
      </c>
      <c r="I1372" t="s">
        <v>828</v>
      </c>
      <c r="J1372" t="s">
        <v>13</v>
      </c>
      <c r="K1372" t="s">
        <v>11</v>
      </c>
    </row>
    <row r="1373" spans="1:11" x14ac:dyDescent="0.45">
      <c r="A1373">
        <v>7567</v>
      </c>
      <c r="B1373" s="15">
        <v>44159</v>
      </c>
      <c r="C1373" t="str">
        <f>TEXT(Table1[[#This Row],[Order Date]], "yyyy")</f>
        <v>2020</v>
      </c>
      <c r="D1373" t="str">
        <f>TEXT(Table1[[#This Row],[Order Date]], "mmmm")</f>
        <v>November</v>
      </c>
      <c r="E1373" s="16">
        <f>Table1[[#This Row],[Order Quantity]]*Table1[[#This Row],[Unit Price]]</f>
        <v>3634.2299999999996</v>
      </c>
      <c r="F1373">
        <v>23</v>
      </c>
      <c r="G1373" s="16">
        <v>158.01</v>
      </c>
      <c r="H1373" t="s">
        <v>25</v>
      </c>
      <c r="I1373" t="s">
        <v>829</v>
      </c>
      <c r="J1373" t="s">
        <v>23</v>
      </c>
      <c r="K1373" t="s">
        <v>15</v>
      </c>
    </row>
    <row r="1374" spans="1:11" x14ac:dyDescent="0.45">
      <c r="A1374">
        <v>7568</v>
      </c>
      <c r="B1374" s="15">
        <v>43850</v>
      </c>
      <c r="C1374" t="str">
        <f>TEXT(Table1[[#This Row],[Order Date]], "yyyy")</f>
        <v>2020</v>
      </c>
      <c r="D1374" t="str">
        <f>TEXT(Table1[[#This Row],[Order Date]], "mmmm")</f>
        <v>January</v>
      </c>
      <c r="E1374" s="16">
        <f>Table1[[#This Row],[Order Quantity]]*Table1[[#This Row],[Unit Price]]</f>
        <v>47237.26</v>
      </c>
      <c r="F1374">
        <v>79</v>
      </c>
      <c r="G1374" s="16">
        <v>597.94000000000005</v>
      </c>
      <c r="H1374" t="s">
        <v>464</v>
      </c>
      <c r="I1374" t="s">
        <v>830</v>
      </c>
      <c r="J1374" t="s">
        <v>13</v>
      </c>
      <c r="K1374" t="s">
        <v>15</v>
      </c>
    </row>
    <row r="1375" spans="1:11" x14ac:dyDescent="0.45">
      <c r="A1375">
        <v>7569</v>
      </c>
      <c r="B1375" s="15">
        <v>44182</v>
      </c>
      <c r="C1375" t="str">
        <f>TEXT(Table1[[#This Row],[Order Date]], "yyyy")</f>
        <v>2020</v>
      </c>
      <c r="D1375" t="str">
        <f>TEXT(Table1[[#This Row],[Order Date]], "mmmm")</f>
        <v>December</v>
      </c>
      <c r="E1375" s="16">
        <f>Table1[[#This Row],[Order Quantity]]*Table1[[#This Row],[Unit Price]]</f>
        <v>72575.399999999994</v>
      </c>
      <c r="F1375">
        <v>60</v>
      </c>
      <c r="G1375" s="16">
        <v>1209.5899999999999</v>
      </c>
      <c r="H1375" t="s">
        <v>8</v>
      </c>
      <c r="I1375" t="s">
        <v>831</v>
      </c>
      <c r="J1375" t="s">
        <v>13</v>
      </c>
      <c r="K1375" t="s">
        <v>17</v>
      </c>
    </row>
    <row r="1376" spans="1:11" x14ac:dyDescent="0.45">
      <c r="A1376">
        <v>7570</v>
      </c>
      <c r="B1376" s="15">
        <v>43952</v>
      </c>
      <c r="C1376" t="str">
        <f>TEXT(Table1[[#This Row],[Order Date]], "yyyy")</f>
        <v>2020</v>
      </c>
      <c r="D1376" t="str">
        <f>TEXT(Table1[[#This Row],[Order Date]], "mmmm")</f>
        <v>May</v>
      </c>
      <c r="E1376" s="16">
        <f>Table1[[#This Row],[Order Quantity]]*Table1[[#This Row],[Unit Price]]</f>
        <v>34719.72</v>
      </c>
      <c r="F1376">
        <v>84</v>
      </c>
      <c r="G1376" s="16">
        <v>413.33</v>
      </c>
      <c r="H1376" t="s">
        <v>8</v>
      </c>
      <c r="I1376" t="s">
        <v>832</v>
      </c>
      <c r="J1376" t="s">
        <v>10</v>
      </c>
      <c r="K1376" t="s">
        <v>17</v>
      </c>
    </row>
    <row r="1377" spans="1:11" x14ac:dyDescent="0.45">
      <c r="A1377">
        <v>7571</v>
      </c>
      <c r="B1377" s="15">
        <v>44127</v>
      </c>
      <c r="C1377" t="str">
        <f>TEXT(Table1[[#This Row],[Order Date]], "yyyy")</f>
        <v>2020</v>
      </c>
      <c r="D1377" t="str">
        <f>TEXT(Table1[[#This Row],[Order Date]], "mmmm")</f>
        <v>October</v>
      </c>
      <c r="E1377" s="16">
        <f>Table1[[#This Row],[Order Quantity]]*Table1[[#This Row],[Unit Price]]</f>
        <v>2760.56</v>
      </c>
      <c r="F1377">
        <v>44</v>
      </c>
      <c r="G1377" s="16">
        <v>62.74</v>
      </c>
      <c r="H1377" t="s">
        <v>8</v>
      </c>
      <c r="I1377" t="s">
        <v>833</v>
      </c>
      <c r="J1377" t="s">
        <v>10</v>
      </c>
      <c r="K1377" t="s">
        <v>15</v>
      </c>
    </row>
    <row r="1378" spans="1:11" x14ac:dyDescent="0.45">
      <c r="A1378">
        <v>7572</v>
      </c>
      <c r="B1378" s="15">
        <v>44196</v>
      </c>
      <c r="C1378" t="str">
        <f>TEXT(Table1[[#This Row],[Order Date]], "yyyy")</f>
        <v>2020</v>
      </c>
      <c r="D1378" t="str">
        <f>TEXT(Table1[[#This Row],[Order Date]], "mmmm")</f>
        <v>December</v>
      </c>
      <c r="E1378" s="16">
        <f>Table1[[#This Row],[Order Quantity]]*Table1[[#This Row],[Unit Price]]</f>
        <v>4174.5600000000004</v>
      </c>
      <c r="F1378">
        <v>16</v>
      </c>
      <c r="G1378" s="16">
        <v>260.91000000000003</v>
      </c>
      <c r="H1378" t="s">
        <v>8</v>
      </c>
      <c r="I1378" t="s">
        <v>834</v>
      </c>
      <c r="J1378" t="s">
        <v>13</v>
      </c>
      <c r="K1378" t="s">
        <v>11</v>
      </c>
    </row>
    <row r="1379" spans="1:11" x14ac:dyDescent="0.45">
      <c r="A1379">
        <v>7573</v>
      </c>
      <c r="B1379" s="15">
        <v>43838</v>
      </c>
      <c r="C1379" t="str">
        <f>TEXT(Table1[[#This Row],[Order Date]], "yyyy")</f>
        <v>2020</v>
      </c>
      <c r="D1379" t="str">
        <f>TEXT(Table1[[#This Row],[Order Date]], "mmmm")</f>
        <v>January</v>
      </c>
      <c r="E1379" s="16">
        <f>Table1[[#This Row],[Order Quantity]]*Table1[[#This Row],[Unit Price]]</f>
        <v>30123.52</v>
      </c>
      <c r="F1379">
        <v>82</v>
      </c>
      <c r="G1379" s="16">
        <v>367.36</v>
      </c>
      <c r="H1379" t="s">
        <v>464</v>
      </c>
      <c r="I1379" t="s">
        <v>835</v>
      </c>
      <c r="J1379" t="s">
        <v>13</v>
      </c>
      <c r="K1379" t="s">
        <v>17</v>
      </c>
    </row>
    <row r="1380" spans="1:11" x14ac:dyDescent="0.45">
      <c r="A1380">
        <v>7574</v>
      </c>
      <c r="B1380" s="15">
        <v>44135</v>
      </c>
      <c r="C1380" t="str">
        <f>TEXT(Table1[[#This Row],[Order Date]], "yyyy")</f>
        <v>2020</v>
      </c>
      <c r="D1380" t="str">
        <f>TEXT(Table1[[#This Row],[Order Date]], "mmmm")</f>
        <v>October</v>
      </c>
      <c r="E1380" s="16">
        <f>Table1[[#This Row],[Order Quantity]]*Table1[[#This Row],[Unit Price]]</f>
        <v>53454.149999999994</v>
      </c>
      <c r="F1380">
        <v>45</v>
      </c>
      <c r="G1380" s="16">
        <v>1187.8699999999999</v>
      </c>
      <c r="H1380" t="s">
        <v>25</v>
      </c>
      <c r="I1380" t="s">
        <v>836</v>
      </c>
      <c r="J1380" t="s">
        <v>10</v>
      </c>
      <c r="K1380" t="s">
        <v>17</v>
      </c>
    </row>
    <row r="1381" spans="1:11" x14ac:dyDescent="0.45">
      <c r="A1381">
        <v>7575</v>
      </c>
      <c r="B1381" s="15">
        <v>43856</v>
      </c>
      <c r="C1381" t="str">
        <f>TEXT(Table1[[#This Row],[Order Date]], "yyyy")</f>
        <v>2020</v>
      </c>
      <c r="D1381" t="str">
        <f>TEXT(Table1[[#This Row],[Order Date]], "mmmm")</f>
        <v>January</v>
      </c>
      <c r="E1381" s="16">
        <f>Table1[[#This Row],[Order Quantity]]*Table1[[#This Row],[Unit Price]]</f>
        <v>5098.7299999999996</v>
      </c>
      <c r="F1381">
        <v>13</v>
      </c>
      <c r="G1381" s="16">
        <v>392.21</v>
      </c>
      <c r="H1381" t="s">
        <v>8</v>
      </c>
      <c r="I1381" t="s">
        <v>837</v>
      </c>
      <c r="J1381" t="s">
        <v>20</v>
      </c>
      <c r="K1381" t="s">
        <v>15</v>
      </c>
    </row>
    <row r="1382" spans="1:11" x14ac:dyDescent="0.45">
      <c r="A1382">
        <v>7576</v>
      </c>
      <c r="B1382" s="15">
        <v>43912</v>
      </c>
      <c r="C1382" t="str">
        <f>TEXT(Table1[[#This Row],[Order Date]], "yyyy")</f>
        <v>2020</v>
      </c>
      <c r="D1382" t="str">
        <f>TEXT(Table1[[#This Row],[Order Date]], "mmmm")</f>
        <v>March</v>
      </c>
      <c r="E1382" s="16">
        <f>Table1[[#This Row],[Order Quantity]]*Table1[[#This Row],[Unit Price]]</f>
        <v>8027.84</v>
      </c>
      <c r="F1382">
        <v>16</v>
      </c>
      <c r="G1382" s="16">
        <v>501.74</v>
      </c>
      <c r="H1382" t="s">
        <v>464</v>
      </c>
      <c r="I1382" t="s">
        <v>838</v>
      </c>
      <c r="J1382" t="s">
        <v>20</v>
      </c>
      <c r="K1382" t="s">
        <v>15</v>
      </c>
    </row>
    <row r="1383" spans="1:11" x14ac:dyDescent="0.45">
      <c r="A1383">
        <v>7577</v>
      </c>
      <c r="B1383" s="15">
        <v>44107</v>
      </c>
      <c r="C1383" t="str">
        <f>TEXT(Table1[[#This Row],[Order Date]], "yyyy")</f>
        <v>2020</v>
      </c>
      <c r="D1383" t="str">
        <f>TEXT(Table1[[#This Row],[Order Date]], "mmmm")</f>
        <v>October</v>
      </c>
      <c r="E1383" s="16">
        <f>Table1[[#This Row],[Order Quantity]]*Table1[[#This Row],[Unit Price]]</f>
        <v>2051.34</v>
      </c>
      <c r="F1383">
        <v>3</v>
      </c>
      <c r="G1383" s="16">
        <v>683.78</v>
      </c>
      <c r="H1383" t="s">
        <v>464</v>
      </c>
      <c r="I1383" t="s">
        <v>839</v>
      </c>
      <c r="J1383" t="s">
        <v>23</v>
      </c>
      <c r="K1383" t="s">
        <v>17</v>
      </c>
    </row>
    <row r="1384" spans="1:11" x14ac:dyDescent="0.45">
      <c r="A1384">
        <v>7578</v>
      </c>
      <c r="B1384" s="15">
        <v>43978</v>
      </c>
      <c r="C1384" t="str">
        <f>TEXT(Table1[[#This Row],[Order Date]], "yyyy")</f>
        <v>2020</v>
      </c>
      <c r="D1384" t="str">
        <f>TEXT(Table1[[#This Row],[Order Date]], "mmmm")</f>
        <v>May</v>
      </c>
      <c r="E1384" s="16">
        <f>Table1[[#This Row],[Order Quantity]]*Table1[[#This Row],[Unit Price]]</f>
        <v>76800.09</v>
      </c>
      <c r="F1384">
        <v>67</v>
      </c>
      <c r="G1384" s="16">
        <v>1146.27</v>
      </c>
      <c r="H1384" t="s">
        <v>464</v>
      </c>
      <c r="I1384" t="s">
        <v>840</v>
      </c>
      <c r="J1384" t="s">
        <v>20</v>
      </c>
      <c r="K1384" t="s">
        <v>11</v>
      </c>
    </row>
    <row r="1385" spans="1:11" x14ac:dyDescent="0.45">
      <c r="A1385">
        <v>7579</v>
      </c>
      <c r="B1385" s="15">
        <v>44034</v>
      </c>
      <c r="C1385" t="str">
        <f>TEXT(Table1[[#This Row],[Order Date]], "yyyy")</f>
        <v>2020</v>
      </c>
      <c r="D1385" t="str">
        <f>TEXT(Table1[[#This Row],[Order Date]], "mmmm")</f>
        <v>July</v>
      </c>
      <c r="E1385" s="16">
        <f>Table1[[#This Row],[Order Quantity]]*Table1[[#This Row],[Unit Price]]</f>
        <v>19949.509999999998</v>
      </c>
      <c r="F1385">
        <v>23</v>
      </c>
      <c r="G1385" s="16">
        <v>867.37</v>
      </c>
      <c r="H1385" t="s">
        <v>25</v>
      </c>
      <c r="I1385" t="s">
        <v>841</v>
      </c>
      <c r="J1385" t="s">
        <v>20</v>
      </c>
      <c r="K1385" t="s">
        <v>17</v>
      </c>
    </row>
    <row r="1386" spans="1:11" x14ac:dyDescent="0.45">
      <c r="A1386">
        <v>7580</v>
      </c>
      <c r="B1386" s="15">
        <v>43891</v>
      </c>
      <c r="C1386" t="str">
        <f>TEXT(Table1[[#This Row],[Order Date]], "yyyy")</f>
        <v>2020</v>
      </c>
      <c r="D1386" t="str">
        <f>TEXT(Table1[[#This Row],[Order Date]], "mmmm")</f>
        <v>March</v>
      </c>
      <c r="E1386" s="16">
        <f>Table1[[#This Row],[Order Quantity]]*Table1[[#This Row],[Unit Price]]</f>
        <v>15542.02</v>
      </c>
      <c r="F1386">
        <v>23</v>
      </c>
      <c r="G1386" s="16">
        <v>675.74</v>
      </c>
      <c r="H1386" t="s">
        <v>25</v>
      </c>
      <c r="I1386" t="s">
        <v>842</v>
      </c>
      <c r="J1386" t="s">
        <v>20</v>
      </c>
      <c r="K1386" t="s">
        <v>11</v>
      </c>
    </row>
    <row r="1387" spans="1:11" x14ac:dyDescent="0.45">
      <c r="A1387">
        <v>7581</v>
      </c>
      <c r="B1387" s="15">
        <v>44062</v>
      </c>
      <c r="C1387" t="str">
        <f>TEXT(Table1[[#This Row],[Order Date]], "yyyy")</f>
        <v>2020</v>
      </c>
      <c r="D1387" t="str">
        <f>TEXT(Table1[[#This Row],[Order Date]], "mmmm")</f>
        <v>August</v>
      </c>
      <c r="E1387" s="16">
        <f>Table1[[#This Row],[Order Quantity]]*Table1[[#This Row],[Unit Price]]</f>
        <v>40312.899999999994</v>
      </c>
      <c r="F1387">
        <v>58</v>
      </c>
      <c r="G1387" s="16">
        <v>695.05</v>
      </c>
      <c r="H1387" t="s">
        <v>464</v>
      </c>
      <c r="I1387" t="s">
        <v>843</v>
      </c>
      <c r="J1387" t="s">
        <v>23</v>
      </c>
      <c r="K1387" t="s">
        <v>11</v>
      </c>
    </row>
    <row r="1388" spans="1:11" x14ac:dyDescent="0.45">
      <c r="A1388">
        <v>7582</v>
      </c>
      <c r="B1388" s="15">
        <v>43887</v>
      </c>
      <c r="C1388" t="str">
        <f>TEXT(Table1[[#This Row],[Order Date]], "yyyy")</f>
        <v>2020</v>
      </c>
      <c r="D1388" t="str">
        <f>TEXT(Table1[[#This Row],[Order Date]], "mmmm")</f>
        <v>February</v>
      </c>
      <c r="E1388" s="16">
        <f>Table1[[#This Row],[Order Quantity]]*Table1[[#This Row],[Unit Price]]</f>
        <v>4604.12</v>
      </c>
      <c r="F1388">
        <v>31</v>
      </c>
      <c r="G1388" s="16">
        <v>148.52000000000001</v>
      </c>
      <c r="H1388" t="s">
        <v>464</v>
      </c>
      <c r="I1388" t="s">
        <v>844</v>
      </c>
      <c r="J1388" t="s">
        <v>10</v>
      </c>
      <c r="K1388" t="s">
        <v>11</v>
      </c>
    </row>
    <row r="1389" spans="1:11" x14ac:dyDescent="0.45">
      <c r="A1389">
        <v>7583</v>
      </c>
      <c r="B1389" s="15">
        <v>43897</v>
      </c>
      <c r="C1389" t="str">
        <f>TEXT(Table1[[#This Row],[Order Date]], "yyyy")</f>
        <v>2020</v>
      </c>
      <c r="D1389" t="str">
        <f>TEXT(Table1[[#This Row],[Order Date]], "mmmm")</f>
        <v>March</v>
      </c>
      <c r="E1389" s="16">
        <f>Table1[[#This Row],[Order Quantity]]*Table1[[#This Row],[Unit Price]]</f>
        <v>83389.290000000008</v>
      </c>
      <c r="F1389">
        <v>57</v>
      </c>
      <c r="G1389" s="16">
        <v>1462.97</v>
      </c>
      <c r="H1389" t="s">
        <v>464</v>
      </c>
      <c r="I1389" t="s">
        <v>845</v>
      </c>
      <c r="J1389" t="s">
        <v>23</v>
      </c>
      <c r="K1389" t="s">
        <v>11</v>
      </c>
    </row>
    <row r="1390" spans="1:11" x14ac:dyDescent="0.45">
      <c r="A1390">
        <v>7584</v>
      </c>
      <c r="B1390" s="15">
        <v>43981</v>
      </c>
      <c r="C1390" t="str">
        <f>TEXT(Table1[[#This Row],[Order Date]], "yyyy")</f>
        <v>2020</v>
      </c>
      <c r="D1390" t="str">
        <f>TEXT(Table1[[#This Row],[Order Date]], "mmmm")</f>
        <v>May</v>
      </c>
      <c r="E1390" s="16">
        <f>Table1[[#This Row],[Order Quantity]]*Table1[[#This Row],[Unit Price]]</f>
        <v>59492.069999999992</v>
      </c>
      <c r="F1390">
        <v>99</v>
      </c>
      <c r="G1390" s="16">
        <v>600.92999999999995</v>
      </c>
      <c r="H1390" t="s">
        <v>25</v>
      </c>
      <c r="I1390" t="s">
        <v>846</v>
      </c>
      <c r="J1390" t="s">
        <v>20</v>
      </c>
      <c r="K1390" t="s">
        <v>11</v>
      </c>
    </row>
    <row r="1391" spans="1:11" x14ac:dyDescent="0.45">
      <c r="A1391">
        <v>7585</v>
      </c>
      <c r="B1391" s="15">
        <v>43840</v>
      </c>
      <c r="C1391" t="str">
        <f>TEXT(Table1[[#This Row],[Order Date]], "yyyy")</f>
        <v>2020</v>
      </c>
      <c r="D1391" t="str">
        <f>TEXT(Table1[[#This Row],[Order Date]], "mmmm")</f>
        <v>January</v>
      </c>
      <c r="E1391" s="16">
        <f>Table1[[#This Row],[Order Quantity]]*Table1[[#This Row],[Unit Price]]</f>
        <v>68026.099999999991</v>
      </c>
      <c r="F1391">
        <v>97</v>
      </c>
      <c r="G1391" s="16">
        <v>701.3</v>
      </c>
      <c r="H1391" t="s">
        <v>25</v>
      </c>
      <c r="I1391" t="s">
        <v>847</v>
      </c>
      <c r="J1391" t="s">
        <v>13</v>
      </c>
      <c r="K1391" t="s">
        <v>17</v>
      </c>
    </row>
    <row r="1392" spans="1:11" x14ac:dyDescent="0.45">
      <c r="A1392">
        <v>7586</v>
      </c>
      <c r="B1392" s="15">
        <v>44033</v>
      </c>
      <c r="C1392" t="str">
        <f>TEXT(Table1[[#This Row],[Order Date]], "yyyy")</f>
        <v>2020</v>
      </c>
      <c r="D1392" t="str">
        <f>TEXT(Table1[[#This Row],[Order Date]], "mmmm")</f>
        <v>July</v>
      </c>
      <c r="E1392" s="16">
        <f>Table1[[#This Row],[Order Quantity]]*Table1[[#This Row],[Unit Price]]</f>
        <v>1751.0099999999998</v>
      </c>
      <c r="F1392">
        <v>3</v>
      </c>
      <c r="G1392" s="16">
        <v>583.66999999999996</v>
      </c>
      <c r="H1392" t="s">
        <v>25</v>
      </c>
      <c r="I1392" t="s">
        <v>848</v>
      </c>
      <c r="J1392" t="s">
        <v>10</v>
      </c>
      <c r="K1392" t="s">
        <v>15</v>
      </c>
    </row>
    <row r="1393" spans="1:11" x14ac:dyDescent="0.45">
      <c r="A1393">
        <v>7587</v>
      </c>
      <c r="B1393" s="15">
        <v>43920</v>
      </c>
      <c r="C1393" t="str">
        <f>TEXT(Table1[[#This Row],[Order Date]], "yyyy")</f>
        <v>2020</v>
      </c>
      <c r="D1393" t="str">
        <f>TEXT(Table1[[#This Row],[Order Date]], "mmmm")</f>
        <v>March</v>
      </c>
      <c r="E1393" s="16">
        <f>Table1[[#This Row],[Order Quantity]]*Table1[[#This Row],[Unit Price]]</f>
        <v>103168.17</v>
      </c>
      <c r="F1393">
        <v>83</v>
      </c>
      <c r="G1393" s="16">
        <v>1242.99</v>
      </c>
      <c r="H1393" t="s">
        <v>8</v>
      </c>
      <c r="I1393" t="s">
        <v>849</v>
      </c>
      <c r="J1393" t="s">
        <v>13</v>
      </c>
      <c r="K1393" t="s">
        <v>15</v>
      </c>
    </row>
    <row r="1394" spans="1:11" x14ac:dyDescent="0.45">
      <c r="A1394">
        <v>7588</v>
      </c>
      <c r="B1394" s="15">
        <v>43903</v>
      </c>
      <c r="C1394" t="str">
        <f>TEXT(Table1[[#This Row],[Order Date]], "yyyy")</f>
        <v>2020</v>
      </c>
      <c r="D1394" t="str">
        <f>TEXT(Table1[[#This Row],[Order Date]], "mmmm")</f>
        <v>March</v>
      </c>
      <c r="E1394" s="16">
        <f>Table1[[#This Row],[Order Quantity]]*Table1[[#This Row],[Unit Price]]</f>
        <v>2452.9500000000003</v>
      </c>
      <c r="F1394">
        <v>9</v>
      </c>
      <c r="G1394" s="16">
        <v>272.55</v>
      </c>
      <c r="H1394" t="s">
        <v>8</v>
      </c>
      <c r="I1394" t="s">
        <v>850</v>
      </c>
      <c r="J1394" t="s">
        <v>20</v>
      </c>
      <c r="K1394" t="s">
        <v>17</v>
      </c>
    </row>
    <row r="1395" spans="1:11" x14ac:dyDescent="0.45">
      <c r="A1395">
        <v>7589</v>
      </c>
      <c r="B1395" s="15">
        <v>44186</v>
      </c>
      <c r="C1395" t="str">
        <f>TEXT(Table1[[#This Row],[Order Date]], "yyyy")</f>
        <v>2020</v>
      </c>
      <c r="D1395" t="str">
        <f>TEXT(Table1[[#This Row],[Order Date]], "mmmm")</f>
        <v>December</v>
      </c>
      <c r="E1395" s="16">
        <f>Table1[[#This Row],[Order Quantity]]*Table1[[#This Row],[Unit Price]]</f>
        <v>9560.4600000000009</v>
      </c>
      <c r="F1395">
        <v>91</v>
      </c>
      <c r="G1395" s="16">
        <v>105.06</v>
      </c>
      <c r="H1395" t="s">
        <v>25</v>
      </c>
      <c r="I1395" t="s">
        <v>851</v>
      </c>
      <c r="J1395" t="s">
        <v>10</v>
      </c>
      <c r="K1395" t="s">
        <v>17</v>
      </c>
    </row>
    <row r="1396" spans="1:11" x14ac:dyDescent="0.45">
      <c r="A1396">
        <v>7590</v>
      </c>
      <c r="B1396" s="15">
        <v>43970</v>
      </c>
      <c r="C1396" t="str">
        <f>TEXT(Table1[[#This Row],[Order Date]], "yyyy")</f>
        <v>2020</v>
      </c>
      <c r="D1396" t="str">
        <f>TEXT(Table1[[#This Row],[Order Date]], "mmmm")</f>
        <v>May</v>
      </c>
      <c r="E1396" s="16">
        <f>Table1[[#This Row],[Order Quantity]]*Table1[[#This Row],[Unit Price]]</f>
        <v>35182.800000000003</v>
      </c>
      <c r="F1396">
        <v>58</v>
      </c>
      <c r="G1396" s="16">
        <v>606.6</v>
      </c>
      <c r="H1396" t="s">
        <v>464</v>
      </c>
      <c r="I1396" t="s">
        <v>852</v>
      </c>
      <c r="J1396" t="s">
        <v>13</v>
      </c>
      <c r="K1396" t="s">
        <v>11</v>
      </c>
    </row>
    <row r="1397" spans="1:11" x14ac:dyDescent="0.45">
      <c r="A1397">
        <v>7591</v>
      </c>
      <c r="B1397" s="15">
        <v>43947</v>
      </c>
      <c r="C1397" t="str">
        <f>TEXT(Table1[[#This Row],[Order Date]], "yyyy")</f>
        <v>2020</v>
      </c>
      <c r="D1397" t="str">
        <f>TEXT(Table1[[#This Row],[Order Date]], "mmmm")</f>
        <v>April</v>
      </c>
      <c r="E1397" s="16">
        <f>Table1[[#This Row],[Order Quantity]]*Table1[[#This Row],[Unit Price]]</f>
        <v>19578.900000000001</v>
      </c>
      <c r="F1397">
        <v>17</v>
      </c>
      <c r="G1397" s="16">
        <v>1151.7</v>
      </c>
      <c r="H1397" t="s">
        <v>8</v>
      </c>
      <c r="I1397" t="s">
        <v>853</v>
      </c>
      <c r="J1397" t="s">
        <v>13</v>
      </c>
      <c r="K1397" t="s">
        <v>15</v>
      </c>
    </row>
    <row r="1398" spans="1:11" x14ac:dyDescent="0.45">
      <c r="A1398">
        <v>7592</v>
      </c>
      <c r="B1398" s="15">
        <v>43888</v>
      </c>
      <c r="C1398" t="str">
        <f>TEXT(Table1[[#This Row],[Order Date]], "yyyy")</f>
        <v>2020</v>
      </c>
      <c r="D1398" t="str">
        <f>TEXT(Table1[[#This Row],[Order Date]], "mmmm")</f>
        <v>February</v>
      </c>
      <c r="E1398" s="16">
        <f>Table1[[#This Row],[Order Quantity]]*Table1[[#This Row],[Unit Price]]</f>
        <v>58303.4</v>
      </c>
      <c r="F1398">
        <v>67</v>
      </c>
      <c r="G1398" s="16">
        <v>870.2</v>
      </c>
      <c r="H1398" t="s">
        <v>8</v>
      </c>
      <c r="I1398" t="s">
        <v>854</v>
      </c>
      <c r="J1398" t="s">
        <v>23</v>
      </c>
      <c r="K1398" t="s">
        <v>11</v>
      </c>
    </row>
    <row r="1399" spans="1:11" x14ac:dyDescent="0.45">
      <c r="A1399">
        <v>7593</v>
      </c>
      <c r="B1399" s="15">
        <v>44026</v>
      </c>
      <c r="C1399" t="str">
        <f>TEXT(Table1[[#This Row],[Order Date]], "yyyy")</f>
        <v>2020</v>
      </c>
      <c r="D1399" t="str">
        <f>TEXT(Table1[[#This Row],[Order Date]], "mmmm")</f>
        <v>July</v>
      </c>
      <c r="E1399" s="16">
        <f>Table1[[#This Row],[Order Quantity]]*Table1[[#This Row],[Unit Price]]</f>
        <v>15643.35</v>
      </c>
      <c r="F1399">
        <v>45</v>
      </c>
      <c r="G1399" s="16">
        <v>347.63</v>
      </c>
      <c r="H1399" t="s">
        <v>8</v>
      </c>
      <c r="I1399" t="s">
        <v>855</v>
      </c>
      <c r="J1399" t="s">
        <v>10</v>
      </c>
      <c r="K1399" t="s">
        <v>17</v>
      </c>
    </row>
    <row r="1400" spans="1:11" x14ac:dyDescent="0.45">
      <c r="A1400">
        <v>7594</v>
      </c>
      <c r="B1400" s="15">
        <v>43924</v>
      </c>
      <c r="C1400" t="str">
        <f>TEXT(Table1[[#This Row],[Order Date]], "yyyy")</f>
        <v>2020</v>
      </c>
      <c r="D1400" t="str">
        <f>TEXT(Table1[[#This Row],[Order Date]], "mmmm")</f>
        <v>April</v>
      </c>
      <c r="E1400" s="16">
        <f>Table1[[#This Row],[Order Quantity]]*Table1[[#This Row],[Unit Price]]</f>
        <v>5532.2000000000007</v>
      </c>
      <c r="F1400">
        <v>20</v>
      </c>
      <c r="G1400" s="16">
        <v>276.61</v>
      </c>
      <c r="H1400" t="s">
        <v>8</v>
      </c>
      <c r="I1400" t="s">
        <v>856</v>
      </c>
      <c r="J1400" t="s">
        <v>10</v>
      </c>
      <c r="K1400" t="s">
        <v>17</v>
      </c>
    </row>
    <row r="1401" spans="1:11" x14ac:dyDescent="0.45">
      <c r="A1401">
        <v>7595</v>
      </c>
      <c r="B1401" s="15">
        <v>44069</v>
      </c>
      <c r="C1401" t="str">
        <f>TEXT(Table1[[#This Row],[Order Date]], "yyyy")</f>
        <v>2020</v>
      </c>
      <c r="D1401" t="str">
        <f>TEXT(Table1[[#This Row],[Order Date]], "mmmm")</f>
        <v>August</v>
      </c>
      <c r="E1401" s="16">
        <f>Table1[[#This Row],[Order Quantity]]*Table1[[#This Row],[Unit Price]]</f>
        <v>10737.48</v>
      </c>
      <c r="F1401">
        <v>12</v>
      </c>
      <c r="G1401" s="16">
        <v>894.79</v>
      </c>
      <c r="H1401" t="s">
        <v>464</v>
      </c>
      <c r="I1401" t="s">
        <v>857</v>
      </c>
      <c r="J1401" t="s">
        <v>13</v>
      </c>
      <c r="K1401" t="s">
        <v>17</v>
      </c>
    </row>
    <row r="1402" spans="1:11" x14ac:dyDescent="0.45">
      <c r="A1402">
        <v>7596</v>
      </c>
      <c r="B1402" s="15">
        <v>44177</v>
      </c>
      <c r="C1402" t="str">
        <f>TEXT(Table1[[#This Row],[Order Date]], "yyyy")</f>
        <v>2020</v>
      </c>
      <c r="D1402" t="str">
        <f>TEXT(Table1[[#This Row],[Order Date]], "mmmm")</f>
        <v>December</v>
      </c>
      <c r="E1402" s="16">
        <f>Table1[[#This Row],[Order Quantity]]*Table1[[#This Row],[Unit Price]]</f>
        <v>17029.8</v>
      </c>
      <c r="F1402">
        <v>90</v>
      </c>
      <c r="G1402" s="16">
        <v>189.22</v>
      </c>
      <c r="H1402" t="s">
        <v>464</v>
      </c>
      <c r="I1402" t="s">
        <v>858</v>
      </c>
      <c r="J1402" t="s">
        <v>23</v>
      </c>
      <c r="K1402" t="s">
        <v>17</v>
      </c>
    </row>
    <row r="1403" spans="1:11" x14ac:dyDescent="0.45">
      <c r="A1403">
        <v>7597</v>
      </c>
      <c r="B1403" s="15">
        <v>43923</v>
      </c>
      <c r="C1403" t="str">
        <f>TEXT(Table1[[#This Row],[Order Date]], "yyyy")</f>
        <v>2020</v>
      </c>
      <c r="D1403" t="str">
        <f>TEXT(Table1[[#This Row],[Order Date]], "mmmm")</f>
        <v>April</v>
      </c>
      <c r="E1403" s="16">
        <f>Table1[[#This Row],[Order Quantity]]*Table1[[#This Row],[Unit Price]]</f>
        <v>26012.350000000002</v>
      </c>
      <c r="F1403">
        <v>91</v>
      </c>
      <c r="G1403" s="16">
        <v>285.85000000000002</v>
      </c>
      <c r="H1403" t="s">
        <v>25</v>
      </c>
      <c r="I1403" t="s">
        <v>859</v>
      </c>
      <c r="J1403" t="s">
        <v>20</v>
      </c>
      <c r="K1403" t="s">
        <v>11</v>
      </c>
    </row>
    <row r="1404" spans="1:11" x14ac:dyDescent="0.45">
      <c r="A1404">
        <v>7598</v>
      </c>
      <c r="B1404" s="15">
        <v>44186</v>
      </c>
      <c r="C1404" t="str">
        <f>TEXT(Table1[[#This Row],[Order Date]], "yyyy")</f>
        <v>2020</v>
      </c>
      <c r="D1404" t="str">
        <f>TEXT(Table1[[#This Row],[Order Date]], "mmmm")</f>
        <v>December</v>
      </c>
      <c r="E1404" s="16">
        <f>Table1[[#This Row],[Order Quantity]]*Table1[[#This Row],[Unit Price]]</f>
        <v>88154.55</v>
      </c>
      <c r="F1404">
        <v>99</v>
      </c>
      <c r="G1404" s="16">
        <v>890.45</v>
      </c>
      <c r="H1404" t="s">
        <v>8</v>
      </c>
      <c r="I1404" t="s">
        <v>860</v>
      </c>
      <c r="J1404" t="s">
        <v>23</v>
      </c>
      <c r="K1404" t="s">
        <v>11</v>
      </c>
    </row>
    <row r="1405" spans="1:11" x14ac:dyDescent="0.45">
      <c r="A1405">
        <v>7599</v>
      </c>
      <c r="B1405" s="15">
        <v>44047</v>
      </c>
      <c r="C1405" t="str">
        <f>TEXT(Table1[[#This Row],[Order Date]], "yyyy")</f>
        <v>2020</v>
      </c>
      <c r="D1405" t="str">
        <f>TEXT(Table1[[#This Row],[Order Date]], "mmmm")</f>
        <v>August</v>
      </c>
      <c r="E1405" s="16">
        <f>Table1[[#This Row],[Order Quantity]]*Table1[[#This Row],[Unit Price]]</f>
        <v>20940.580000000002</v>
      </c>
      <c r="F1405">
        <v>46</v>
      </c>
      <c r="G1405" s="16">
        <v>455.23</v>
      </c>
      <c r="H1405" t="s">
        <v>25</v>
      </c>
      <c r="I1405" t="s">
        <v>861</v>
      </c>
      <c r="J1405" t="s">
        <v>20</v>
      </c>
      <c r="K1405" t="s">
        <v>11</v>
      </c>
    </row>
    <row r="1406" spans="1:11" x14ac:dyDescent="0.45">
      <c r="A1406">
        <v>7600</v>
      </c>
      <c r="B1406" s="15">
        <v>44049</v>
      </c>
      <c r="C1406" t="str">
        <f>TEXT(Table1[[#This Row],[Order Date]], "yyyy")</f>
        <v>2020</v>
      </c>
      <c r="D1406" t="str">
        <f>TEXT(Table1[[#This Row],[Order Date]], "mmmm")</f>
        <v>August</v>
      </c>
      <c r="E1406" s="16">
        <f>Table1[[#This Row],[Order Quantity]]*Table1[[#This Row],[Unit Price]]</f>
        <v>1996.2</v>
      </c>
      <c r="F1406">
        <v>10</v>
      </c>
      <c r="G1406" s="16">
        <v>199.62</v>
      </c>
      <c r="H1406" t="s">
        <v>25</v>
      </c>
      <c r="I1406" t="s">
        <v>862</v>
      </c>
      <c r="J1406" t="s">
        <v>13</v>
      </c>
      <c r="K1406" t="s">
        <v>11</v>
      </c>
    </row>
    <row r="1407" spans="1:11" x14ac:dyDescent="0.45">
      <c r="A1407">
        <v>7601</v>
      </c>
      <c r="B1407" s="15">
        <v>43855</v>
      </c>
      <c r="C1407" t="str">
        <f>TEXT(Table1[[#This Row],[Order Date]], "yyyy")</f>
        <v>2020</v>
      </c>
      <c r="D1407" t="str">
        <f>TEXT(Table1[[#This Row],[Order Date]], "mmmm")</f>
        <v>January</v>
      </c>
      <c r="E1407" s="16">
        <f>Table1[[#This Row],[Order Quantity]]*Table1[[#This Row],[Unit Price]]</f>
        <v>33436.159999999996</v>
      </c>
      <c r="F1407">
        <v>37</v>
      </c>
      <c r="G1407" s="16">
        <v>903.68</v>
      </c>
      <c r="H1407" t="s">
        <v>25</v>
      </c>
      <c r="I1407" t="s">
        <v>863</v>
      </c>
      <c r="J1407" t="s">
        <v>20</v>
      </c>
      <c r="K1407" t="s">
        <v>17</v>
      </c>
    </row>
    <row r="1408" spans="1:11" x14ac:dyDescent="0.45">
      <c r="A1408">
        <v>7602</v>
      </c>
      <c r="B1408" s="15">
        <v>44055</v>
      </c>
      <c r="C1408" t="str">
        <f>TEXT(Table1[[#This Row],[Order Date]], "yyyy")</f>
        <v>2020</v>
      </c>
      <c r="D1408" t="str">
        <f>TEXT(Table1[[#This Row],[Order Date]], "mmmm")</f>
        <v>August</v>
      </c>
      <c r="E1408" s="16">
        <f>Table1[[#This Row],[Order Quantity]]*Table1[[#This Row],[Unit Price]]</f>
        <v>25372.260000000002</v>
      </c>
      <c r="F1408">
        <v>31</v>
      </c>
      <c r="G1408" s="16">
        <v>818.46</v>
      </c>
      <c r="H1408" t="s">
        <v>8</v>
      </c>
      <c r="I1408" t="s">
        <v>864</v>
      </c>
      <c r="J1408" t="s">
        <v>10</v>
      </c>
      <c r="K1408" t="s">
        <v>15</v>
      </c>
    </row>
    <row r="1409" spans="1:11" x14ac:dyDescent="0.45">
      <c r="A1409">
        <v>7603</v>
      </c>
      <c r="B1409" s="15">
        <v>43878</v>
      </c>
      <c r="C1409" t="str">
        <f>TEXT(Table1[[#This Row],[Order Date]], "yyyy")</f>
        <v>2020</v>
      </c>
      <c r="D1409" t="str">
        <f>TEXT(Table1[[#This Row],[Order Date]], "mmmm")</f>
        <v>February</v>
      </c>
      <c r="E1409" s="16">
        <f>Table1[[#This Row],[Order Quantity]]*Table1[[#This Row],[Unit Price]]</f>
        <v>64011.659999999996</v>
      </c>
      <c r="F1409">
        <v>82</v>
      </c>
      <c r="G1409" s="16">
        <v>780.63</v>
      </c>
      <c r="H1409" t="s">
        <v>464</v>
      </c>
      <c r="I1409" t="s">
        <v>865</v>
      </c>
      <c r="J1409" t="s">
        <v>20</v>
      </c>
      <c r="K1409" t="s">
        <v>17</v>
      </c>
    </row>
    <row r="1410" spans="1:11" x14ac:dyDescent="0.45">
      <c r="A1410">
        <v>7604</v>
      </c>
      <c r="B1410" s="15">
        <v>44091</v>
      </c>
      <c r="C1410" t="str">
        <f>TEXT(Table1[[#This Row],[Order Date]], "yyyy")</f>
        <v>2020</v>
      </c>
      <c r="D1410" t="str">
        <f>TEXT(Table1[[#This Row],[Order Date]], "mmmm")</f>
        <v>September</v>
      </c>
      <c r="E1410" s="16">
        <f>Table1[[#This Row],[Order Quantity]]*Table1[[#This Row],[Unit Price]]</f>
        <v>54355.399999999994</v>
      </c>
      <c r="F1410">
        <v>44</v>
      </c>
      <c r="G1410" s="16">
        <v>1235.3499999999999</v>
      </c>
      <c r="H1410" t="s">
        <v>8</v>
      </c>
      <c r="I1410" t="s">
        <v>866</v>
      </c>
      <c r="J1410" t="s">
        <v>10</v>
      </c>
      <c r="K1410" t="s">
        <v>15</v>
      </c>
    </row>
    <row r="1411" spans="1:11" x14ac:dyDescent="0.45">
      <c r="A1411">
        <v>7605</v>
      </c>
      <c r="B1411" s="15">
        <v>43857</v>
      </c>
      <c r="C1411" t="str">
        <f>TEXT(Table1[[#This Row],[Order Date]], "yyyy")</f>
        <v>2020</v>
      </c>
      <c r="D1411" t="str">
        <f>TEXT(Table1[[#This Row],[Order Date]], "mmmm")</f>
        <v>January</v>
      </c>
      <c r="E1411" s="16">
        <f>Table1[[#This Row],[Order Quantity]]*Table1[[#This Row],[Unit Price]]</f>
        <v>14158.34</v>
      </c>
      <c r="F1411">
        <v>23</v>
      </c>
      <c r="G1411" s="16">
        <v>615.58000000000004</v>
      </c>
      <c r="H1411" t="s">
        <v>464</v>
      </c>
      <c r="I1411" t="s">
        <v>867</v>
      </c>
      <c r="J1411" t="s">
        <v>23</v>
      </c>
      <c r="K1411" t="s">
        <v>11</v>
      </c>
    </row>
    <row r="1412" spans="1:11" x14ac:dyDescent="0.45">
      <c r="A1412">
        <v>7606</v>
      </c>
      <c r="B1412" s="15">
        <v>43953</v>
      </c>
      <c r="C1412" t="str">
        <f>TEXT(Table1[[#This Row],[Order Date]], "yyyy")</f>
        <v>2020</v>
      </c>
      <c r="D1412" t="str">
        <f>TEXT(Table1[[#This Row],[Order Date]], "mmmm")</f>
        <v>May</v>
      </c>
      <c r="E1412" s="16">
        <f>Table1[[#This Row],[Order Quantity]]*Table1[[#This Row],[Unit Price]]</f>
        <v>49643.939999999995</v>
      </c>
      <c r="F1412">
        <v>58</v>
      </c>
      <c r="G1412" s="16">
        <v>855.93</v>
      </c>
      <c r="H1412" t="s">
        <v>464</v>
      </c>
      <c r="I1412" t="s">
        <v>868</v>
      </c>
      <c r="J1412" t="s">
        <v>23</v>
      </c>
      <c r="K1412" t="s">
        <v>15</v>
      </c>
    </row>
    <row r="1413" spans="1:11" x14ac:dyDescent="0.45">
      <c r="A1413">
        <v>7607</v>
      </c>
      <c r="B1413" s="15">
        <v>44150</v>
      </c>
      <c r="C1413" t="str">
        <f>TEXT(Table1[[#This Row],[Order Date]], "yyyy")</f>
        <v>2020</v>
      </c>
      <c r="D1413" t="str">
        <f>TEXT(Table1[[#This Row],[Order Date]], "mmmm")</f>
        <v>November</v>
      </c>
      <c r="E1413" s="16">
        <f>Table1[[#This Row],[Order Quantity]]*Table1[[#This Row],[Unit Price]]</f>
        <v>75551</v>
      </c>
      <c r="F1413">
        <v>70</v>
      </c>
      <c r="G1413" s="16">
        <v>1079.3</v>
      </c>
      <c r="H1413" t="s">
        <v>8</v>
      </c>
      <c r="I1413" t="s">
        <v>869</v>
      </c>
      <c r="J1413" t="s">
        <v>10</v>
      </c>
      <c r="K1413" t="s">
        <v>17</v>
      </c>
    </row>
    <row r="1414" spans="1:11" x14ac:dyDescent="0.45">
      <c r="A1414">
        <v>7608</v>
      </c>
      <c r="B1414" s="15">
        <v>44138</v>
      </c>
      <c r="C1414" t="str">
        <f>TEXT(Table1[[#This Row],[Order Date]], "yyyy")</f>
        <v>2020</v>
      </c>
      <c r="D1414" t="str">
        <f>TEXT(Table1[[#This Row],[Order Date]], "mmmm")</f>
        <v>November</v>
      </c>
      <c r="E1414" s="16">
        <f>Table1[[#This Row],[Order Quantity]]*Table1[[#This Row],[Unit Price]]</f>
        <v>20324.18</v>
      </c>
      <c r="F1414">
        <v>46</v>
      </c>
      <c r="G1414" s="16">
        <v>441.83</v>
      </c>
      <c r="H1414" t="s">
        <v>8</v>
      </c>
      <c r="I1414" t="s">
        <v>870</v>
      </c>
      <c r="J1414" t="s">
        <v>23</v>
      </c>
      <c r="K1414" t="s">
        <v>11</v>
      </c>
    </row>
    <row r="1415" spans="1:11" x14ac:dyDescent="0.45">
      <c r="A1415">
        <v>7609</v>
      </c>
      <c r="B1415" s="15">
        <v>44063</v>
      </c>
      <c r="C1415" t="str">
        <f>TEXT(Table1[[#This Row],[Order Date]], "yyyy")</f>
        <v>2020</v>
      </c>
      <c r="D1415" t="str">
        <f>TEXT(Table1[[#This Row],[Order Date]], "mmmm")</f>
        <v>August</v>
      </c>
      <c r="E1415" s="16">
        <f>Table1[[#This Row],[Order Quantity]]*Table1[[#This Row],[Unit Price]]</f>
        <v>2754.7200000000003</v>
      </c>
      <c r="F1415">
        <v>24</v>
      </c>
      <c r="G1415" s="16">
        <v>114.78</v>
      </c>
      <c r="H1415" t="s">
        <v>464</v>
      </c>
      <c r="I1415" t="s">
        <v>871</v>
      </c>
      <c r="J1415" t="s">
        <v>13</v>
      </c>
      <c r="K1415" t="s">
        <v>17</v>
      </c>
    </row>
    <row r="1416" spans="1:11" x14ac:dyDescent="0.45">
      <c r="A1416">
        <v>7610</v>
      </c>
      <c r="B1416" s="15">
        <v>44014</v>
      </c>
      <c r="C1416" t="str">
        <f>TEXT(Table1[[#This Row],[Order Date]], "yyyy")</f>
        <v>2020</v>
      </c>
      <c r="D1416" t="str">
        <f>TEXT(Table1[[#This Row],[Order Date]], "mmmm")</f>
        <v>July</v>
      </c>
      <c r="E1416" s="16">
        <f>Table1[[#This Row],[Order Quantity]]*Table1[[#This Row],[Unit Price]]</f>
        <v>35011.199999999997</v>
      </c>
      <c r="F1416">
        <v>64</v>
      </c>
      <c r="G1416" s="16">
        <v>547.04999999999995</v>
      </c>
      <c r="H1416" t="s">
        <v>25</v>
      </c>
      <c r="I1416" t="s">
        <v>872</v>
      </c>
      <c r="J1416" t="s">
        <v>20</v>
      </c>
      <c r="K1416" t="s">
        <v>11</v>
      </c>
    </row>
    <row r="1417" spans="1:11" x14ac:dyDescent="0.45">
      <c r="A1417">
        <v>7611</v>
      </c>
      <c r="B1417" s="15">
        <v>44159</v>
      </c>
      <c r="C1417" t="str">
        <f>TEXT(Table1[[#This Row],[Order Date]], "yyyy")</f>
        <v>2020</v>
      </c>
      <c r="D1417" t="str">
        <f>TEXT(Table1[[#This Row],[Order Date]], "mmmm")</f>
        <v>November</v>
      </c>
      <c r="E1417" s="16">
        <f>Table1[[#This Row],[Order Quantity]]*Table1[[#This Row],[Unit Price]]</f>
        <v>2038.22</v>
      </c>
      <c r="F1417">
        <v>2</v>
      </c>
      <c r="G1417" s="16">
        <v>1019.11</v>
      </c>
      <c r="H1417" t="s">
        <v>8</v>
      </c>
      <c r="I1417" t="s">
        <v>873</v>
      </c>
      <c r="J1417" t="s">
        <v>10</v>
      </c>
      <c r="K1417" t="s">
        <v>15</v>
      </c>
    </row>
    <row r="1418" spans="1:11" x14ac:dyDescent="0.45">
      <c r="A1418">
        <v>7612</v>
      </c>
      <c r="B1418" s="15">
        <v>44016</v>
      </c>
      <c r="C1418" t="str">
        <f>TEXT(Table1[[#This Row],[Order Date]], "yyyy")</f>
        <v>2020</v>
      </c>
      <c r="D1418" t="str">
        <f>TEXT(Table1[[#This Row],[Order Date]], "mmmm")</f>
        <v>July</v>
      </c>
      <c r="E1418" s="16">
        <f>Table1[[#This Row],[Order Quantity]]*Table1[[#This Row],[Unit Price]]</f>
        <v>23753.13</v>
      </c>
      <c r="F1418">
        <v>31</v>
      </c>
      <c r="G1418" s="16">
        <v>766.23</v>
      </c>
      <c r="H1418" t="s">
        <v>8</v>
      </c>
      <c r="I1418" t="s">
        <v>874</v>
      </c>
      <c r="J1418" t="s">
        <v>10</v>
      </c>
      <c r="K1418" t="s">
        <v>15</v>
      </c>
    </row>
    <row r="1419" spans="1:11" x14ac:dyDescent="0.45">
      <c r="A1419">
        <v>7613</v>
      </c>
      <c r="B1419" s="15">
        <v>43956</v>
      </c>
      <c r="C1419" t="str">
        <f>TEXT(Table1[[#This Row],[Order Date]], "yyyy")</f>
        <v>2020</v>
      </c>
      <c r="D1419" t="str">
        <f>TEXT(Table1[[#This Row],[Order Date]], "mmmm")</f>
        <v>May</v>
      </c>
      <c r="E1419" s="16">
        <f>Table1[[#This Row],[Order Quantity]]*Table1[[#This Row],[Unit Price]]</f>
        <v>21864.720000000001</v>
      </c>
      <c r="F1419">
        <v>51</v>
      </c>
      <c r="G1419" s="16">
        <v>428.72</v>
      </c>
      <c r="H1419" t="s">
        <v>464</v>
      </c>
      <c r="I1419" t="s">
        <v>875</v>
      </c>
      <c r="J1419" t="s">
        <v>23</v>
      </c>
      <c r="K1419" t="s">
        <v>15</v>
      </c>
    </row>
    <row r="1420" spans="1:11" x14ac:dyDescent="0.45">
      <c r="A1420">
        <v>7614</v>
      </c>
      <c r="B1420" s="15">
        <v>44091</v>
      </c>
      <c r="C1420" t="str">
        <f>TEXT(Table1[[#This Row],[Order Date]], "yyyy")</f>
        <v>2020</v>
      </c>
      <c r="D1420" t="str">
        <f>TEXT(Table1[[#This Row],[Order Date]], "mmmm")</f>
        <v>September</v>
      </c>
      <c r="E1420" s="16">
        <f>Table1[[#This Row],[Order Quantity]]*Table1[[#This Row],[Unit Price]]</f>
        <v>1919.84</v>
      </c>
      <c r="F1420">
        <v>16</v>
      </c>
      <c r="G1420" s="16">
        <v>119.99</v>
      </c>
      <c r="H1420" t="s">
        <v>464</v>
      </c>
      <c r="I1420" t="s">
        <v>876</v>
      </c>
      <c r="J1420" t="s">
        <v>20</v>
      </c>
      <c r="K1420" t="s">
        <v>15</v>
      </c>
    </row>
    <row r="1421" spans="1:11" x14ac:dyDescent="0.45">
      <c r="A1421">
        <v>7615</v>
      </c>
      <c r="B1421" s="15">
        <v>43844</v>
      </c>
      <c r="C1421" t="str">
        <f>TEXT(Table1[[#This Row],[Order Date]], "yyyy")</f>
        <v>2020</v>
      </c>
      <c r="D1421" t="str">
        <f>TEXT(Table1[[#This Row],[Order Date]], "mmmm")</f>
        <v>January</v>
      </c>
      <c r="E1421" s="16">
        <f>Table1[[#This Row],[Order Quantity]]*Table1[[#This Row],[Unit Price]]</f>
        <v>42758.06</v>
      </c>
      <c r="F1421">
        <v>67</v>
      </c>
      <c r="G1421" s="16">
        <v>638.17999999999995</v>
      </c>
      <c r="H1421" t="s">
        <v>25</v>
      </c>
      <c r="I1421" t="s">
        <v>877</v>
      </c>
      <c r="J1421" t="s">
        <v>13</v>
      </c>
      <c r="K1421" t="s">
        <v>17</v>
      </c>
    </row>
    <row r="1422" spans="1:11" x14ac:dyDescent="0.45">
      <c r="A1422">
        <v>7616</v>
      </c>
      <c r="B1422" s="15">
        <v>44102</v>
      </c>
      <c r="C1422" t="str">
        <f>TEXT(Table1[[#This Row],[Order Date]], "yyyy")</f>
        <v>2020</v>
      </c>
      <c r="D1422" t="str">
        <f>TEXT(Table1[[#This Row],[Order Date]], "mmmm")</f>
        <v>September</v>
      </c>
      <c r="E1422" s="16">
        <f>Table1[[#This Row],[Order Quantity]]*Table1[[#This Row],[Unit Price]]</f>
        <v>28305.420000000002</v>
      </c>
      <c r="F1422">
        <v>66</v>
      </c>
      <c r="G1422" s="16">
        <v>428.87</v>
      </c>
      <c r="H1422" t="s">
        <v>8</v>
      </c>
      <c r="I1422" t="s">
        <v>878</v>
      </c>
      <c r="J1422" t="s">
        <v>10</v>
      </c>
      <c r="K1422" t="s">
        <v>11</v>
      </c>
    </row>
    <row r="1423" spans="1:11" x14ac:dyDescent="0.45">
      <c r="A1423">
        <v>7617</v>
      </c>
      <c r="B1423" s="15">
        <v>43895</v>
      </c>
      <c r="C1423" t="str">
        <f>TEXT(Table1[[#This Row],[Order Date]], "yyyy")</f>
        <v>2020</v>
      </c>
      <c r="D1423" t="str">
        <f>TEXT(Table1[[#This Row],[Order Date]], "mmmm")</f>
        <v>March</v>
      </c>
      <c r="E1423" s="16">
        <f>Table1[[#This Row],[Order Quantity]]*Table1[[#This Row],[Unit Price]]</f>
        <v>3993.6000000000004</v>
      </c>
      <c r="F1423">
        <v>60</v>
      </c>
      <c r="G1423" s="16">
        <v>66.56</v>
      </c>
      <c r="H1423" t="s">
        <v>25</v>
      </c>
      <c r="I1423" t="s">
        <v>879</v>
      </c>
      <c r="J1423" t="s">
        <v>13</v>
      </c>
      <c r="K1423" t="s">
        <v>11</v>
      </c>
    </row>
    <row r="1424" spans="1:11" x14ac:dyDescent="0.45">
      <c r="A1424">
        <v>7618</v>
      </c>
      <c r="B1424" s="15">
        <v>44066</v>
      </c>
      <c r="C1424" t="str">
        <f>TEXT(Table1[[#This Row],[Order Date]], "yyyy")</f>
        <v>2020</v>
      </c>
      <c r="D1424" t="str">
        <f>TEXT(Table1[[#This Row],[Order Date]], "mmmm")</f>
        <v>August</v>
      </c>
      <c r="E1424" s="16">
        <f>Table1[[#This Row],[Order Quantity]]*Table1[[#This Row],[Unit Price]]</f>
        <v>5501.32</v>
      </c>
      <c r="F1424">
        <v>11</v>
      </c>
      <c r="G1424" s="16">
        <v>500.12</v>
      </c>
      <c r="H1424" t="s">
        <v>25</v>
      </c>
      <c r="I1424" t="s">
        <v>880</v>
      </c>
      <c r="J1424" t="s">
        <v>13</v>
      </c>
      <c r="K1424" t="s">
        <v>17</v>
      </c>
    </row>
    <row r="1425" spans="1:11" x14ac:dyDescent="0.45">
      <c r="A1425">
        <v>7619</v>
      </c>
      <c r="B1425" s="15">
        <v>43940</v>
      </c>
      <c r="C1425" t="str">
        <f>TEXT(Table1[[#This Row],[Order Date]], "yyyy")</f>
        <v>2020</v>
      </c>
      <c r="D1425" t="str">
        <f>TEXT(Table1[[#This Row],[Order Date]], "mmmm")</f>
        <v>April</v>
      </c>
      <c r="E1425" s="16">
        <f>Table1[[#This Row],[Order Quantity]]*Table1[[#This Row],[Unit Price]]</f>
        <v>17707.689999999999</v>
      </c>
      <c r="F1425">
        <v>91</v>
      </c>
      <c r="G1425" s="16">
        <v>194.59</v>
      </c>
      <c r="H1425" t="s">
        <v>25</v>
      </c>
      <c r="I1425" t="s">
        <v>881</v>
      </c>
      <c r="J1425" t="s">
        <v>23</v>
      </c>
      <c r="K1425" t="s">
        <v>11</v>
      </c>
    </row>
    <row r="1426" spans="1:11" x14ac:dyDescent="0.45">
      <c r="A1426">
        <v>7620</v>
      </c>
      <c r="B1426" s="15">
        <v>44072</v>
      </c>
      <c r="C1426" t="str">
        <f>TEXT(Table1[[#This Row],[Order Date]], "yyyy")</f>
        <v>2020</v>
      </c>
      <c r="D1426" t="str">
        <f>TEXT(Table1[[#This Row],[Order Date]], "mmmm")</f>
        <v>August</v>
      </c>
      <c r="E1426" s="16">
        <f>Table1[[#This Row],[Order Quantity]]*Table1[[#This Row],[Unit Price]]</f>
        <v>6632.99</v>
      </c>
      <c r="F1426">
        <v>13</v>
      </c>
      <c r="G1426" s="16">
        <v>510.23</v>
      </c>
      <c r="H1426" t="s">
        <v>8</v>
      </c>
      <c r="I1426" t="s">
        <v>882</v>
      </c>
      <c r="J1426" t="s">
        <v>23</v>
      </c>
      <c r="K1426" t="s">
        <v>11</v>
      </c>
    </row>
    <row r="1427" spans="1:11" x14ac:dyDescent="0.45">
      <c r="A1427">
        <v>7621</v>
      </c>
      <c r="B1427" s="15">
        <v>43865</v>
      </c>
      <c r="C1427" t="str">
        <f>TEXT(Table1[[#This Row],[Order Date]], "yyyy")</f>
        <v>2020</v>
      </c>
      <c r="D1427" t="str">
        <f>TEXT(Table1[[#This Row],[Order Date]], "mmmm")</f>
        <v>February</v>
      </c>
      <c r="E1427" s="16">
        <f>Table1[[#This Row],[Order Quantity]]*Table1[[#This Row],[Unit Price]]</f>
        <v>19030.309999999998</v>
      </c>
      <c r="F1427">
        <v>79</v>
      </c>
      <c r="G1427" s="16">
        <v>240.89</v>
      </c>
      <c r="H1427" t="s">
        <v>25</v>
      </c>
      <c r="I1427" t="s">
        <v>883</v>
      </c>
      <c r="J1427" t="s">
        <v>20</v>
      </c>
      <c r="K1427" t="s">
        <v>11</v>
      </c>
    </row>
    <row r="1428" spans="1:11" x14ac:dyDescent="0.45">
      <c r="A1428">
        <v>7622</v>
      </c>
      <c r="B1428" s="15">
        <v>43904</v>
      </c>
      <c r="C1428" t="str">
        <f>TEXT(Table1[[#This Row],[Order Date]], "yyyy")</f>
        <v>2020</v>
      </c>
      <c r="D1428" t="str">
        <f>TEXT(Table1[[#This Row],[Order Date]], "mmmm")</f>
        <v>March</v>
      </c>
      <c r="E1428" s="16">
        <f>Table1[[#This Row],[Order Quantity]]*Table1[[#This Row],[Unit Price]]</f>
        <v>66462.55</v>
      </c>
      <c r="F1428">
        <v>55</v>
      </c>
      <c r="G1428" s="16">
        <v>1208.4100000000001</v>
      </c>
      <c r="H1428" t="s">
        <v>25</v>
      </c>
      <c r="I1428" t="s">
        <v>884</v>
      </c>
      <c r="J1428" t="s">
        <v>13</v>
      </c>
      <c r="K1428" t="s">
        <v>11</v>
      </c>
    </row>
    <row r="1429" spans="1:11" x14ac:dyDescent="0.45">
      <c r="A1429">
        <v>7623</v>
      </c>
      <c r="B1429" s="15">
        <v>44012</v>
      </c>
      <c r="C1429" t="str">
        <f>TEXT(Table1[[#This Row],[Order Date]], "yyyy")</f>
        <v>2020</v>
      </c>
      <c r="D1429" t="str">
        <f>TEXT(Table1[[#This Row],[Order Date]], "mmmm")</f>
        <v>June</v>
      </c>
      <c r="E1429" s="16">
        <f>Table1[[#This Row],[Order Quantity]]*Table1[[#This Row],[Unit Price]]</f>
        <v>20320.04</v>
      </c>
      <c r="F1429">
        <v>52</v>
      </c>
      <c r="G1429" s="16">
        <v>390.77</v>
      </c>
      <c r="H1429" t="s">
        <v>8</v>
      </c>
      <c r="I1429" t="s">
        <v>885</v>
      </c>
      <c r="J1429" t="s">
        <v>10</v>
      </c>
      <c r="K1429" t="s">
        <v>15</v>
      </c>
    </row>
    <row r="1430" spans="1:11" x14ac:dyDescent="0.45">
      <c r="A1430">
        <v>7624</v>
      </c>
      <c r="B1430" s="15">
        <v>44116</v>
      </c>
      <c r="C1430" t="str">
        <f>TEXT(Table1[[#This Row],[Order Date]], "yyyy")</f>
        <v>2020</v>
      </c>
      <c r="D1430" t="str">
        <f>TEXT(Table1[[#This Row],[Order Date]], "mmmm")</f>
        <v>October</v>
      </c>
      <c r="E1430" s="16">
        <f>Table1[[#This Row],[Order Quantity]]*Table1[[#This Row],[Unit Price]]</f>
        <v>20701.940000000002</v>
      </c>
      <c r="F1430">
        <v>14</v>
      </c>
      <c r="G1430" s="16">
        <v>1478.71</v>
      </c>
      <c r="H1430" t="s">
        <v>8</v>
      </c>
      <c r="I1430" t="s">
        <v>886</v>
      </c>
      <c r="J1430" t="s">
        <v>20</v>
      </c>
      <c r="K1430" t="s">
        <v>17</v>
      </c>
    </row>
    <row r="1431" spans="1:11" x14ac:dyDescent="0.45">
      <c r="A1431">
        <v>7625</v>
      </c>
      <c r="B1431" s="15">
        <v>43878</v>
      </c>
      <c r="C1431" t="str">
        <f>TEXT(Table1[[#This Row],[Order Date]], "yyyy")</f>
        <v>2020</v>
      </c>
      <c r="D1431" t="str">
        <f>TEXT(Table1[[#This Row],[Order Date]], "mmmm")</f>
        <v>February</v>
      </c>
      <c r="E1431" s="16">
        <f>Table1[[#This Row],[Order Quantity]]*Table1[[#This Row],[Unit Price]]</f>
        <v>13765.32</v>
      </c>
      <c r="F1431">
        <v>36</v>
      </c>
      <c r="G1431" s="16">
        <v>382.37</v>
      </c>
      <c r="H1431" t="s">
        <v>8</v>
      </c>
      <c r="I1431" t="s">
        <v>887</v>
      </c>
      <c r="J1431" t="s">
        <v>23</v>
      </c>
      <c r="K1431" t="s">
        <v>15</v>
      </c>
    </row>
    <row r="1432" spans="1:11" x14ac:dyDescent="0.45">
      <c r="A1432">
        <v>7626</v>
      </c>
      <c r="B1432" s="15">
        <v>43876</v>
      </c>
      <c r="C1432" t="str">
        <f>TEXT(Table1[[#This Row],[Order Date]], "yyyy")</f>
        <v>2020</v>
      </c>
      <c r="D1432" t="str">
        <f>TEXT(Table1[[#This Row],[Order Date]], "mmmm")</f>
        <v>February</v>
      </c>
      <c r="E1432" s="16">
        <f>Table1[[#This Row],[Order Quantity]]*Table1[[#This Row],[Unit Price]]</f>
        <v>3408.12</v>
      </c>
      <c r="F1432">
        <v>9</v>
      </c>
      <c r="G1432" s="16">
        <v>378.68</v>
      </c>
      <c r="H1432" t="s">
        <v>8</v>
      </c>
      <c r="I1432" t="s">
        <v>888</v>
      </c>
      <c r="J1432" t="s">
        <v>10</v>
      </c>
      <c r="K1432" t="s">
        <v>17</v>
      </c>
    </row>
    <row r="1433" spans="1:11" x14ac:dyDescent="0.45">
      <c r="A1433">
        <v>7627</v>
      </c>
      <c r="B1433" s="15">
        <v>44019</v>
      </c>
      <c r="C1433" t="str">
        <f>TEXT(Table1[[#This Row],[Order Date]], "yyyy")</f>
        <v>2020</v>
      </c>
      <c r="D1433" t="str">
        <f>TEXT(Table1[[#This Row],[Order Date]], "mmmm")</f>
        <v>July</v>
      </c>
      <c r="E1433" s="16">
        <f>Table1[[#This Row],[Order Quantity]]*Table1[[#This Row],[Unit Price]]</f>
        <v>65724.42</v>
      </c>
      <c r="F1433">
        <v>57</v>
      </c>
      <c r="G1433" s="16">
        <v>1153.06</v>
      </c>
      <c r="H1433" t="s">
        <v>8</v>
      </c>
      <c r="I1433" t="s">
        <v>889</v>
      </c>
      <c r="J1433" t="s">
        <v>13</v>
      </c>
      <c r="K1433" t="s">
        <v>17</v>
      </c>
    </row>
    <row r="1434" spans="1:11" x14ac:dyDescent="0.45">
      <c r="A1434">
        <v>7628</v>
      </c>
      <c r="B1434" s="15">
        <v>43996</v>
      </c>
      <c r="C1434" t="str">
        <f>TEXT(Table1[[#This Row],[Order Date]], "yyyy")</f>
        <v>2020</v>
      </c>
      <c r="D1434" t="str">
        <f>TEXT(Table1[[#This Row],[Order Date]], "mmmm")</f>
        <v>June</v>
      </c>
      <c r="E1434" s="16">
        <f>Table1[[#This Row],[Order Quantity]]*Table1[[#This Row],[Unit Price]]</f>
        <v>77862.75</v>
      </c>
      <c r="F1434">
        <v>75</v>
      </c>
      <c r="G1434" s="16">
        <v>1038.17</v>
      </c>
      <c r="H1434" t="s">
        <v>25</v>
      </c>
      <c r="I1434" t="s">
        <v>890</v>
      </c>
      <c r="J1434" t="s">
        <v>20</v>
      </c>
      <c r="K1434" t="s">
        <v>15</v>
      </c>
    </row>
    <row r="1435" spans="1:11" x14ac:dyDescent="0.45">
      <c r="A1435">
        <v>7629</v>
      </c>
      <c r="B1435" s="15">
        <v>44113</v>
      </c>
      <c r="C1435" t="str">
        <f>TEXT(Table1[[#This Row],[Order Date]], "yyyy")</f>
        <v>2020</v>
      </c>
      <c r="D1435" t="str">
        <f>TEXT(Table1[[#This Row],[Order Date]], "mmmm")</f>
        <v>October</v>
      </c>
      <c r="E1435" s="16">
        <f>Table1[[#This Row],[Order Quantity]]*Table1[[#This Row],[Unit Price]]</f>
        <v>16901.84</v>
      </c>
      <c r="F1435">
        <v>41</v>
      </c>
      <c r="G1435" s="16">
        <v>412.24</v>
      </c>
      <c r="H1435" t="s">
        <v>25</v>
      </c>
      <c r="I1435" t="s">
        <v>891</v>
      </c>
      <c r="J1435" t="s">
        <v>10</v>
      </c>
      <c r="K1435" t="s">
        <v>11</v>
      </c>
    </row>
    <row r="1436" spans="1:11" x14ac:dyDescent="0.45">
      <c r="A1436">
        <v>7630</v>
      </c>
      <c r="B1436" s="15">
        <v>44054</v>
      </c>
      <c r="C1436" t="str">
        <f>TEXT(Table1[[#This Row],[Order Date]], "yyyy")</f>
        <v>2020</v>
      </c>
      <c r="D1436" t="str">
        <f>TEXT(Table1[[#This Row],[Order Date]], "mmmm")</f>
        <v>August</v>
      </c>
      <c r="E1436" s="16">
        <f>Table1[[#This Row],[Order Quantity]]*Table1[[#This Row],[Unit Price]]</f>
        <v>6710.7000000000007</v>
      </c>
      <c r="F1436">
        <v>10</v>
      </c>
      <c r="G1436" s="16">
        <v>671.07</v>
      </c>
      <c r="H1436" t="s">
        <v>8</v>
      </c>
      <c r="I1436" t="s">
        <v>892</v>
      </c>
      <c r="J1436" t="s">
        <v>10</v>
      </c>
      <c r="K1436" t="s">
        <v>17</v>
      </c>
    </row>
    <row r="1437" spans="1:11" x14ac:dyDescent="0.45">
      <c r="A1437">
        <v>7631</v>
      </c>
      <c r="B1437" s="15">
        <v>43878</v>
      </c>
      <c r="C1437" t="str">
        <f>TEXT(Table1[[#This Row],[Order Date]], "yyyy")</f>
        <v>2020</v>
      </c>
      <c r="D1437" t="str">
        <f>TEXT(Table1[[#This Row],[Order Date]], "mmmm")</f>
        <v>February</v>
      </c>
      <c r="E1437" s="16">
        <f>Table1[[#This Row],[Order Quantity]]*Table1[[#This Row],[Unit Price]]</f>
        <v>2640.8599999999997</v>
      </c>
      <c r="F1437">
        <v>23</v>
      </c>
      <c r="G1437" s="16">
        <v>114.82</v>
      </c>
      <c r="H1437" t="s">
        <v>8</v>
      </c>
      <c r="I1437" t="s">
        <v>893</v>
      </c>
      <c r="J1437" t="s">
        <v>20</v>
      </c>
      <c r="K1437" t="s">
        <v>15</v>
      </c>
    </row>
    <row r="1438" spans="1:11" x14ac:dyDescent="0.45">
      <c r="A1438">
        <v>7632</v>
      </c>
      <c r="B1438" s="15">
        <v>44162</v>
      </c>
      <c r="C1438" t="str">
        <f>TEXT(Table1[[#This Row],[Order Date]], "yyyy")</f>
        <v>2020</v>
      </c>
      <c r="D1438" t="str">
        <f>TEXT(Table1[[#This Row],[Order Date]], "mmmm")</f>
        <v>November</v>
      </c>
      <c r="E1438" s="16">
        <f>Table1[[#This Row],[Order Quantity]]*Table1[[#This Row],[Unit Price]]</f>
        <v>5154.12</v>
      </c>
      <c r="F1438">
        <v>6</v>
      </c>
      <c r="G1438" s="16">
        <v>859.02</v>
      </c>
      <c r="H1438" t="s">
        <v>25</v>
      </c>
      <c r="I1438" t="s">
        <v>894</v>
      </c>
      <c r="J1438" t="s">
        <v>10</v>
      </c>
      <c r="K1438" t="s">
        <v>11</v>
      </c>
    </row>
    <row r="1439" spans="1:11" x14ac:dyDescent="0.45">
      <c r="A1439">
        <v>7633</v>
      </c>
      <c r="B1439" s="15">
        <v>43852</v>
      </c>
      <c r="C1439" t="str">
        <f>TEXT(Table1[[#This Row],[Order Date]], "yyyy")</f>
        <v>2020</v>
      </c>
      <c r="D1439" t="str">
        <f>TEXT(Table1[[#This Row],[Order Date]], "mmmm")</f>
        <v>January</v>
      </c>
      <c r="E1439" s="16">
        <f>Table1[[#This Row],[Order Quantity]]*Table1[[#This Row],[Unit Price]]</f>
        <v>19591.84</v>
      </c>
      <c r="F1439">
        <v>16</v>
      </c>
      <c r="G1439" s="16">
        <v>1224.49</v>
      </c>
      <c r="H1439" t="s">
        <v>464</v>
      </c>
      <c r="I1439" t="s">
        <v>895</v>
      </c>
      <c r="J1439" t="s">
        <v>13</v>
      </c>
      <c r="K1439" t="s">
        <v>11</v>
      </c>
    </row>
    <row r="1440" spans="1:11" x14ac:dyDescent="0.45">
      <c r="A1440">
        <v>7634</v>
      </c>
      <c r="B1440" s="15">
        <v>43971</v>
      </c>
      <c r="C1440" t="str">
        <f>TEXT(Table1[[#This Row],[Order Date]], "yyyy")</f>
        <v>2020</v>
      </c>
      <c r="D1440" t="str">
        <f>TEXT(Table1[[#This Row],[Order Date]], "mmmm")</f>
        <v>May</v>
      </c>
      <c r="E1440" s="16">
        <f>Table1[[#This Row],[Order Quantity]]*Table1[[#This Row],[Unit Price]]</f>
        <v>6240.0099999999993</v>
      </c>
      <c r="F1440">
        <v>7</v>
      </c>
      <c r="G1440" s="16">
        <v>891.43</v>
      </c>
      <c r="H1440" t="s">
        <v>8</v>
      </c>
      <c r="I1440" t="s">
        <v>896</v>
      </c>
      <c r="J1440" t="s">
        <v>20</v>
      </c>
      <c r="K1440" t="s">
        <v>17</v>
      </c>
    </row>
    <row r="1441" spans="1:11" x14ac:dyDescent="0.45">
      <c r="A1441">
        <v>7635</v>
      </c>
      <c r="B1441" s="15">
        <v>44055</v>
      </c>
      <c r="C1441" t="str">
        <f>TEXT(Table1[[#This Row],[Order Date]], "yyyy")</f>
        <v>2020</v>
      </c>
      <c r="D1441" t="str">
        <f>TEXT(Table1[[#This Row],[Order Date]], "mmmm")</f>
        <v>August</v>
      </c>
      <c r="E1441" s="16">
        <f>Table1[[#This Row],[Order Quantity]]*Table1[[#This Row],[Unit Price]]</f>
        <v>62633.240000000005</v>
      </c>
      <c r="F1441">
        <v>82</v>
      </c>
      <c r="G1441" s="16">
        <v>763.82</v>
      </c>
      <c r="H1441" t="s">
        <v>8</v>
      </c>
      <c r="I1441" t="s">
        <v>897</v>
      </c>
      <c r="J1441" t="s">
        <v>13</v>
      </c>
      <c r="K1441" t="s">
        <v>17</v>
      </c>
    </row>
    <row r="1442" spans="1:11" x14ac:dyDescent="0.45">
      <c r="A1442">
        <v>7636</v>
      </c>
      <c r="B1442" s="15">
        <v>44169</v>
      </c>
      <c r="C1442" t="str">
        <f>TEXT(Table1[[#This Row],[Order Date]], "yyyy")</f>
        <v>2020</v>
      </c>
      <c r="D1442" t="str">
        <f>TEXT(Table1[[#This Row],[Order Date]], "mmmm")</f>
        <v>December</v>
      </c>
      <c r="E1442" s="16">
        <f>Table1[[#This Row],[Order Quantity]]*Table1[[#This Row],[Unit Price]]</f>
        <v>74302.2</v>
      </c>
      <c r="F1442">
        <v>70</v>
      </c>
      <c r="G1442" s="16">
        <v>1061.46</v>
      </c>
      <c r="H1442" t="s">
        <v>464</v>
      </c>
      <c r="I1442" t="s">
        <v>898</v>
      </c>
      <c r="J1442" t="s">
        <v>23</v>
      </c>
      <c r="K1442" t="s">
        <v>17</v>
      </c>
    </row>
    <row r="1443" spans="1:11" x14ac:dyDescent="0.45">
      <c r="A1443">
        <v>7637</v>
      </c>
      <c r="B1443" s="15">
        <v>44027</v>
      </c>
      <c r="C1443" t="str">
        <f>TEXT(Table1[[#This Row],[Order Date]], "yyyy")</f>
        <v>2020</v>
      </c>
      <c r="D1443" t="str">
        <f>TEXT(Table1[[#This Row],[Order Date]], "mmmm")</f>
        <v>July</v>
      </c>
      <c r="E1443" s="16">
        <f>Table1[[#This Row],[Order Quantity]]*Table1[[#This Row],[Unit Price]]</f>
        <v>4599.32</v>
      </c>
      <c r="F1443">
        <v>11</v>
      </c>
      <c r="G1443" s="16">
        <v>418.12</v>
      </c>
      <c r="H1443" t="s">
        <v>8</v>
      </c>
      <c r="I1443" t="s">
        <v>899</v>
      </c>
      <c r="J1443" t="s">
        <v>13</v>
      </c>
      <c r="K1443" t="s">
        <v>17</v>
      </c>
    </row>
    <row r="1444" spans="1:11" x14ac:dyDescent="0.45">
      <c r="A1444">
        <v>7638</v>
      </c>
      <c r="B1444" s="15">
        <v>44094</v>
      </c>
      <c r="C1444" t="str">
        <f>TEXT(Table1[[#This Row],[Order Date]], "yyyy")</f>
        <v>2020</v>
      </c>
      <c r="D1444" t="str">
        <f>TEXT(Table1[[#This Row],[Order Date]], "mmmm")</f>
        <v>September</v>
      </c>
      <c r="E1444" s="16">
        <f>Table1[[#This Row],[Order Quantity]]*Table1[[#This Row],[Unit Price]]</f>
        <v>12919.9</v>
      </c>
      <c r="F1444">
        <v>35</v>
      </c>
      <c r="G1444" s="16">
        <v>369.14</v>
      </c>
      <c r="H1444" t="s">
        <v>464</v>
      </c>
      <c r="I1444" t="s">
        <v>900</v>
      </c>
      <c r="J1444" t="s">
        <v>10</v>
      </c>
      <c r="K1444" t="s">
        <v>15</v>
      </c>
    </row>
    <row r="1445" spans="1:11" x14ac:dyDescent="0.45">
      <c r="A1445">
        <v>7639</v>
      </c>
      <c r="B1445" s="15">
        <v>44079</v>
      </c>
      <c r="C1445" t="str">
        <f>TEXT(Table1[[#This Row],[Order Date]], "yyyy")</f>
        <v>2020</v>
      </c>
      <c r="D1445" t="str">
        <f>TEXT(Table1[[#This Row],[Order Date]], "mmmm")</f>
        <v>September</v>
      </c>
      <c r="E1445" s="16">
        <f>Table1[[#This Row],[Order Quantity]]*Table1[[#This Row],[Unit Price]]</f>
        <v>112967.4</v>
      </c>
      <c r="F1445">
        <v>84</v>
      </c>
      <c r="G1445" s="16">
        <v>1344.85</v>
      </c>
      <c r="H1445" t="s">
        <v>464</v>
      </c>
      <c r="I1445" t="s">
        <v>901</v>
      </c>
      <c r="J1445" t="s">
        <v>23</v>
      </c>
      <c r="K1445" t="s">
        <v>15</v>
      </c>
    </row>
    <row r="1446" spans="1:11" x14ac:dyDescent="0.45">
      <c r="A1446">
        <v>7640</v>
      </c>
      <c r="B1446" s="15">
        <v>43970</v>
      </c>
      <c r="C1446" t="str">
        <f>TEXT(Table1[[#This Row],[Order Date]], "yyyy")</f>
        <v>2020</v>
      </c>
      <c r="D1446" t="str">
        <f>TEXT(Table1[[#This Row],[Order Date]], "mmmm")</f>
        <v>May</v>
      </c>
      <c r="E1446" s="16">
        <f>Table1[[#This Row],[Order Quantity]]*Table1[[#This Row],[Unit Price]]</f>
        <v>44119</v>
      </c>
      <c r="F1446">
        <v>100</v>
      </c>
      <c r="G1446" s="16">
        <v>441.19</v>
      </c>
      <c r="H1446" t="s">
        <v>464</v>
      </c>
      <c r="I1446" t="s">
        <v>902</v>
      </c>
      <c r="J1446" t="s">
        <v>20</v>
      </c>
      <c r="K1446" t="s">
        <v>15</v>
      </c>
    </row>
    <row r="1447" spans="1:11" x14ac:dyDescent="0.45">
      <c r="A1447">
        <v>7641</v>
      </c>
      <c r="B1447" s="15">
        <v>44151</v>
      </c>
      <c r="C1447" t="str">
        <f>TEXT(Table1[[#This Row],[Order Date]], "yyyy")</f>
        <v>2020</v>
      </c>
      <c r="D1447" t="str">
        <f>TEXT(Table1[[#This Row],[Order Date]], "mmmm")</f>
        <v>November</v>
      </c>
      <c r="E1447" s="16">
        <f>Table1[[#This Row],[Order Quantity]]*Table1[[#This Row],[Unit Price]]</f>
        <v>25573.119999999999</v>
      </c>
      <c r="F1447">
        <v>32</v>
      </c>
      <c r="G1447" s="16">
        <v>799.16</v>
      </c>
      <c r="H1447" t="s">
        <v>464</v>
      </c>
      <c r="I1447" t="s">
        <v>903</v>
      </c>
      <c r="J1447" t="s">
        <v>13</v>
      </c>
      <c r="K1447" t="s">
        <v>17</v>
      </c>
    </row>
    <row r="1448" spans="1:11" x14ac:dyDescent="0.45">
      <c r="A1448">
        <v>7642</v>
      </c>
      <c r="B1448" s="15">
        <v>44009</v>
      </c>
      <c r="C1448" t="str">
        <f>TEXT(Table1[[#This Row],[Order Date]], "yyyy")</f>
        <v>2020</v>
      </c>
      <c r="D1448" t="str">
        <f>TEXT(Table1[[#This Row],[Order Date]], "mmmm")</f>
        <v>June</v>
      </c>
      <c r="E1448" s="16">
        <f>Table1[[#This Row],[Order Quantity]]*Table1[[#This Row],[Unit Price]]</f>
        <v>13998.38</v>
      </c>
      <c r="F1448">
        <v>11</v>
      </c>
      <c r="G1448" s="16">
        <v>1272.58</v>
      </c>
      <c r="H1448" t="s">
        <v>25</v>
      </c>
      <c r="I1448" t="s">
        <v>904</v>
      </c>
      <c r="J1448" t="s">
        <v>23</v>
      </c>
      <c r="K1448" t="s">
        <v>17</v>
      </c>
    </row>
    <row r="1449" spans="1:11" x14ac:dyDescent="0.45">
      <c r="A1449">
        <v>7643</v>
      </c>
      <c r="B1449" s="15">
        <v>44188</v>
      </c>
      <c r="C1449" t="str">
        <f>TEXT(Table1[[#This Row],[Order Date]], "yyyy")</f>
        <v>2020</v>
      </c>
      <c r="D1449" t="str">
        <f>TEXT(Table1[[#This Row],[Order Date]], "mmmm")</f>
        <v>December</v>
      </c>
      <c r="E1449" s="16">
        <f>Table1[[#This Row],[Order Quantity]]*Table1[[#This Row],[Unit Price]]</f>
        <v>66193.53</v>
      </c>
      <c r="F1449">
        <v>57</v>
      </c>
      <c r="G1449" s="16">
        <v>1161.29</v>
      </c>
      <c r="H1449" t="s">
        <v>8</v>
      </c>
      <c r="I1449" t="s">
        <v>905</v>
      </c>
      <c r="J1449" t="s">
        <v>23</v>
      </c>
      <c r="K1449" t="s">
        <v>17</v>
      </c>
    </row>
    <row r="1450" spans="1:11" x14ac:dyDescent="0.45">
      <c r="A1450">
        <v>7644</v>
      </c>
      <c r="B1450" s="15">
        <v>43920</v>
      </c>
      <c r="C1450" t="str">
        <f>TEXT(Table1[[#This Row],[Order Date]], "yyyy")</f>
        <v>2020</v>
      </c>
      <c r="D1450" t="str">
        <f>TEXT(Table1[[#This Row],[Order Date]], "mmmm")</f>
        <v>March</v>
      </c>
      <c r="E1450" s="16">
        <f>Table1[[#This Row],[Order Quantity]]*Table1[[#This Row],[Unit Price]]</f>
        <v>63198.52</v>
      </c>
      <c r="F1450">
        <v>68</v>
      </c>
      <c r="G1450" s="16">
        <v>929.39</v>
      </c>
      <c r="H1450" t="s">
        <v>25</v>
      </c>
      <c r="I1450" t="s">
        <v>906</v>
      </c>
      <c r="J1450" t="s">
        <v>13</v>
      </c>
      <c r="K1450" t="s">
        <v>17</v>
      </c>
    </row>
    <row r="1451" spans="1:11" x14ac:dyDescent="0.45">
      <c r="A1451">
        <v>7645</v>
      </c>
      <c r="B1451" s="15">
        <v>43877</v>
      </c>
      <c r="C1451" t="str">
        <f>TEXT(Table1[[#This Row],[Order Date]], "yyyy")</f>
        <v>2020</v>
      </c>
      <c r="D1451" t="str">
        <f>TEXT(Table1[[#This Row],[Order Date]], "mmmm")</f>
        <v>February</v>
      </c>
      <c r="E1451" s="16">
        <f>Table1[[#This Row],[Order Quantity]]*Table1[[#This Row],[Unit Price]]</f>
        <v>5913.72</v>
      </c>
      <c r="F1451">
        <v>12</v>
      </c>
      <c r="G1451" s="16">
        <v>492.81</v>
      </c>
      <c r="H1451" t="s">
        <v>8</v>
      </c>
      <c r="I1451" t="s">
        <v>907</v>
      </c>
      <c r="J1451" t="s">
        <v>13</v>
      </c>
      <c r="K1451" t="s">
        <v>11</v>
      </c>
    </row>
    <row r="1452" spans="1:11" x14ac:dyDescent="0.45">
      <c r="A1452">
        <v>7646</v>
      </c>
      <c r="B1452" s="15">
        <v>43887</v>
      </c>
      <c r="C1452" t="str">
        <f>TEXT(Table1[[#This Row],[Order Date]], "yyyy")</f>
        <v>2020</v>
      </c>
      <c r="D1452" t="str">
        <f>TEXT(Table1[[#This Row],[Order Date]], "mmmm")</f>
        <v>February</v>
      </c>
      <c r="E1452" s="16">
        <f>Table1[[#This Row],[Order Quantity]]*Table1[[#This Row],[Unit Price]]</f>
        <v>25163.88</v>
      </c>
      <c r="F1452">
        <v>42</v>
      </c>
      <c r="G1452" s="16">
        <v>599.14</v>
      </c>
      <c r="H1452" t="s">
        <v>464</v>
      </c>
      <c r="I1452" t="s">
        <v>908</v>
      </c>
      <c r="J1452" t="s">
        <v>10</v>
      </c>
      <c r="K1452" t="s">
        <v>17</v>
      </c>
    </row>
    <row r="1453" spans="1:11" x14ac:dyDescent="0.45">
      <c r="A1453">
        <v>7647</v>
      </c>
      <c r="B1453" s="15">
        <v>44024</v>
      </c>
      <c r="C1453" t="str">
        <f>TEXT(Table1[[#This Row],[Order Date]], "yyyy")</f>
        <v>2020</v>
      </c>
      <c r="D1453" t="str">
        <f>TEXT(Table1[[#This Row],[Order Date]], "mmmm")</f>
        <v>July</v>
      </c>
      <c r="E1453" s="16">
        <f>Table1[[#This Row],[Order Quantity]]*Table1[[#This Row],[Unit Price]]</f>
        <v>8086.64</v>
      </c>
      <c r="F1453">
        <v>8</v>
      </c>
      <c r="G1453" s="16">
        <v>1010.83</v>
      </c>
      <c r="H1453" t="s">
        <v>8</v>
      </c>
      <c r="I1453" t="s">
        <v>909</v>
      </c>
      <c r="J1453" t="s">
        <v>10</v>
      </c>
      <c r="K1453" t="s">
        <v>17</v>
      </c>
    </row>
    <row r="1454" spans="1:11" x14ac:dyDescent="0.45">
      <c r="A1454">
        <v>7648</v>
      </c>
      <c r="B1454" s="15">
        <v>43849</v>
      </c>
      <c r="C1454" t="str">
        <f>TEXT(Table1[[#This Row],[Order Date]], "yyyy")</f>
        <v>2020</v>
      </c>
      <c r="D1454" t="str">
        <f>TEXT(Table1[[#This Row],[Order Date]], "mmmm")</f>
        <v>January</v>
      </c>
      <c r="E1454" s="16">
        <f>Table1[[#This Row],[Order Quantity]]*Table1[[#This Row],[Unit Price]]</f>
        <v>5090.04</v>
      </c>
      <c r="F1454">
        <v>12</v>
      </c>
      <c r="G1454" s="16">
        <v>424.17</v>
      </c>
      <c r="H1454" t="s">
        <v>8</v>
      </c>
      <c r="I1454" t="s">
        <v>910</v>
      </c>
      <c r="J1454" t="s">
        <v>20</v>
      </c>
      <c r="K1454" t="s">
        <v>17</v>
      </c>
    </row>
    <row r="1455" spans="1:11" x14ac:dyDescent="0.45">
      <c r="A1455">
        <v>7649</v>
      </c>
      <c r="B1455" s="15">
        <v>43874</v>
      </c>
      <c r="C1455" t="str">
        <f>TEXT(Table1[[#This Row],[Order Date]], "yyyy")</f>
        <v>2020</v>
      </c>
      <c r="D1455" t="str">
        <f>TEXT(Table1[[#This Row],[Order Date]], "mmmm")</f>
        <v>February</v>
      </c>
      <c r="E1455" s="16">
        <f>Table1[[#This Row],[Order Quantity]]*Table1[[#This Row],[Unit Price]]</f>
        <v>84599.02</v>
      </c>
      <c r="F1455">
        <v>74</v>
      </c>
      <c r="G1455" s="16">
        <v>1143.23</v>
      </c>
      <c r="H1455" t="s">
        <v>8</v>
      </c>
      <c r="I1455" t="s">
        <v>911</v>
      </c>
      <c r="J1455" t="s">
        <v>23</v>
      </c>
      <c r="K1455" t="s">
        <v>11</v>
      </c>
    </row>
    <row r="1456" spans="1:11" x14ac:dyDescent="0.45">
      <c r="A1456">
        <v>7650</v>
      </c>
      <c r="B1456" s="15">
        <v>44073</v>
      </c>
      <c r="C1456" t="str">
        <f>TEXT(Table1[[#This Row],[Order Date]], "yyyy")</f>
        <v>2020</v>
      </c>
      <c r="D1456" t="str">
        <f>TEXT(Table1[[#This Row],[Order Date]], "mmmm")</f>
        <v>August</v>
      </c>
      <c r="E1456" s="16">
        <f>Table1[[#This Row],[Order Quantity]]*Table1[[#This Row],[Unit Price]]</f>
        <v>54360.36</v>
      </c>
      <c r="F1456">
        <v>93</v>
      </c>
      <c r="G1456" s="16">
        <v>584.52</v>
      </c>
      <c r="H1456" t="s">
        <v>25</v>
      </c>
      <c r="I1456" t="s">
        <v>912</v>
      </c>
      <c r="J1456" t="s">
        <v>20</v>
      </c>
      <c r="K1456" t="s">
        <v>11</v>
      </c>
    </row>
    <row r="1457" spans="1:11" x14ac:dyDescent="0.45">
      <c r="A1457">
        <v>7651</v>
      </c>
      <c r="B1457" s="15">
        <v>43922</v>
      </c>
      <c r="C1457" t="str">
        <f>TEXT(Table1[[#This Row],[Order Date]], "yyyy")</f>
        <v>2020</v>
      </c>
      <c r="D1457" t="str">
        <f>TEXT(Table1[[#This Row],[Order Date]], "mmmm")</f>
        <v>April</v>
      </c>
      <c r="E1457" s="16">
        <f>Table1[[#This Row],[Order Quantity]]*Table1[[#This Row],[Unit Price]]</f>
        <v>66161.279999999999</v>
      </c>
      <c r="F1457">
        <v>96</v>
      </c>
      <c r="G1457" s="16">
        <v>689.18</v>
      </c>
      <c r="H1457" t="s">
        <v>25</v>
      </c>
      <c r="I1457" t="s">
        <v>913</v>
      </c>
      <c r="J1457" t="s">
        <v>23</v>
      </c>
      <c r="K1457" t="s">
        <v>15</v>
      </c>
    </row>
    <row r="1458" spans="1:11" x14ac:dyDescent="0.45">
      <c r="A1458">
        <v>7652</v>
      </c>
      <c r="B1458" s="15">
        <v>44182</v>
      </c>
      <c r="C1458" t="str">
        <f>TEXT(Table1[[#This Row],[Order Date]], "yyyy")</f>
        <v>2020</v>
      </c>
      <c r="D1458" t="str">
        <f>TEXT(Table1[[#This Row],[Order Date]], "mmmm")</f>
        <v>December</v>
      </c>
      <c r="E1458" s="16">
        <f>Table1[[#This Row],[Order Quantity]]*Table1[[#This Row],[Unit Price]]</f>
        <v>112626.45999999999</v>
      </c>
      <c r="F1458">
        <v>86</v>
      </c>
      <c r="G1458" s="16">
        <v>1309.6099999999999</v>
      </c>
      <c r="H1458" t="s">
        <v>8</v>
      </c>
      <c r="I1458" t="s">
        <v>914</v>
      </c>
      <c r="J1458" t="s">
        <v>10</v>
      </c>
      <c r="K1458" t="s">
        <v>15</v>
      </c>
    </row>
    <row r="1459" spans="1:11" x14ac:dyDescent="0.45">
      <c r="A1459">
        <v>7653</v>
      </c>
      <c r="B1459" s="15">
        <v>44126</v>
      </c>
      <c r="C1459" t="str">
        <f>TEXT(Table1[[#This Row],[Order Date]], "yyyy")</f>
        <v>2020</v>
      </c>
      <c r="D1459" t="str">
        <f>TEXT(Table1[[#This Row],[Order Date]], "mmmm")</f>
        <v>October</v>
      </c>
      <c r="E1459" s="16">
        <f>Table1[[#This Row],[Order Quantity]]*Table1[[#This Row],[Unit Price]]</f>
        <v>44713.440000000002</v>
      </c>
      <c r="F1459">
        <v>48</v>
      </c>
      <c r="G1459" s="16">
        <v>931.53</v>
      </c>
      <c r="H1459" t="s">
        <v>8</v>
      </c>
      <c r="I1459" t="s">
        <v>915</v>
      </c>
      <c r="J1459" t="s">
        <v>20</v>
      </c>
      <c r="K1459" t="s">
        <v>15</v>
      </c>
    </row>
    <row r="1460" spans="1:11" x14ac:dyDescent="0.45">
      <c r="A1460">
        <v>7654</v>
      </c>
      <c r="B1460" s="15">
        <v>43866</v>
      </c>
      <c r="C1460" t="str">
        <f>TEXT(Table1[[#This Row],[Order Date]], "yyyy")</f>
        <v>2020</v>
      </c>
      <c r="D1460" t="str">
        <f>TEXT(Table1[[#This Row],[Order Date]], "mmmm")</f>
        <v>February</v>
      </c>
      <c r="E1460" s="16">
        <f>Table1[[#This Row],[Order Quantity]]*Table1[[#This Row],[Unit Price]]</f>
        <v>17280.48</v>
      </c>
      <c r="F1460">
        <v>56</v>
      </c>
      <c r="G1460" s="16">
        <v>308.58</v>
      </c>
      <c r="H1460" t="s">
        <v>25</v>
      </c>
      <c r="I1460" t="s">
        <v>916</v>
      </c>
      <c r="J1460" t="s">
        <v>10</v>
      </c>
      <c r="K1460" t="s">
        <v>11</v>
      </c>
    </row>
    <row r="1461" spans="1:11" x14ac:dyDescent="0.45">
      <c r="A1461">
        <v>7655</v>
      </c>
      <c r="B1461" s="15">
        <v>43931</v>
      </c>
      <c r="C1461" t="str">
        <f>TEXT(Table1[[#This Row],[Order Date]], "yyyy")</f>
        <v>2020</v>
      </c>
      <c r="D1461" t="str">
        <f>TEXT(Table1[[#This Row],[Order Date]], "mmmm")</f>
        <v>April</v>
      </c>
      <c r="E1461" s="16">
        <f>Table1[[#This Row],[Order Quantity]]*Table1[[#This Row],[Unit Price]]</f>
        <v>14675.98</v>
      </c>
      <c r="F1461">
        <v>38</v>
      </c>
      <c r="G1461" s="16">
        <v>386.21</v>
      </c>
      <c r="H1461" t="s">
        <v>25</v>
      </c>
      <c r="I1461" t="s">
        <v>917</v>
      </c>
      <c r="J1461" t="s">
        <v>20</v>
      </c>
      <c r="K1461" t="s">
        <v>15</v>
      </c>
    </row>
    <row r="1462" spans="1:11" x14ac:dyDescent="0.45">
      <c r="A1462">
        <v>7656</v>
      </c>
      <c r="B1462" s="15">
        <v>44108</v>
      </c>
      <c r="C1462" t="str">
        <f>TEXT(Table1[[#This Row],[Order Date]], "yyyy")</f>
        <v>2020</v>
      </c>
      <c r="D1462" t="str">
        <f>TEXT(Table1[[#This Row],[Order Date]], "mmmm")</f>
        <v>October</v>
      </c>
      <c r="E1462" s="16">
        <f>Table1[[#This Row],[Order Quantity]]*Table1[[#This Row],[Unit Price]]</f>
        <v>71094.73000000001</v>
      </c>
      <c r="F1462">
        <v>53</v>
      </c>
      <c r="G1462" s="16">
        <v>1341.41</v>
      </c>
      <c r="H1462" t="s">
        <v>8</v>
      </c>
      <c r="I1462" t="s">
        <v>918</v>
      </c>
      <c r="J1462" t="s">
        <v>10</v>
      </c>
      <c r="K1462" t="s">
        <v>11</v>
      </c>
    </row>
    <row r="1463" spans="1:11" x14ac:dyDescent="0.45">
      <c r="A1463">
        <v>7657</v>
      </c>
      <c r="B1463" s="15">
        <v>43853</v>
      </c>
      <c r="C1463" t="str">
        <f>TEXT(Table1[[#This Row],[Order Date]], "yyyy")</f>
        <v>2020</v>
      </c>
      <c r="D1463" t="str">
        <f>TEXT(Table1[[#This Row],[Order Date]], "mmmm")</f>
        <v>January</v>
      </c>
      <c r="E1463" s="16">
        <f>Table1[[#This Row],[Order Quantity]]*Table1[[#This Row],[Unit Price]]</f>
        <v>4167.3</v>
      </c>
      <c r="F1463">
        <v>15</v>
      </c>
      <c r="G1463" s="16">
        <v>277.82</v>
      </c>
      <c r="H1463" t="s">
        <v>8</v>
      </c>
      <c r="I1463" t="s">
        <v>919</v>
      </c>
      <c r="J1463" t="s">
        <v>20</v>
      </c>
      <c r="K1463" t="s">
        <v>11</v>
      </c>
    </row>
    <row r="1464" spans="1:11" x14ac:dyDescent="0.45">
      <c r="A1464">
        <v>7658</v>
      </c>
      <c r="B1464" s="15">
        <v>43879</v>
      </c>
      <c r="C1464" t="str">
        <f>TEXT(Table1[[#This Row],[Order Date]], "yyyy")</f>
        <v>2020</v>
      </c>
      <c r="D1464" t="str">
        <f>TEXT(Table1[[#This Row],[Order Date]], "mmmm")</f>
        <v>February</v>
      </c>
      <c r="E1464" s="16">
        <f>Table1[[#This Row],[Order Quantity]]*Table1[[#This Row],[Unit Price]]</f>
        <v>6253.56</v>
      </c>
      <c r="F1464">
        <v>18</v>
      </c>
      <c r="G1464" s="16">
        <v>347.42</v>
      </c>
      <c r="H1464" t="s">
        <v>8</v>
      </c>
      <c r="I1464" t="s">
        <v>920</v>
      </c>
      <c r="J1464" t="s">
        <v>13</v>
      </c>
      <c r="K1464" t="s">
        <v>17</v>
      </c>
    </row>
    <row r="1465" spans="1:11" x14ac:dyDescent="0.45">
      <c r="A1465">
        <v>7659</v>
      </c>
      <c r="B1465" s="15">
        <v>44142</v>
      </c>
      <c r="C1465" t="str">
        <f>TEXT(Table1[[#This Row],[Order Date]], "yyyy")</f>
        <v>2020</v>
      </c>
      <c r="D1465" t="str">
        <f>TEXT(Table1[[#This Row],[Order Date]], "mmmm")</f>
        <v>November</v>
      </c>
      <c r="E1465" s="16">
        <f>Table1[[#This Row],[Order Quantity]]*Table1[[#This Row],[Unit Price]]</f>
        <v>28213.289999999997</v>
      </c>
      <c r="F1465">
        <v>63</v>
      </c>
      <c r="G1465" s="16">
        <v>447.83</v>
      </c>
      <c r="H1465" t="s">
        <v>8</v>
      </c>
      <c r="I1465" t="s">
        <v>921</v>
      </c>
      <c r="J1465" t="s">
        <v>10</v>
      </c>
      <c r="K1465" t="s">
        <v>11</v>
      </c>
    </row>
    <row r="1466" spans="1:11" x14ac:dyDescent="0.45">
      <c r="A1466">
        <v>7660</v>
      </c>
      <c r="B1466" s="15">
        <v>43908</v>
      </c>
      <c r="C1466" t="str">
        <f>TEXT(Table1[[#This Row],[Order Date]], "yyyy")</f>
        <v>2020</v>
      </c>
      <c r="D1466" t="str">
        <f>TEXT(Table1[[#This Row],[Order Date]], "mmmm")</f>
        <v>March</v>
      </c>
      <c r="E1466" s="16">
        <f>Table1[[#This Row],[Order Quantity]]*Table1[[#This Row],[Unit Price]]</f>
        <v>131815.35</v>
      </c>
      <c r="F1466">
        <v>95</v>
      </c>
      <c r="G1466" s="16">
        <v>1387.53</v>
      </c>
      <c r="H1466" t="s">
        <v>25</v>
      </c>
      <c r="I1466" t="s">
        <v>922</v>
      </c>
      <c r="J1466" t="s">
        <v>20</v>
      </c>
      <c r="K1466" t="s">
        <v>17</v>
      </c>
    </row>
    <row r="1467" spans="1:11" x14ac:dyDescent="0.45">
      <c r="A1467">
        <v>7661</v>
      </c>
      <c r="B1467" s="15">
        <v>44128</v>
      </c>
      <c r="C1467" t="str">
        <f>TEXT(Table1[[#This Row],[Order Date]], "yyyy")</f>
        <v>2020</v>
      </c>
      <c r="D1467" t="str">
        <f>TEXT(Table1[[#This Row],[Order Date]], "mmmm")</f>
        <v>October</v>
      </c>
      <c r="E1467" s="16">
        <f>Table1[[#This Row],[Order Quantity]]*Table1[[#This Row],[Unit Price]]</f>
        <v>7635.89</v>
      </c>
      <c r="F1467">
        <v>17</v>
      </c>
      <c r="G1467" s="16">
        <v>449.17</v>
      </c>
      <c r="H1467" t="s">
        <v>25</v>
      </c>
      <c r="I1467" t="s">
        <v>923</v>
      </c>
      <c r="J1467" t="s">
        <v>20</v>
      </c>
      <c r="K1467" t="s">
        <v>17</v>
      </c>
    </row>
    <row r="1468" spans="1:11" x14ac:dyDescent="0.45">
      <c r="A1468">
        <v>7662</v>
      </c>
      <c r="B1468" s="15">
        <v>44184</v>
      </c>
      <c r="C1468" t="str">
        <f>TEXT(Table1[[#This Row],[Order Date]], "yyyy")</f>
        <v>2020</v>
      </c>
      <c r="D1468" t="str">
        <f>TEXT(Table1[[#This Row],[Order Date]], "mmmm")</f>
        <v>December</v>
      </c>
      <c r="E1468" s="16">
        <f>Table1[[#This Row],[Order Quantity]]*Table1[[#This Row],[Unit Price]]</f>
        <v>26288.55</v>
      </c>
      <c r="F1468">
        <v>27</v>
      </c>
      <c r="G1468" s="16">
        <v>973.65</v>
      </c>
      <c r="H1468" t="s">
        <v>25</v>
      </c>
      <c r="I1468" t="s">
        <v>924</v>
      </c>
      <c r="J1468" t="s">
        <v>23</v>
      </c>
      <c r="K1468" t="s">
        <v>17</v>
      </c>
    </row>
    <row r="1469" spans="1:11" x14ac:dyDescent="0.45">
      <c r="A1469">
        <v>7663</v>
      </c>
      <c r="B1469" s="15">
        <v>43892</v>
      </c>
      <c r="C1469" t="str">
        <f>TEXT(Table1[[#This Row],[Order Date]], "yyyy")</f>
        <v>2020</v>
      </c>
      <c r="D1469" t="str">
        <f>TEXT(Table1[[#This Row],[Order Date]], "mmmm")</f>
        <v>March</v>
      </c>
      <c r="E1469" s="16">
        <f>Table1[[#This Row],[Order Quantity]]*Table1[[#This Row],[Unit Price]]</f>
        <v>8146.32</v>
      </c>
      <c r="F1469">
        <v>6</v>
      </c>
      <c r="G1469" s="16">
        <v>1357.72</v>
      </c>
      <c r="H1469" t="s">
        <v>8</v>
      </c>
      <c r="I1469" t="s">
        <v>925</v>
      </c>
      <c r="J1469" t="s">
        <v>10</v>
      </c>
      <c r="K1469" t="s">
        <v>15</v>
      </c>
    </row>
    <row r="1470" spans="1:11" x14ac:dyDescent="0.45">
      <c r="A1470">
        <v>7664</v>
      </c>
      <c r="B1470" s="15">
        <v>43954</v>
      </c>
      <c r="C1470" t="str">
        <f>TEXT(Table1[[#This Row],[Order Date]], "yyyy")</f>
        <v>2020</v>
      </c>
      <c r="D1470" t="str">
        <f>TEXT(Table1[[#This Row],[Order Date]], "mmmm")</f>
        <v>May</v>
      </c>
      <c r="E1470" s="16">
        <f>Table1[[#This Row],[Order Quantity]]*Table1[[#This Row],[Unit Price]]</f>
        <v>43450.68</v>
      </c>
      <c r="F1470">
        <v>52</v>
      </c>
      <c r="G1470" s="16">
        <v>835.59</v>
      </c>
      <c r="H1470" t="s">
        <v>8</v>
      </c>
      <c r="I1470" t="s">
        <v>926</v>
      </c>
      <c r="J1470" t="s">
        <v>13</v>
      </c>
      <c r="K1470" t="s">
        <v>17</v>
      </c>
    </row>
    <row r="1471" spans="1:11" x14ac:dyDescent="0.45">
      <c r="A1471">
        <v>7665</v>
      </c>
      <c r="B1471" s="15">
        <v>43855</v>
      </c>
      <c r="C1471" t="str">
        <f>TEXT(Table1[[#This Row],[Order Date]], "yyyy")</f>
        <v>2020</v>
      </c>
      <c r="D1471" t="str">
        <f>TEXT(Table1[[#This Row],[Order Date]], "mmmm")</f>
        <v>January</v>
      </c>
      <c r="E1471" s="16">
        <f>Table1[[#This Row],[Order Quantity]]*Table1[[#This Row],[Unit Price]]</f>
        <v>15572.55</v>
      </c>
      <c r="F1471">
        <v>21</v>
      </c>
      <c r="G1471" s="16">
        <v>741.55</v>
      </c>
      <c r="H1471" t="s">
        <v>464</v>
      </c>
      <c r="I1471" t="s">
        <v>927</v>
      </c>
      <c r="J1471" t="s">
        <v>13</v>
      </c>
      <c r="K1471" t="s">
        <v>11</v>
      </c>
    </row>
    <row r="1472" spans="1:11" x14ac:dyDescent="0.45">
      <c r="A1472">
        <v>7666</v>
      </c>
      <c r="B1472" s="15">
        <v>43850</v>
      </c>
      <c r="C1472" t="str">
        <f>TEXT(Table1[[#This Row],[Order Date]], "yyyy")</f>
        <v>2020</v>
      </c>
      <c r="D1472" t="str">
        <f>TEXT(Table1[[#This Row],[Order Date]], "mmmm")</f>
        <v>January</v>
      </c>
      <c r="E1472" s="16">
        <f>Table1[[#This Row],[Order Quantity]]*Table1[[#This Row],[Unit Price]]</f>
        <v>81873.600000000006</v>
      </c>
      <c r="F1472">
        <v>74</v>
      </c>
      <c r="G1472" s="16">
        <v>1106.4000000000001</v>
      </c>
      <c r="H1472" t="s">
        <v>464</v>
      </c>
      <c r="I1472" t="s">
        <v>928</v>
      </c>
      <c r="J1472" t="s">
        <v>23</v>
      </c>
      <c r="K1472" t="s">
        <v>17</v>
      </c>
    </row>
    <row r="1473" spans="1:11" x14ac:dyDescent="0.45">
      <c r="A1473">
        <v>7667</v>
      </c>
      <c r="B1473" s="15">
        <v>44048</v>
      </c>
      <c r="C1473" t="str">
        <f>TEXT(Table1[[#This Row],[Order Date]], "yyyy")</f>
        <v>2020</v>
      </c>
      <c r="D1473" t="str">
        <f>TEXT(Table1[[#This Row],[Order Date]], "mmmm")</f>
        <v>August</v>
      </c>
      <c r="E1473" s="16">
        <f>Table1[[#This Row],[Order Quantity]]*Table1[[#This Row],[Unit Price]]</f>
        <v>6031.13</v>
      </c>
      <c r="F1473">
        <v>7</v>
      </c>
      <c r="G1473" s="16">
        <v>861.59</v>
      </c>
      <c r="H1473" t="s">
        <v>464</v>
      </c>
      <c r="I1473" t="s">
        <v>929</v>
      </c>
      <c r="J1473" t="s">
        <v>13</v>
      </c>
      <c r="K1473" t="s">
        <v>15</v>
      </c>
    </row>
    <row r="1474" spans="1:11" x14ac:dyDescent="0.45">
      <c r="A1474">
        <v>7668</v>
      </c>
      <c r="B1474" s="15">
        <v>43938</v>
      </c>
      <c r="C1474" t="str">
        <f>TEXT(Table1[[#This Row],[Order Date]], "yyyy")</f>
        <v>2020</v>
      </c>
      <c r="D1474" t="str">
        <f>TEXT(Table1[[#This Row],[Order Date]], "mmmm")</f>
        <v>April</v>
      </c>
      <c r="E1474" s="16">
        <f>Table1[[#This Row],[Order Quantity]]*Table1[[#This Row],[Unit Price]]</f>
        <v>3413.82</v>
      </c>
      <c r="F1474">
        <v>3</v>
      </c>
      <c r="G1474" s="16">
        <v>1137.94</v>
      </c>
      <c r="H1474" t="s">
        <v>464</v>
      </c>
      <c r="I1474" t="s">
        <v>930</v>
      </c>
      <c r="J1474" t="s">
        <v>20</v>
      </c>
      <c r="K1474" t="s">
        <v>17</v>
      </c>
    </row>
    <row r="1475" spans="1:11" x14ac:dyDescent="0.45">
      <c r="A1475">
        <v>7669</v>
      </c>
      <c r="B1475" s="15">
        <v>44081</v>
      </c>
      <c r="C1475" t="str">
        <f>TEXT(Table1[[#This Row],[Order Date]], "yyyy")</f>
        <v>2020</v>
      </c>
      <c r="D1475" t="str">
        <f>TEXT(Table1[[#This Row],[Order Date]], "mmmm")</f>
        <v>September</v>
      </c>
      <c r="E1475" s="16">
        <f>Table1[[#This Row],[Order Quantity]]*Table1[[#This Row],[Unit Price]]</f>
        <v>117092.44</v>
      </c>
      <c r="F1475">
        <v>86</v>
      </c>
      <c r="G1475" s="16">
        <v>1361.54</v>
      </c>
      <c r="H1475" t="s">
        <v>25</v>
      </c>
      <c r="I1475" t="s">
        <v>931</v>
      </c>
      <c r="J1475" t="s">
        <v>23</v>
      </c>
      <c r="K1475" t="s">
        <v>11</v>
      </c>
    </row>
    <row r="1476" spans="1:11" x14ac:dyDescent="0.45">
      <c r="A1476">
        <v>7670</v>
      </c>
      <c r="B1476" s="15">
        <v>43909</v>
      </c>
      <c r="C1476" t="str">
        <f>TEXT(Table1[[#This Row],[Order Date]], "yyyy")</f>
        <v>2020</v>
      </c>
      <c r="D1476" t="str">
        <f>TEXT(Table1[[#This Row],[Order Date]], "mmmm")</f>
        <v>March</v>
      </c>
      <c r="E1476" s="16">
        <f>Table1[[#This Row],[Order Quantity]]*Table1[[#This Row],[Unit Price]]</f>
        <v>26132.07</v>
      </c>
      <c r="F1476">
        <v>31</v>
      </c>
      <c r="G1476" s="16">
        <v>842.97</v>
      </c>
      <c r="H1476" t="s">
        <v>8</v>
      </c>
      <c r="I1476" t="s">
        <v>932</v>
      </c>
      <c r="J1476" t="s">
        <v>10</v>
      </c>
      <c r="K1476" t="s">
        <v>15</v>
      </c>
    </row>
    <row r="1477" spans="1:11" x14ac:dyDescent="0.45">
      <c r="A1477">
        <v>7671</v>
      </c>
      <c r="B1477" s="15">
        <v>44085</v>
      </c>
      <c r="C1477" t="str">
        <f>TEXT(Table1[[#This Row],[Order Date]], "yyyy")</f>
        <v>2020</v>
      </c>
      <c r="D1477" t="str">
        <f>TEXT(Table1[[#This Row],[Order Date]], "mmmm")</f>
        <v>September</v>
      </c>
      <c r="E1477" s="16">
        <f>Table1[[#This Row],[Order Quantity]]*Table1[[#This Row],[Unit Price]]</f>
        <v>29956</v>
      </c>
      <c r="F1477">
        <v>25</v>
      </c>
      <c r="G1477" s="16">
        <v>1198.24</v>
      </c>
      <c r="H1477" t="s">
        <v>25</v>
      </c>
      <c r="I1477" t="s">
        <v>933</v>
      </c>
      <c r="J1477" t="s">
        <v>20</v>
      </c>
      <c r="K1477" t="s">
        <v>15</v>
      </c>
    </row>
    <row r="1478" spans="1:11" x14ac:dyDescent="0.45">
      <c r="A1478">
        <v>7672</v>
      </c>
      <c r="B1478" s="15">
        <v>44147</v>
      </c>
      <c r="C1478" t="str">
        <f>TEXT(Table1[[#This Row],[Order Date]], "yyyy")</f>
        <v>2020</v>
      </c>
      <c r="D1478" t="str">
        <f>TEXT(Table1[[#This Row],[Order Date]], "mmmm")</f>
        <v>November</v>
      </c>
      <c r="E1478" s="16">
        <f>Table1[[#This Row],[Order Quantity]]*Table1[[#This Row],[Unit Price]]</f>
        <v>37896.82</v>
      </c>
      <c r="F1478">
        <v>26</v>
      </c>
      <c r="G1478" s="16">
        <v>1457.57</v>
      </c>
      <c r="H1478" t="s">
        <v>25</v>
      </c>
      <c r="I1478" t="s">
        <v>934</v>
      </c>
      <c r="J1478" t="s">
        <v>10</v>
      </c>
      <c r="K1478" t="s">
        <v>11</v>
      </c>
    </row>
    <row r="1479" spans="1:11" x14ac:dyDescent="0.45">
      <c r="A1479">
        <v>7673</v>
      </c>
      <c r="B1479" s="15">
        <v>44019</v>
      </c>
      <c r="C1479" t="str">
        <f>TEXT(Table1[[#This Row],[Order Date]], "yyyy")</f>
        <v>2020</v>
      </c>
      <c r="D1479" t="str">
        <f>TEXT(Table1[[#This Row],[Order Date]], "mmmm")</f>
        <v>July</v>
      </c>
      <c r="E1479" s="16">
        <f>Table1[[#This Row],[Order Quantity]]*Table1[[#This Row],[Unit Price]]</f>
        <v>8108.91</v>
      </c>
      <c r="F1479">
        <v>81</v>
      </c>
      <c r="G1479" s="16">
        <v>100.11</v>
      </c>
      <c r="H1479" t="s">
        <v>464</v>
      </c>
      <c r="I1479" t="s">
        <v>935</v>
      </c>
      <c r="J1479" t="s">
        <v>10</v>
      </c>
      <c r="K1479" t="s">
        <v>17</v>
      </c>
    </row>
    <row r="1480" spans="1:11" x14ac:dyDescent="0.45">
      <c r="A1480">
        <v>7674</v>
      </c>
      <c r="B1480" s="15">
        <v>44002</v>
      </c>
      <c r="C1480" t="str">
        <f>TEXT(Table1[[#This Row],[Order Date]], "yyyy")</f>
        <v>2020</v>
      </c>
      <c r="D1480" t="str">
        <f>TEXT(Table1[[#This Row],[Order Date]], "mmmm")</f>
        <v>June</v>
      </c>
      <c r="E1480" s="16">
        <f>Table1[[#This Row],[Order Quantity]]*Table1[[#This Row],[Unit Price]]</f>
        <v>16165.880000000001</v>
      </c>
      <c r="F1480">
        <v>62</v>
      </c>
      <c r="G1480" s="16">
        <v>260.74</v>
      </c>
      <c r="H1480" t="s">
        <v>25</v>
      </c>
      <c r="I1480" t="s">
        <v>936</v>
      </c>
      <c r="J1480" t="s">
        <v>23</v>
      </c>
      <c r="K1480" t="s">
        <v>17</v>
      </c>
    </row>
    <row r="1481" spans="1:11" x14ac:dyDescent="0.45">
      <c r="A1481">
        <v>7675</v>
      </c>
      <c r="B1481" s="15">
        <v>43844</v>
      </c>
      <c r="C1481" t="str">
        <f>TEXT(Table1[[#This Row],[Order Date]], "yyyy")</f>
        <v>2020</v>
      </c>
      <c r="D1481" t="str">
        <f>TEXT(Table1[[#This Row],[Order Date]], "mmmm")</f>
        <v>January</v>
      </c>
      <c r="E1481" s="16">
        <f>Table1[[#This Row],[Order Quantity]]*Table1[[#This Row],[Unit Price]]</f>
        <v>41456.92</v>
      </c>
      <c r="F1481">
        <v>67</v>
      </c>
      <c r="G1481" s="16">
        <v>618.76</v>
      </c>
      <c r="H1481" t="s">
        <v>25</v>
      </c>
      <c r="I1481" t="s">
        <v>937</v>
      </c>
      <c r="J1481" t="s">
        <v>10</v>
      </c>
      <c r="K1481" t="s">
        <v>17</v>
      </c>
    </row>
    <row r="1482" spans="1:11" x14ac:dyDescent="0.45">
      <c r="A1482">
        <v>7676</v>
      </c>
      <c r="B1482" s="15">
        <v>43916</v>
      </c>
      <c r="C1482" t="str">
        <f>TEXT(Table1[[#This Row],[Order Date]], "yyyy")</f>
        <v>2020</v>
      </c>
      <c r="D1482" t="str">
        <f>TEXT(Table1[[#This Row],[Order Date]], "mmmm")</f>
        <v>March</v>
      </c>
      <c r="E1482" s="16">
        <f>Table1[[#This Row],[Order Quantity]]*Table1[[#This Row],[Unit Price]]</f>
        <v>15315.24</v>
      </c>
      <c r="F1482">
        <v>46</v>
      </c>
      <c r="G1482" s="16">
        <v>332.94</v>
      </c>
      <c r="H1482" t="s">
        <v>8</v>
      </c>
      <c r="I1482" t="s">
        <v>938</v>
      </c>
      <c r="J1482" t="s">
        <v>20</v>
      </c>
      <c r="K1482" t="s">
        <v>15</v>
      </c>
    </row>
    <row r="1483" spans="1:11" x14ac:dyDescent="0.45">
      <c r="A1483">
        <v>7677</v>
      </c>
      <c r="B1483" s="15">
        <v>43850</v>
      </c>
      <c r="C1483" t="str">
        <f>TEXT(Table1[[#This Row],[Order Date]], "yyyy")</f>
        <v>2020</v>
      </c>
      <c r="D1483" t="str">
        <f>TEXT(Table1[[#This Row],[Order Date]], "mmmm")</f>
        <v>January</v>
      </c>
      <c r="E1483" s="16">
        <f>Table1[[#This Row],[Order Quantity]]*Table1[[#This Row],[Unit Price]]</f>
        <v>15864.06</v>
      </c>
      <c r="F1483">
        <v>17</v>
      </c>
      <c r="G1483" s="16">
        <v>933.18</v>
      </c>
      <c r="H1483" t="s">
        <v>464</v>
      </c>
      <c r="I1483" t="s">
        <v>939</v>
      </c>
      <c r="J1483" t="s">
        <v>10</v>
      </c>
      <c r="K1483" t="s">
        <v>11</v>
      </c>
    </row>
    <row r="1484" spans="1:11" x14ac:dyDescent="0.45">
      <c r="A1484">
        <v>7678</v>
      </c>
      <c r="B1484" s="15">
        <v>44180</v>
      </c>
      <c r="C1484" t="str">
        <f>TEXT(Table1[[#This Row],[Order Date]], "yyyy")</f>
        <v>2020</v>
      </c>
      <c r="D1484" t="str">
        <f>TEXT(Table1[[#This Row],[Order Date]], "mmmm")</f>
        <v>December</v>
      </c>
      <c r="E1484" s="16">
        <f>Table1[[#This Row],[Order Quantity]]*Table1[[#This Row],[Unit Price]]</f>
        <v>25136.510000000002</v>
      </c>
      <c r="F1484">
        <v>43</v>
      </c>
      <c r="G1484" s="16">
        <v>584.57000000000005</v>
      </c>
      <c r="H1484" t="s">
        <v>8</v>
      </c>
      <c r="I1484" t="s">
        <v>940</v>
      </c>
      <c r="J1484" t="s">
        <v>23</v>
      </c>
      <c r="K1484" t="s">
        <v>17</v>
      </c>
    </row>
    <row r="1485" spans="1:11" x14ac:dyDescent="0.45">
      <c r="A1485">
        <v>7679</v>
      </c>
      <c r="B1485" s="15">
        <v>44014</v>
      </c>
      <c r="C1485" t="str">
        <f>TEXT(Table1[[#This Row],[Order Date]], "yyyy")</f>
        <v>2020</v>
      </c>
      <c r="D1485" t="str">
        <f>TEXT(Table1[[#This Row],[Order Date]], "mmmm")</f>
        <v>July</v>
      </c>
      <c r="E1485" s="16">
        <f>Table1[[#This Row],[Order Quantity]]*Table1[[#This Row],[Unit Price]]</f>
        <v>34536.799999999996</v>
      </c>
      <c r="F1485">
        <v>92</v>
      </c>
      <c r="G1485" s="16">
        <v>375.4</v>
      </c>
      <c r="H1485" t="s">
        <v>464</v>
      </c>
      <c r="I1485" t="s">
        <v>941</v>
      </c>
      <c r="J1485" t="s">
        <v>23</v>
      </c>
      <c r="K1485" t="s">
        <v>11</v>
      </c>
    </row>
    <row r="1486" spans="1:11" x14ac:dyDescent="0.45">
      <c r="A1486">
        <v>7680</v>
      </c>
      <c r="B1486" s="15">
        <v>43987</v>
      </c>
      <c r="C1486" t="str">
        <f>TEXT(Table1[[#This Row],[Order Date]], "yyyy")</f>
        <v>2020</v>
      </c>
      <c r="D1486" t="str">
        <f>TEXT(Table1[[#This Row],[Order Date]], "mmmm")</f>
        <v>June</v>
      </c>
      <c r="E1486" s="16">
        <f>Table1[[#This Row],[Order Quantity]]*Table1[[#This Row],[Unit Price]]</f>
        <v>44318.890000000007</v>
      </c>
      <c r="F1486">
        <v>77</v>
      </c>
      <c r="G1486" s="16">
        <v>575.57000000000005</v>
      </c>
      <c r="H1486" t="s">
        <v>25</v>
      </c>
      <c r="I1486" t="s">
        <v>942</v>
      </c>
      <c r="J1486" t="s">
        <v>23</v>
      </c>
      <c r="K1486" t="s">
        <v>17</v>
      </c>
    </row>
    <row r="1487" spans="1:11" x14ac:dyDescent="0.45">
      <c r="A1487">
        <v>7681</v>
      </c>
      <c r="B1487" s="15">
        <v>43885</v>
      </c>
      <c r="C1487" t="str">
        <f>TEXT(Table1[[#This Row],[Order Date]], "yyyy")</f>
        <v>2020</v>
      </c>
      <c r="D1487" t="str">
        <f>TEXT(Table1[[#This Row],[Order Date]], "mmmm")</f>
        <v>February</v>
      </c>
      <c r="E1487" s="16">
        <f>Table1[[#This Row],[Order Quantity]]*Table1[[#This Row],[Unit Price]]</f>
        <v>16479.84</v>
      </c>
      <c r="F1487">
        <v>12</v>
      </c>
      <c r="G1487" s="16">
        <v>1373.32</v>
      </c>
      <c r="H1487" t="s">
        <v>25</v>
      </c>
      <c r="I1487" t="s">
        <v>943</v>
      </c>
      <c r="J1487" t="s">
        <v>23</v>
      </c>
      <c r="K1487" t="s">
        <v>15</v>
      </c>
    </row>
    <row r="1488" spans="1:11" x14ac:dyDescent="0.45">
      <c r="A1488">
        <v>7682</v>
      </c>
      <c r="B1488" s="15">
        <v>44187</v>
      </c>
      <c r="C1488" t="str">
        <f>TEXT(Table1[[#This Row],[Order Date]], "yyyy")</f>
        <v>2020</v>
      </c>
      <c r="D1488" t="str">
        <f>TEXT(Table1[[#This Row],[Order Date]], "mmmm")</f>
        <v>December</v>
      </c>
      <c r="E1488" s="16">
        <f>Table1[[#This Row],[Order Quantity]]*Table1[[#This Row],[Unit Price]]</f>
        <v>106183.34000000001</v>
      </c>
      <c r="F1488">
        <v>74</v>
      </c>
      <c r="G1488" s="16">
        <v>1434.91</v>
      </c>
      <c r="H1488" t="s">
        <v>25</v>
      </c>
      <c r="I1488" t="s">
        <v>944</v>
      </c>
      <c r="J1488" t="s">
        <v>20</v>
      </c>
      <c r="K1488" t="s">
        <v>15</v>
      </c>
    </row>
    <row r="1489" spans="1:11" x14ac:dyDescent="0.45">
      <c r="A1489">
        <v>7683</v>
      </c>
      <c r="B1489" s="15">
        <v>43967</v>
      </c>
      <c r="C1489" t="str">
        <f>TEXT(Table1[[#This Row],[Order Date]], "yyyy")</f>
        <v>2020</v>
      </c>
      <c r="D1489" t="str">
        <f>TEXT(Table1[[#This Row],[Order Date]], "mmmm")</f>
        <v>May</v>
      </c>
      <c r="E1489" s="16">
        <f>Table1[[#This Row],[Order Quantity]]*Table1[[#This Row],[Unit Price]]</f>
        <v>4485.3599999999997</v>
      </c>
      <c r="F1489">
        <v>44</v>
      </c>
      <c r="G1489" s="16">
        <v>101.94</v>
      </c>
      <c r="H1489" t="s">
        <v>8</v>
      </c>
      <c r="I1489" t="s">
        <v>945</v>
      </c>
      <c r="J1489" t="s">
        <v>20</v>
      </c>
      <c r="K1489" t="s">
        <v>17</v>
      </c>
    </row>
    <row r="1490" spans="1:11" x14ac:dyDescent="0.45">
      <c r="A1490">
        <v>7684</v>
      </c>
      <c r="B1490" s="15">
        <v>44122</v>
      </c>
      <c r="C1490" t="str">
        <f>TEXT(Table1[[#This Row],[Order Date]], "yyyy")</f>
        <v>2020</v>
      </c>
      <c r="D1490" t="str">
        <f>TEXT(Table1[[#This Row],[Order Date]], "mmmm")</f>
        <v>October</v>
      </c>
      <c r="E1490" s="16">
        <f>Table1[[#This Row],[Order Quantity]]*Table1[[#This Row],[Unit Price]]</f>
        <v>1949.92</v>
      </c>
      <c r="F1490">
        <v>16</v>
      </c>
      <c r="G1490" s="16">
        <v>121.87</v>
      </c>
      <c r="H1490" t="s">
        <v>464</v>
      </c>
      <c r="I1490" t="s">
        <v>946</v>
      </c>
      <c r="J1490" t="s">
        <v>23</v>
      </c>
      <c r="K1490" t="s">
        <v>11</v>
      </c>
    </row>
    <row r="1491" spans="1:11" x14ac:dyDescent="0.45">
      <c r="A1491">
        <v>7685</v>
      </c>
      <c r="B1491" s="15">
        <v>44072</v>
      </c>
      <c r="C1491" t="str">
        <f>TEXT(Table1[[#This Row],[Order Date]], "yyyy")</f>
        <v>2020</v>
      </c>
      <c r="D1491" t="str">
        <f>TEXT(Table1[[#This Row],[Order Date]], "mmmm")</f>
        <v>August</v>
      </c>
      <c r="E1491" s="16">
        <f>Table1[[#This Row],[Order Quantity]]*Table1[[#This Row],[Unit Price]]</f>
        <v>19248.45</v>
      </c>
      <c r="F1491">
        <v>15</v>
      </c>
      <c r="G1491" s="16">
        <v>1283.23</v>
      </c>
      <c r="H1491" t="s">
        <v>25</v>
      </c>
      <c r="I1491" t="s">
        <v>947</v>
      </c>
      <c r="J1491" t="s">
        <v>20</v>
      </c>
      <c r="K1491" t="s">
        <v>11</v>
      </c>
    </row>
    <row r="1492" spans="1:11" x14ac:dyDescent="0.45">
      <c r="A1492">
        <v>7686</v>
      </c>
      <c r="B1492" s="15">
        <v>44050</v>
      </c>
      <c r="C1492" t="str">
        <f>TEXT(Table1[[#This Row],[Order Date]], "yyyy")</f>
        <v>2020</v>
      </c>
      <c r="D1492" t="str">
        <f>TEXT(Table1[[#This Row],[Order Date]], "mmmm")</f>
        <v>August</v>
      </c>
      <c r="E1492" s="16">
        <f>Table1[[#This Row],[Order Quantity]]*Table1[[#This Row],[Unit Price]]</f>
        <v>36970.92</v>
      </c>
      <c r="F1492">
        <v>51</v>
      </c>
      <c r="G1492" s="16">
        <v>724.92</v>
      </c>
      <c r="H1492" t="s">
        <v>8</v>
      </c>
      <c r="I1492" t="s">
        <v>948</v>
      </c>
      <c r="J1492" t="s">
        <v>10</v>
      </c>
      <c r="K1492" t="s">
        <v>17</v>
      </c>
    </row>
    <row r="1493" spans="1:11" x14ac:dyDescent="0.45">
      <c r="A1493">
        <v>7687</v>
      </c>
      <c r="B1493" s="15">
        <v>43931</v>
      </c>
      <c r="C1493" t="str">
        <f>TEXT(Table1[[#This Row],[Order Date]], "yyyy")</f>
        <v>2020</v>
      </c>
      <c r="D1493" t="str">
        <f>TEXT(Table1[[#This Row],[Order Date]], "mmmm")</f>
        <v>April</v>
      </c>
      <c r="E1493" s="16">
        <f>Table1[[#This Row],[Order Quantity]]*Table1[[#This Row],[Unit Price]]</f>
        <v>17774.21</v>
      </c>
      <c r="F1493">
        <v>79</v>
      </c>
      <c r="G1493" s="16">
        <v>224.99</v>
      </c>
      <c r="H1493" t="s">
        <v>464</v>
      </c>
      <c r="I1493" t="s">
        <v>949</v>
      </c>
      <c r="J1493" t="s">
        <v>13</v>
      </c>
      <c r="K1493" t="s">
        <v>15</v>
      </c>
    </row>
    <row r="1494" spans="1:11" x14ac:dyDescent="0.45">
      <c r="A1494">
        <v>7688</v>
      </c>
      <c r="B1494" s="15">
        <v>44134</v>
      </c>
      <c r="C1494" t="str">
        <f>TEXT(Table1[[#This Row],[Order Date]], "yyyy")</f>
        <v>2020</v>
      </c>
      <c r="D1494" t="str">
        <f>TEXT(Table1[[#This Row],[Order Date]], "mmmm")</f>
        <v>October</v>
      </c>
      <c r="E1494" s="16">
        <f>Table1[[#This Row],[Order Quantity]]*Table1[[#This Row],[Unit Price]]</f>
        <v>34628</v>
      </c>
      <c r="F1494">
        <v>50</v>
      </c>
      <c r="G1494" s="16">
        <v>692.56</v>
      </c>
      <c r="H1494" t="s">
        <v>25</v>
      </c>
      <c r="I1494" t="s">
        <v>950</v>
      </c>
      <c r="J1494" t="s">
        <v>20</v>
      </c>
      <c r="K1494" t="s">
        <v>11</v>
      </c>
    </row>
    <row r="1495" spans="1:11" x14ac:dyDescent="0.45">
      <c r="A1495">
        <v>7689</v>
      </c>
      <c r="B1495" s="15">
        <v>43981</v>
      </c>
      <c r="C1495" t="str">
        <f>TEXT(Table1[[#This Row],[Order Date]], "yyyy")</f>
        <v>2020</v>
      </c>
      <c r="D1495" t="str">
        <f>TEXT(Table1[[#This Row],[Order Date]], "mmmm")</f>
        <v>May</v>
      </c>
      <c r="E1495" s="16">
        <f>Table1[[#This Row],[Order Quantity]]*Table1[[#This Row],[Unit Price]]</f>
        <v>56327.600000000006</v>
      </c>
      <c r="F1495">
        <v>40</v>
      </c>
      <c r="G1495" s="16">
        <v>1408.19</v>
      </c>
      <c r="H1495" t="s">
        <v>25</v>
      </c>
      <c r="I1495" t="s">
        <v>951</v>
      </c>
      <c r="J1495" t="s">
        <v>20</v>
      </c>
      <c r="K1495" t="s">
        <v>17</v>
      </c>
    </row>
    <row r="1496" spans="1:11" x14ac:dyDescent="0.45">
      <c r="A1496">
        <v>7690</v>
      </c>
      <c r="B1496" s="15">
        <v>44072</v>
      </c>
      <c r="C1496" t="str">
        <f>TEXT(Table1[[#This Row],[Order Date]], "yyyy")</f>
        <v>2020</v>
      </c>
      <c r="D1496" t="str">
        <f>TEXT(Table1[[#This Row],[Order Date]], "mmmm")</f>
        <v>August</v>
      </c>
      <c r="E1496" s="16">
        <f>Table1[[#This Row],[Order Quantity]]*Table1[[#This Row],[Unit Price]]</f>
        <v>5465.32</v>
      </c>
      <c r="F1496">
        <v>4</v>
      </c>
      <c r="G1496" s="16">
        <v>1366.33</v>
      </c>
      <c r="H1496" t="s">
        <v>8</v>
      </c>
      <c r="I1496" t="s">
        <v>952</v>
      </c>
      <c r="J1496" t="s">
        <v>10</v>
      </c>
      <c r="K1496" t="s">
        <v>17</v>
      </c>
    </row>
    <row r="1497" spans="1:11" x14ac:dyDescent="0.45">
      <c r="A1497">
        <v>7691</v>
      </c>
      <c r="B1497" s="15">
        <v>44080</v>
      </c>
      <c r="C1497" t="str">
        <f>TEXT(Table1[[#This Row],[Order Date]], "yyyy")</f>
        <v>2020</v>
      </c>
      <c r="D1497" t="str">
        <f>TEXT(Table1[[#This Row],[Order Date]], "mmmm")</f>
        <v>September</v>
      </c>
      <c r="E1497" s="16">
        <f>Table1[[#This Row],[Order Quantity]]*Table1[[#This Row],[Unit Price]]</f>
        <v>1929.96</v>
      </c>
      <c r="F1497">
        <v>18</v>
      </c>
      <c r="G1497" s="16">
        <v>107.22</v>
      </c>
      <c r="H1497" t="s">
        <v>464</v>
      </c>
      <c r="I1497" t="s">
        <v>953</v>
      </c>
      <c r="J1497" t="s">
        <v>20</v>
      </c>
      <c r="K1497" t="s">
        <v>11</v>
      </c>
    </row>
    <row r="1498" spans="1:11" x14ac:dyDescent="0.45">
      <c r="A1498">
        <v>7692</v>
      </c>
      <c r="B1498" s="15">
        <v>43971</v>
      </c>
      <c r="C1498" t="str">
        <f>TEXT(Table1[[#This Row],[Order Date]], "yyyy")</f>
        <v>2020</v>
      </c>
      <c r="D1498" t="str">
        <f>TEXT(Table1[[#This Row],[Order Date]], "mmmm")</f>
        <v>May</v>
      </c>
      <c r="E1498" s="16">
        <f>Table1[[#This Row],[Order Quantity]]*Table1[[#This Row],[Unit Price]]</f>
        <v>23722.920000000002</v>
      </c>
      <c r="F1498">
        <v>36</v>
      </c>
      <c r="G1498" s="16">
        <v>658.97</v>
      </c>
      <c r="H1498" t="s">
        <v>464</v>
      </c>
      <c r="I1498" t="s">
        <v>954</v>
      </c>
      <c r="J1498" t="s">
        <v>23</v>
      </c>
      <c r="K1498" t="s">
        <v>17</v>
      </c>
    </row>
    <row r="1499" spans="1:11" x14ac:dyDescent="0.45">
      <c r="A1499">
        <v>7693</v>
      </c>
      <c r="B1499" s="15">
        <v>43938</v>
      </c>
      <c r="C1499" t="str">
        <f>TEXT(Table1[[#This Row],[Order Date]], "yyyy")</f>
        <v>2020</v>
      </c>
      <c r="D1499" t="str">
        <f>TEXT(Table1[[#This Row],[Order Date]], "mmmm")</f>
        <v>April</v>
      </c>
      <c r="E1499" s="16">
        <f>Table1[[#This Row],[Order Quantity]]*Table1[[#This Row],[Unit Price]]</f>
        <v>2773.8</v>
      </c>
      <c r="F1499">
        <v>2</v>
      </c>
      <c r="G1499" s="16">
        <v>1386.9</v>
      </c>
      <c r="H1499" t="s">
        <v>8</v>
      </c>
      <c r="I1499" t="s">
        <v>955</v>
      </c>
      <c r="J1499" t="s">
        <v>23</v>
      </c>
      <c r="K1499" t="s">
        <v>11</v>
      </c>
    </row>
    <row r="1500" spans="1:11" x14ac:dyDescent="0.45">
      <c r="A1500">
        <v>7694</v>
      </c>
      <c r="B1500" s="15">
        <v>44200</v>
      </c>
      <c r="C1500" t="str">
        <f>TEXT(Table1[[#This Row],[Order Date]], "yyyy")</f>
        <v>2021</v>
      </c>
      <c r="D1500" t="str">
        <f>TEXT(Table1[[#This Row],[Order Date]], "mmmm")</f>
        <v>January</v>
      </c>
      <c r="E1500" s="16">
        <f>Table1[[#This Row],[Order Quantity]]*Table1[[#This Row],[Unit Price]]</f>
        <v>38165.599999999999</v>
      </c>
      <c r="F1500">
        <v>88</v>
      </c>
      <c r="G1500" s="16">
        <v>433.7</v>
      </c>
      <c r="H1500" t="s">
        <v>8</v>
      </c>
      <c r="I1500" t="s">
        <v>956</v>
      </c>
      <c r="J1500" t="s">
        <v>23</v>
      </c>
      <c r="K1500" t="s">
        <v>11</v>
      </c>
    </row>
    <row r="1501" spans="1:11" x14ac:dyDescent="0.45">
      <c r="A1501">
        <v>7695</v>
      </c>
      <c r="B1501" s="15">
        <v>43967</v>
      </c>
      <c r="C1501" t="str">
        <f>TEXT(Table1[[#This Row],[Order Date]], "yyyy")</f>
        <v>2020</v>
      </c>
      <c r="D1501" t="str">
        <f>TEXT(Table1[[#This Row],[Order Date]], "mmmm")</f>
        <v>May</v>
      </c>
      <c r="E1501" s="16">
        <f>Table1[[#This Row],[Order Quantity]]*Table1[[#This Row],[Unit Price]]</f>
        <v>54999.12</v>
      </c>
      <c r="F1501">
        <v>88</v>
      </c>
      <c r="G1501" s="16">
        <v>624.99</v>
      </c>
      <c r="H1501" t="s">
        <v>25</v>
      </c>
      <c r="I1501" t="s">
        <v>957</v>
      </c>
      <c r="J1501" t="s">
        <v>23</v>
      </c>
      <c r="K1501" t="s">
        <v>11</v>
      </c>
    </row>
    <row r="1502" spans="1:11" x14ac:dyDescent="0.45">
      <c r="A1502">
        <v>7696</v>
      </c>
      <c r="B1502" s="15">
        <v>44143</v>
      </c>
      <c r="C1502" t="str">
        <f>TEXT(Table1[[#This Row],[Order Date]], "yyyy")</f>
        <v>2020</v>
      </c>
      <c r="D1502" t="str">
        <f>TEXT(Table1[[#This Row],[Order Date]], "mmmm")</f>
        <v>November</v>
      </c>
      <c r="E1502" s="16">
        <f>Table1[[#This Row],[Order Quantity]]*Table1[[#This Row],[Unit Price]]</f>
        <v>26606.649999999998</v>
      </c>
      <c r="F1502">
        <v>19</v>
      </c>
      <c r="G1502" s="16">
        <v>1400.35</v>
      </c>
      <c r="H1502" t="s">
        <v>25</v>
      </c>
      <c r="I1502" t="s">
        <v>958</v>
      </c>
      <c r="J1502" t="s">
        <v>10</v>
      </c>
      <c r="K1502" t="s">
        <v>15</v>
      </c>
    </row>
    <row r="1503" spans="1:11" x14ac:dyDescent="0.45">
      <c r="A1503">
        <v>7697</v>
      </c>
      <c r="B1503" s="15">
        <v>43922</v>
      </c>
      <c r="C1503" t="str">
        <f>TEXT(Table1[[#This Row],[Order Date]], "yyyy")</f>
        <v>2020</v>
      </c>
      <c r="D1503" t="str">
        <f>TEXT(Table1[[#This Row],[Order Date]], "mmmm")</f>
        <v>April</v>
      </c>
      <c r="E1503" s="16">
        <f>Table1[[#This Row],[Order Quantity]]*Table1[[#This Row],[Unit Price]]</f>
        <v>6365.0399999999991</v>
      </c>
      <c r="F1503">
        <v>24</v>
      </c>
      <c r="G1503" s="16">
        <v>265.20999999999998</v>
      </c>
      <c r="H1503" t="s">
        <v>8</v>
      </c>
      <c r="I1503" t="s">
        <v>959</v>
      </c>
      <c r="J1503" t="s">
        <v>23</v>
      </c>
      <c r="K1503" t="s">
        <v>15</v>
      </c>
    </row>
    <row r="1504" spans="1:11" x14ac:dyDescent="0.45">
      <c r="A1504">
        <v>7698</v>
      </c>
      <c r="B1504" s="15">
        <v>44195</v>
      </c>
      <c r="C1504" t="str">
        <f>TEXT(Table1[[#This Row],[Order Date]], "yyyy")</f>
        <v>2020</v>
      </c>
      <c r="D1504" t="str">
        <f>TEXT(Table1[[#This Row],[Order Date]], "mmmm")</f>
        <v>December</v>
      </c>
      <c r="E1504" s="16">
        <f>Table1[[#This Row],[Order Quantity]]*Table1[[#This Row],[Unit Price]]</f>
        <v>67427.289999999994</v>
      </c>
      <c r="F1504">
        <v>79</v>
      </c>
      <c r="G1504" s="16">
        <v>853.51</v>
      </c>
      <c r="H1504" t="s">
        <v>464</v>
      </c>
      <c r="I1504" t="s">
        <v>960</v>
      </c>
      <c r="J1504" t="s">
        <v>20</v>
      </c>
      <c r="K1504" t="s">
        <v>11</v>
      </c>
    </row>
    <row r="1505" spans="1:11" x14ac:dyDescent="0.45">
      <c r="A1505">
        <v>7699</v>
      </c>
      <c r="B1505" s="15">
        <v>44088</v>
      </c>
      <c r="C1505" t="str">
        <f>TEXT(Table1[[#This Row],[Order Date]], "yyyy")</f>
        <v>2020</v>
      </c>
      <c r="D1505" t="str">
        <f>TEXT(Table1[[#This Row],[Order Date]], "mmmm")</f>
        <v>September</v>
      </c>
      <c r="E1505" s="16">
        <f>Table1[[#This Row],[Order Quantity]]*Table1[[#This Row],[Unit Price]]</f>
        <v>6133.6799999999994</v>
      </c>
      <c r="F1505">
        <v>21</v>
      </c>
      <c r="G1505" s="16">
        <v>292.08</v>
      </c>
      <c r="H1505" t="s">
        <v>464</v>
      </c>
      <c r="I1505" t="s">
        <v>961</v>
      </c>
      <c r="J1505" t="s">
        <v>20</v>
      </c>
      <c r="K1505" t="s">
        <v>17</v>
      </c>
    </row>
    <row r="1506" spans="1:11" x14ac:dyDescent="0.45">
      <c r="A1506">
        <v>7700</v>
      </c>
      <c r="B1506" s="15">
        <v>43856</v>
      </c>
      <c r="C1506" t="str">
        <f>TEXT(Table1[[#This Row],[Order Date]], "yyyy")</f>
        <v>2020</v>
      </c>
      <c r="D1506" t="str">
        <f>TEXT(Table1[[#This Row],[Order Date]], "mmmm")</f>
        <v>January</v>
      </c>
      <c r="E1506" s="16">
        <f>Table1[[#This Row],[Order Quantity]]*Table1[[#This Row],[Unit Price]]</f>
        <v>59477.109999999993</v>
      </c>
      <c r="F1506">
        <v>77</v>
      </c>
      <c r="G1506" s="16">
        <v>772.43</v>
      </c>
      <c r="H1506" t="s">
        <v>25</v>
      </c>
      <c r="I1506" t="s">
        <v>962</v>
      </c>
      <c r="J1506" t="s">
        <v>23</v>
      </c>
      <c r="K1506" t="s">
        <v>11</v>
      </c>
    </row>
    <row r="1507" spans="1:11" x14ac:dyDescent="0.45">
      <c r="A1507">
        <v>7701</v>
      </c>
      <c r="B1507" s="15">
        <v>44194</v>
      </c>
      <c r="C1507" t="str">
        <f>TEXT(Table1[[#This Row],[Order Date]], "yyyy")</f>
        <v>2020</v>
      </c>
      <c r="D1507" t="str">
        <f>TEXT(Table1[[#This Row],[Order Date]], "mmmm")</f>
        <v>December</v>
      </c>
      <c r="E1507" s="16">
        <f>Table1[[#This Row],[Order Quantity]]*Table1[[#This Row],[Unit Price]]</f>
        <v>19293</v>
      </c>
      <c r="F1507">
        <v>20</v>
      </c>
      <c r="G1507" s="16">
        <v>964.65</v>
      </c>
      <c r="H1507" t="s">
        <v>464</v>
      </c>
      <c r="I1507" t="s">
        <v>963</v>
      </c>
      <c r="J1507" t="s">
        <v>23</v>
      </c>
      <c r="K1507" t="s">
        <v>11</v>
      </c>
    </row>
    <row r="1508" spans="1:11" x14ac:dyDescent="0.45">
      <c r="A1508">
        <v>7702</v>
      </c>
      <c r="B1508" s="15">
        <v>44131</v>
      </c>
      <c r="C1508" t="str">
        <f>TEXT(Table1[[#This Row],[Order Date]], "yyyy")</f>
        <v>2020</v>
      </c>
      <c r="D1508" t="str">
        <f>TEXT(Table1[[#This Row],[Order Date]], "mmmm")</f>
        <v>October</v>
      </c>
      <c r="E1508" s="16">
        <f>Table1[[#This Row],[Order Quantity]]*Table1[[#This Row],[Unit Price]]</f>
        <v>51485.759999999995</v>
      </c>
      <c r="F1508">
        <v>96</v>
      </c>
      <c r="G1508" s="16">
        <v>536.30999999999995</v>
      </c>
      <c r="H1508" t="s">
        <v>8</v>
      </c>
      <c r="I1508" t="s">
        <v>964</v>
      </c>
      <c r="J1508" t="s">
        <v>20</v>
      </c>
      <c r="K1508" t="s">
        <v>11</v>
      </c>
    </row>
    <row r="1509" spans="1:11" x14ac:dyDescent="0.45">
      <c r="A1509">
        <v>7703</v>
      </c>
      <c r="B1509" s="15">
        <v>44152</v>
      </c>
      <c r="C1509" t="str">
        <f>TEXT(Table1[[#This Row],[Order Date]], "yyyy")</f>
        <v>2020</v>
      </c>
      <c r="D1509" t="str">
        <f>TEXT(Table1[[#This Row],[Order Date]], "mmmm")</f>
        <v>November</v>
      </c>
      <c r="E1509" s="16">
        <f>Table1[[#This Row],[Order Quantity]]*Table1[[#This Row],[Unit Price]]</f>
        <v>76507.11</v>
      </c>
      <c r="F1509">
        <v>57</v>
      </c>
      <c r="G1509" s="16">
        <v>1342.23</v>
      </c>
      <c r="H1509" t="s">
        <v>464</v>
      </c>
      <c r="I1509" t="s">
        <v>965</v>
      </c>
      <c r="J1509" t="s">
        <v>20</v>
      </c>
      <c r="K1509" t="s">
        <v>11</v>
      </c>
    </row>
    <row r="1510" spans="1:11" x14ac:dyDescent="0.45">
      <c r="A1510">
        <v>7704</v>
      </c>
      <c r="B1510" s="15">
        <v>44191</v>
      </c>
      <c r="C1510" t="str">
        <f>TEXT(Table1[[#This Row],[Order Date]], "yyyy")</f>
        <v>2020</v>
      </c>
      <c r="D1510" t="str">
        <f>TEXT(Table1[[#This Row],[Order Date]], "mmmm")</f>
        <v>December</v>
      </c>
      <c r="E1510" s="16">
        <f>Table1[[#This Row],[Order Quantity]]*Table1[[#This Row],[Unit Price]]</f>
        <v>43874.19</v>
      </c>
      <c r="F1510">
        <v>43</v>
      </c>
      <c r="G1510" s="16">
        <v>1020.33</v>
      </c>
      <c r="H1510" t="s">
        <v>25</v>
      </c>
      <c r="I1510" t="s">
        <v>966</v>
      </c>
      <c r="J1510" t="s">
        <v>23</v>
      </c>
      <c r="K1510" t="s">
        <v>17</v>
      </c>
    </row>
    <row r="1511" spans="1:11" x14ac:dyDescent="0.45">
      <c r="A1511">
        <v>7705</v>
      </c>
      <c r="B1511" s="15">
        <v>43944</v>
      </c>
      <c r="C1511" t="str">
        <f>TEXT(Table1[[#This Row],[Order Date]], "yyyy")</f>
        <v>2020</v>
      </c>
      <c r="D1511" t="str">
        <f>TEXT(Table1[[#This Row],[Order Date]], "mmmm")</f>
        <v>April</v>
      </c>
      <c r="E1511" s="16">
        <f>Table1[[#This Row],[Order Quantity]]*Table1[[#This Row],[Unit Price]]</f>
        <v>47111.34</v>
      </c>
      <c r="F1511">
        <v>71</v>
      </c>
      <c r="G1511" s="16">
        <v>663.54</v>
      </c>
      <c r="H1511" t="s">
        <v>464</v>
      </c>
      <c r="I1511" t="s">
        <v>967</v>
      </c>
      <c r="J1511" t="s">
        <v>13</v>
      </c>
      <c r="K1511" t="s">
        <v>11</v>
      </c>
    </row>
    <row r="1512" spans="1:11" x14ac:dyDescent="0.45">
      <c r="A1512">
        <v>7706</v>
      </c>
      <c r="B1512" s="15">
        <v>43866</v>
      </c>
      <c r="C1512" t="str">
        <f>TEXT(Table1[[#This Row],[Order Date]], "yyyy")</f>
        <v>2020</v>
      </c>
      <c r="D1512" t="str">
        <f>TEXT(Table1[[#This Row],[Order Date]], "mmmm")</f>
        <v>February</v>
      </c>
      <c r="E1512" s="16">
        <f>Table1[[#This Row],[Order Quantity]]*Table1[[#This Row],[Unit Price]]</f>
        <v>52639.360000000001</v>
      </c>
      <c r="F1512">
        <v>64</v>
      </c>
      <c r="G1512" s="16">
        <v>822.49</v>
      </c>
      <c r="H1512" t="s">
        <v>25</v>
      </c>
      <c r="I1512" t="s">
        <v>968</v>
      </c>
      <c r="J1512" t="s">
        <v>13</v>
      </c>
      <c r="K1512" t="s">
        <v>15</v>
      </c>
    </row>
    <row r="1513" spans="1:11" x14ac:dyDescent="0.45">
      <c r="A1513">
        <v>7707</v>
      </c>
      <c r="B1513" s="15">
        <v>44073</v>
      </c>
      <c r="C1513" t="str">
        <f>TEXT(Table1[[#This Row],[Order Date]], "yyyy")</f>
        <v>2020</v>
      </c>
      <c r="D1513" t="str">
        <f>TEXT(Table1[[#This Row],[Order Date]], "mmmm")</f>
        <v>August</v>
      </c>
      <c r="E1513" s="16">
        <f>Table1[[#This Row],[Order Quantity]]*Table1[[#This Row],[Unit Price]]</f>
        <v>43679.95</v>
      </c>
      <c r="F1513">
        <v>53</v>
      </c>
      <c r="G1513" s="16">
        <v>824.15</v>
      </c>
      <c r="H1513" t="s">
        <v>464</v>
      </c>
      <c r="I1513" t="s">
        <v>969</v>
      </c>
      <c r="J1513" t="s">
        <v>10</v>
      </c>
      <c r="K1513" t="s">
        <v>15</v>
      </c>
    </row>
    <row r="1514" spans="1:11" x14ac:dyDescent="0.45">
      <c r="A1514">
        <v>7708</v>
      </c>
      <c r="B1514" s="15">
        <v>44190</v>
      </c>
      <c r="C1514" t="str">
        <f>TEXT(Table1[[#This Row],[Order Date]], "yyyy")</f>
        <v>2020</v>
      </c>
      <c r="D1514" t="str">
        <f>TEXT(Table1[[#This Row],[Order Date]], "mmmm")</f>
        <v>December</v>
      </c>
      <c r="E1514" s="16">
        <f>Table1[[#This Row],[Order Quantity]]*Table1[[#This Row],[Unit Price]]</f>
        <v>66289.919999999998</v>
      </c>
      <c r="F1514">
        <v>96</v>
      </c>
      <c r="G1514" s="16">
        <v>690.52</v>
      </c>
      <c r="H1514" t="s">
        <v>25</v>
      </c>
      <c r="I1514" t="s">
        <v>970</v>
      </c>
      <c r="J1514" t="s">
        <v>10</v>
      </c>
      <c r="K1514" t="s">
        <v>17</v>
      </c>
    </row>
    <row r="1515" spans="1:11" x14ac:dyDescent="0.45">
      <c r="A1515">
        <v>7709</v>
      </c>
      <c r="B1515" s="15">
        <v>44135</v>
      </c>
      <c r="C1515" t="str">
        <f>TEXT(Table1[[#This Row],[Order Date]], "yyyy")</f>
        <v>2020</v>
      </c>
      <c r="D1515" t="str">
        <f>TEXT(Table1[[#This Row],[Order Date]], "mmmm")</f>
        <v>October</v>
      </c>
      <c r="E1515" s="16">
        <f>Table1[[#This Row],[Order Quantity]]*Table1[[#This Row],[Unit Price]]</f>
        <v>17929.68</v>
      </c>
      <c r="F1515">
        <v>12</v>
      </c>
      <c r="G1515" s="16">
        <v>1494.14</v>
      </c>
      <c r="H1515" t="s">
        <v>25</v>
      </c>
      <c r="I1515" t="s">
        <v>971</v>
      </c>
      <c r="J1515" t="s">
        <v>23</v>
      </c>
      <c r="K1515" t="s">
        <v>11</v>
      </c>
    </row>
    <row r="1516" spans="1:11" x14ac:dyDescent="0.45">
      <c r="A1516">
        <v>7710</v>
      </c>
      <c r="B1516" s="15">
        <v>44068</v>
      </c>
      <c r="C1516" t="str">
        <f>TEXT(Table1[[#This Row],[Order Date]], "yyyy")</f>
        <v>2020</v>
      </c>
      <c r="D1516" t="str">
        <f>TEXT(Table1[[#This Row],[Order Date]], "mmmm")</f>
        <v>August</v>
      </c>
      <c r="E1516" s="16">
        <f>Table1[[#This Row],[Order Quantity]]*Table1[[#This Row],[Unit Price]]</f>
        <v>33753.51</v>
      </c>
      <c r="F1516">
        <v>27</v>
      </c>
      <c r="G1516" s="16">
        <v>1250.1300000000001</v>
      </c>
      <c r="H1516" t="s">
        <v>8</v>
      </c>
      <c r="I1516" t="s">
        <v>972</v>
      </c>
      <c r="J1516" t="s">
        <v>13</v>
      </c>
      <c r="K1516" t="s">
        <v>15</v>
      </c>
    </row>
    <row r="1517" spans="1:11" x14ac:dyDescent="0.45">
      <c r="A1517">
        <v>7711</v>
      </c>
      <c r="B1517" s="15">
        <v>43948</v>
      </c>
      <c r="C1517" t="str">
        <f>TEXT(Table1[[#This Row],[Order Date]], "yyyy")</f>
        <v>2020</v>
      </c>
      <c r="D1517" t="str">
        <f>TEXT(Table1[[#This Row],[Order Date]], "mmmm")</f>
        <v>April</v>
      </c>
      <c r="E1517" s="16">
        <f>Table1[[#This Row],[Order Quantity]]*Table1[[#This Row],[Unit Price]]</f>
        <v>41958</v>
      </c>
      <c r="F1517">
        <v>40</v>
      </c>
      <c r="G1517" s="16">
        <v>1048.95</v>
      </c>
      <c r="H1517" t="s">
        <v>25</v>
      </c>
      <c r="I1517" t="s">
        <v>973</v>
      </c>
      <c r="J1517" t="s">
        <v>10</v>
      </c>
      <c r="K1517" t="s">
        <v>15</v>
      </c>
    </row>
    <row r="1518" spans="1:11" x14ac:dyDescent="0.45">
      <c r="A1518">
        <v>7712</v>
      </c>
      <c r="B1518" s="15">
        <v>44171</v>
      </c>
      <c r="C1518" t="str">
        <f>TEXT(Table1[[#This Row],[Order Date]], "yyyy")</f>
        <v>2020</v>
      </c>
      <c r="D1518" t="str">
        <f>TEXT(Table1[[#This Row],[Order Date]], "mmmm")</f>
        <v>December</v>
      </c>
      <c r="E1518" s="16">
        <f>Table1[[#This Row],[Order Quantity]]*Table1[[#This Row],[Unit Price]]</f>
        <v>22980.15</v>
      </c>
      <c r="F1518">
        <v>45</v>
      </c>
      <c r="G1518" s="16">
        <v>510.67</v>
      </c>
      <c r="H1518" t="s">
        <v>25</v>
      </c>
      <c r="I1518" t="s">
        <v>974</v>
      </c>
      <c r="J1518" t="s">
        <v>13</v>
      </c>
      <c r="K1518" t="s">
        <v>11</v>
      </c>
    </row>
    <row r="1519" spans="1:11" x14ac:dyDescent="0.45">
      <c r="A1519">
        <v>7713</v>
      </c>
      <c r="B1519" s="15">
        <v>43963</v>
      </c>
      <c r="C1519" t="str">
        <f>TEXT(Table1[[#This Row],[Order Date]], "yyyy")</f>
        <v>2020</v>
      </c>
      <c r="D1519" t="str">
        <f>TEXT(Table1[[#This Row],[Order Date]], "mmmm")</f>
        <v>May</v>
      </c>
      <c r="E1519" s="16">
        <f>Table1[[#This Row],[Order Quantity]]*Table1[[#This Row],[Unit Price]]</f>
        <v>83558.28</v>
      </c>
      <c r="F1519">
        <v>78</v>
      </c>
      <c r="G1519" s="16">
        <v>1071.26</v>
      </c>
      <c r="H1519" t="s">
        <v>464</v>
      </c>
      <c r="I1519" t="s">
        <v>975</v>
      </c>
      <c r="J1519" t="s">
        <v>10</v>
      </c>
      <c r="K1519" t="s">
        <v>11</v>
      </c>
    </row>
    <row r="1520" spans="1:11" x14ac:dyDescent="0.45">
      <c r="A1520">
        <v>7714</v>
      </c>
      <c r="B1520" s="15">
        <v>43989</v>
      </c>
      <c r="C1520" t="str">
        <f>TEXT(Table1[[#This Row],[Order Date]], "yyyy")</f>
        <v>2020</v>
      </c>
      <c r="D1520" t="str">
        <f>TEXT(Table1[[#This Row],[Order Date]], "mmmm")</f>
        <v>June</v>
      </c>
      <c r="E1520" s="16">
        <f>Table1[[#This Row],[Order Quantity]]*Table1[[#This Row],[Unit Price]]</f>
        <v>72115.62000000001</v>
      </c>
      <c r="F1520">
        <v>97</v>
      </c>
      <c r="G1520" s="16">
        <v>743.46</v>
      </c>
      <c r="H1520" t="s">
        <v>25</v>
      </c>
      <c r="I1520" t="s">
        <v>976</v>
      </c>
      <c r="J1520" t="s">
        <v>13</v>
      </c>
      <c r="K1520" t="s">
        <v>15</v>
      </c>
    </row>
    <row r="1521" spans="1:11" x14ac:dyDescent="0.45">
      <c r="A1521">
        <v>7715</v>
      </c>
      <c r="B1521" s="15">
        <v>44016</v>
      </c>
      <c r="C1521" t="str">
        <f>TEXT(Table1[[#This Row],[Order Date]], "yyyy")</f>
        <v>2020</v>
      </c>
      <c r="D1521" t="str">
        <f>TEXT(Table1[[#This Row],[Order Date]], "mmmm")</f>
        <v>July</v>
      </c>
      <c r="E1521" s="16">
        <f>Table1[[#This Row],[Order Quantity]]*Table1[[#This Row],[Unit Price]]</f>
        <v>63123.14</v>
      </c>
      <c r="F1521">
        <v>58</v>
      </c>
      <c r="G1521" s="16">
        <v>1088.33</v>
      </c>
      <c r="H1521" t="s">
        <v>25</v>
      </c>
      <c r="I1521" t="s">
        <v>977</v>
      </c>
      <c r="J1521" t="s">
        <v>20</v>
      </c>
      <c r="K1521" t="s">
        <v>11</v>
      </c>
    </row>
    <row r="1522" spans="1:11" x14ac:dyDescent="0.45">
      <c r="A1522">
        <v>7716</v>
      </c>
      <c r="B1522" s="15">
        <v>44049</v>
      </c>
      <c r="C1522" t="str">
        <f>TEXT(Table1[[#This Row],[Order Date]], "yyyy")</f>
        <v>2020</v>
      </c>
      <c r="D1522" t="str">
        <f>TEXT(Table1[[#This Row],[Order Date]], "mmmm")</f>
        <v>August</v>
      </c>
      <c r="E1522" s="16">
        <f>Table1[[#This Row],[Order Quantity]]*Table1[[#This Row],[Unit Price]]</f>
        <v>31269.84</v>
      </c>
      <c r="F1522">
        <v>21</v>
      </c>
      <c r="G1522" s="16">
        <v>1489.04</v>
      </c>
      <c r="H1522" t="s">
        <v>8</v>
      </c>
      <c r="I1522" t="s">
        <v>978</v>
      </c>
      <c r="J1522" t="s">
        <v>23</v>
      </c>
      <c r="K1522" t="s">
        <v>17</v>
      </c>
    </row>
    <row r="1523" spans="1:11" x14ac:dyDescent="0.45">
      <c r="A1523">
        <v>7717</v>
      </c>
      <c r="B1523" s="15">
        <v>43909</v>
      </c>
      <c r="C1523" t="str">
        <f>TEXT(Table1[[#This Row],[Order Date]], "yyyy")</f>
        <v>2020</v>
      </c>
      <c r="D1523" t="str">
        <f>TEXT(Table1[[#This Row],[Order Date]], "mmmm")</f>
        <v>March</v>
      </c>
      <c r="E1523" s="16">
        <f>Table1[[#This Row],[Order Quantity]]*Table1[[#This Row],[Unit Price]]</f>
        <v>42406.12</v>
      </c>
      <c r="F1523">
        <v>29</v>
      </c>
      <c r="G1523" s="16">
        <v>1462.28</v>
      </c>
      <c r="H1523" t="s">
        <v>25</v>
      </c>
      <c r="I1523" t="s">
        <v>979</v>
      </c>
      <c r="J1523" t="s">
        <v>13</v>
      </c>
      <c r="K1523" t="s">
        <v>11</v>
      </c>
    </row>
    <row r="1524" spans="1:11" x14ac:dyDescent="0.45">
      <c r="A1524">
        <v>7718</v>
      </c>
      <c r="B1524" s="15">
        <v>44181</v>
      </c>
      <c r="C1524" t="str">
        <f>TEXT(Table1[[#This Row],[Order Date]], "yyyy")</f>
        <v>2020</v>
      </c>
      <c r="D1524" t="str">
        <f>TEXT(Table1[[#This Row],[Order Date]], "mmmm")</f>
        <v>December</v>
      </c>
      <c r="E1524" s="16">
        <f>Table1[[#This Row],[Order Quantity]]*Table1[[#This Row],[Unit Price]]</f>
        <v>2030.8000000000002</v>
      </c>
      <c r="F1524">
        <v>10</v>
      </c>
      <c r="G1524" s="16">
        <v>203.08</v>
      </c>
      <c r="H1524" t="s">
        <v>8</v>
      </c>
      <c r="I1524" t="s">
        <v>980</v>
      </c>
      <c r="J1524" t="s">
        <v>10</v>
      </c>
      <c r="K1524" t="s">
        <v>17</v>
      </c>
    </row>
    <row r="1525" spans="1:11" x14ac:dyDescent="0.45">
      <c r="A1525">
        <v>7719</v>
      </c>
      <c r="B1525" s="15">
        <v>43991</v>
      </c>
      <c r="C1525" t="str">
        <f>TEXT(Table1[[#This Row],[Order Date]], "yyyy")</f>
        <v>2020</v>
      </c>
      <c r="D1525" t="str">
        <f>TEXT(Table1[[#This Row],[Order Date]], "mmmm")</f>
        <v>June</v>
      </c>
      <c r="E1525" s="16">
        <f>Table1[[#This Row],[Order Quantity]]*Table1[[#This Row],[Unit Price]]</f>
        <v>27421.199999999997</v>
      </c>
      <c r="F1525">
        <v>20</v>
      </c>
      <c r="G1525" s="16">
        <v>1371.06</v>
      </c>
      <c r="H1525" t="s">
        <v>8</v>
      </c>
      <c r="I1525" t="s">
        <v>981</v>
      </c>
      <c r="J1525" t="s">
        <v>23</v>
      </c>
      <c r="K1525" t="s">
        <v>15</v>
      </c>
    </row>
    <row r="1526" spans="1:11" x14ac:dyDescent="0.45">
      <c r="A1526">
        <v>7720</v>
      </c>
      <c r="B1526" s="15">
        <v>44127</v>
      </c>
      <c r="C1526" t="str">
        <f>TEXT(Table1[[#This Row],[Order Date]], "yyyy")</f>
        <v>2020</v>
      </c>
      <c r="D1526" t="str">
        <f>TEXT(Table1[[#This Row],[Order Date]], "mmmm")</f>
        <v>October</v>
      </c>
      <c r="E1526" s="16">
        <f>Table1[[#This Row],[Order Quantity]]*Table1[[#This Row],[Unit Price]]</f>
        <v>3667.92</v>
      </c>
      <c r="F1526">
        <v>6</v>
      </c>
      <c r="G1526" s="16">
        <v>611.32000000000005</v>
      </c>
      <c r="H1526" t="s">
        <v>25</v>
      </c>
      <c r="I1526" t="s">
        <v>982</v>
      </c>
      <c r="J1526" t="s">
        <v>10</v>
      </c>
      <c r="K1526" t="s">
        <v>11</v>
      </c>
    </row>
    <row r="1527" spans="1:11" x14ac:dyDescent="0.45">
      <c r="A1527">
        <v>7721</v>
      </c>
      <c r="B1527" s="15">
        <v>44008</v>
      </c>
      <c r="C1527" t="str">
        <f>TEXT(Table1[[#This Row],[Order Date]], "yyyy")</f>
        <v>2020</v>
      </c>
      <c r="D1527" t="str">
        <f>TEXT(Table1[[#This Row],[Order Date]], "mmmm")</f>
        <v>June</v>
      </c>
      <c r="E1527" s="16">
        <f>Table1[[#This Row],[Order Quantity]]*Table1[[#This Row],[Unit Price]]</f>
        <v>12507.3</v>
      </c>
      <c r="F1527">
        <v>39</v>
      </c>
      <c r="G1527" s="16">
        <v>320.7</v>
      </c>
      <c r="H1527" t="s">
        <v>25</v>
      </c>
      <c r="I1527" t="s">
        <v>983</v>
      </c>
      <c r="J1527" t="s">
        <v>20</v>
      </c>
      <c r="K1527" t="s">
        <v>11</v>
      </c>
    </row>
    <row r="1528" spans="1:11" x14ac:dyDescent="0.45">
      <c r="A1528">
        <v>7722</v>
      </c>
      <c r="B1528" s="15">
        <v>44179</v>
      </c>
      <c r="C1528" t="str">
        <f>TEXT(Table1[[#This Row],[Order Date]], "yyyy")</f>
        <v>2020</v>
      </c>
      <c r="D1528" t="str">
        <f>TEXT(Table1[[#This Row],[Order Date]], "mmmm")</f>
        <v>December</v>
      </c>
      <c r="E1528" s="16">
        <f>Table1[[#This Row],[Order Quantity]]*Table1[[#This Row],[Unit Price]]</f>
        <v>6116.18</v>
      </c>
      <c r="F1528">
        <v>14</v>
      </c>
      <c r="G1528" s="16">
        <v>436.87</v>
      </c>
      <c r="H1528" t="s">
        <v>464</v>
      </c>
      <c r="I1528" t="s">
        <v>984</v>
      </c>
      <c r="J1528" t="s">
        <v>20</v>
      </c>
      <c r="K1528" t="s">
        <v>11</v>
      </c>
    </row>
    <row r="1529" spans="1:11" x14ac:dyDescent="0.45">
      <c r="A1529">
        <v>7723</v>
      </c>
      <c r="B1529" s="15">
        <v>43885</v>
      </c>
      <c r="C1529" t="str">
        <f>TEXT(Table1[[#This Row],[Order Date]], "yyyy")</f>
        <v>2020</v>
      </c>
      <c r="D1529" t="str">
        <f>TEXT(Table1[[#This Row],[Order Date]], "mmmm")</f>
        <v>February</v>
      </c>
      <c r="E1529" s="16">
        <f>Table1[[#This Row],[Order Quantity]]*Table1[[#This Row],[Unit Price]]</f>
        <v>59371.65</v>
      </c>
      <c r="F1529">
        <v>51</v>
      </c>
      <c r="G1529" s="16">
        <v>1164.1500000000001</v>
      </c>
      <c r="H1529" t="s">
        <v>464</v>
      </c>
      <c r="I1529" t="s">
        <v>985</v>
      </c>
      <c r="J1529" t="s">
        <v>23</v>
      </c>
      <c r="K1529" t="s">
        <v>11</v>
      </c>
    </row>
    <row r="1530" spans="1:11" x14ac:dyDescent="0.45">
      <c r="A1530">
        <v>7724</v>
      </c>
      <c r="B1530" s="15">
        <v>44080</v>
      </c>
      <c r="C1530" t="str">
        <f>TEXT(Table1[[#This Row],[Order Date]], "yyyy")</f>
        <v>2020</v>
      </c>
      <c r="D1530" t="str">
        <f>TEXT(Table1[[#This Row],[Order Date]], "mmmm")</f>
        <v>September</v>
      </c>
      <c r="E1530" s="16">
        <f>Table1[[#This Row],[Order Quantity]]*Table1[[#This Row],[Unit Price]]</f>
        <v>70161.03</v>
      </c>
      <c r="F1530">
        <v>59</v>
      </c>
      <c r="G1530" s="16">
        <v>1189.17</v>
      </c>
      <c r="H1530" t="s">
        <v>8</v>
      </c>
      <c r="I1530" t="s">
        <v>986</v>
      </c>
      <c r="J1530" t="s">
        <v>23</v>
      </c>
      <c r="K1530" t="s">
        <v>11</v>
      </c>
    </row>
    <row r="1531" spans="1:11" x14ac:dyDescent="0.45">
      <c r="A1531">
        <v>7725</v>
      </c>
      <c r="B1531" s="15">
        <v>44040</v>
      </c>
      <c r="C1531" t="str">
        <f>TEXT(Table1[[#This Row],[Order Date]], "yyyy")</f>
        <v>2020</v>
      </c>
      <c r="D1531" t="str">
        <f>TEXT(Table1[[#This Row],[Order Date]], "mmmm")</f>
        <v>July</v>
      </c>
      <c r="E1531" s="16">
        <f>Table1[[#This Row],[Order Quantity]]*Table1[[#This Row],[Unit Price]]</f>
        <v>24340.05</v>
      </c>
      <c r="F1531">
        <v>35</v>
      </c>
      <c r="G1531" s="16">
        <v>695.43</v>
      </c>
      <c r="H1531" t="s">
        <v>8</v>
      </c>
      <c r="I1531" t="s">
        <v>987</v>
      </c>
      <c r="J1531" t="s">
        <v>20</v>
      </c>
      <c r="K1531" t="s">
        <v>17</v>
      </c>
    </row>
    <row r="1532" spans="1:11" x14ac:dyDescent="0.45">
      <c r="A1532">
        <v>7726</v>
      </c>
      <c r="B1532" s="15">
        <v>43868</v>
      </c>
      <c r="C1532" t="str">
        <f>TEXT(Table1[[#This Row],[Order Date]], "yyyy")</f>
        <v>2020</v>
      </c>
      <c r="D1532" t="str">
        <f>TEXT(Table1[[#This Row],[Order Date]], "mmmm")</f>
        <v>February</v>
      </c>
      <c r="E1532" s="16">
        <f>Table1[[#This Row],[Order Quantity]]*Table1[[#This Row],[Unit Price]]</f>
        <v>46842.71</v>
      </c>
      <c r="F1532">
        <v>83</v>
      </c>
      <c r="G1532" s="16">
        <v>564.37</v>
      </c>
      <c r="H1532" t="s">
        <v>464</v>
      </c>
      <c r="I1532" t="s">
        <v>988</v>
      </c>
      <c r="J1532" t="s">
        <v>10</v>
      </c>
      <c r="K1532" t="s">
        <v>17</v>
      </c>
    </row>
    <row r="1533" spans="1:11" x14ac:dyDescent="0.45">
      <c r="A1533">
        <v>7727</v>
      </c>
      <c r="B1533" s="15">
        <v>44083</v>
      </c>
      <c r="C1533" t="str">
        <f>TEXT(Table1[[#This Row],[Order Date]], "yyyy")</f>
        <v>2020</v>
      </c>
      <c r="D1533" t="str">
        <f>TEXT(Table1[[#This Row],[Order Date]], "mmmm")</f>
        <v>September</v>
      </c>
      <c r="E1533" s="16">
        <f>Table1[[#This Row],[Order Quantity]]*Table1[[#This Row],[Unit Price]]</f>
        <v>53766.87</v>
      </c>
      <c r="F1533">
        <v>87</v>
      </c>
      <c r="G1533" s="16">
        <v>618.01</v>
      </c>
      <c r="H1533" t="s">
        <v>464</v>
      </c>
      <c r="I1533" t="s">
        <v>989</v>
      </c>
      <c r="J1533" t="s">
        <v>23</v>
      </c>
      <c r="K1533" t="s">
        <v>17</v>
      </c>
    </row>
    <row r="1534" spans="1:11" x14ac:dyDescent="0.45">
      <c r="A1534">
        <v>7728</v>
      </c>
      <c r="B1534" s="15">
        <v>44116</v>
      </c>
      <c r="C1534" t="str">
        <f>TEXT(Table1[[#This Row],[Order Date]], "yyyy")</f>
        <v>2020</v>
      </c>
      <c r="D1534" t="str">
        <f>TEXT(Table1[[#This Row],[Order Date]], "mmmm")</f>
        <v>October</v>
      </c>
      <c r="E1534" s="16">
        <f>Table1[[#This Row],[Order Quantity]]*Table1[[#This Row],[Unit Price]]</f>
        <v>11925.480000000001</v>
      </c>
      <c r="F1534">
        <v>28</v>
      </c>
      <c r="G1534" s="16">
        <v>425.91</v>
      </c>
      <c r="H1534" t="s">
        <v>8</v>
      </c>
      <c r="I1534" t="s">
        <v>990</v>
      </c>
      <c r="J1534" t="s">
        <v>10</v>
      </c>
      <c r="K1534" t="s">
        <v>11</v>
      </c>
    </row>
    <row r="1535" spans="1:11" x14ac:dyDescent="0.45">
      <c r="A1535">
        <v>7729</v>
      </c>
      <c r="B1535" s="15">
        <v>44008</v>
      </c>
      <c r="C1535" t="str">
        <f>TEXT(Table1[[#This Row],[Order Date]], "yyyy")</f>
        <v>2020</v>
      </c>
      <c r="D1535" t="str">
        <f>TEXT(Table1[[#This Row],[Order Date]], "mmmm")</f>
        <v>June</v>
      </c>
      <c r="E1535" s="16">
        <f>Table1[[#This Row],[Order Quantity]]*Table1[[#This Row],[Unit Price]]</f>
        <v>87352.44</v>
      </c>
      <c r="F1535">
        <v>84</v>
      </c>
      <c r="G1535" s="16">
        <v>1039.9100000000001</v>
      </c>
      <c r="H1535" t="s">
        <v>8</v>
      </c>
      <c r="I1535" t="s">
        <v>991</v>
      </c>
      <c r="J1535" t="s">
        <v>23</v>
      </c>
      <c r="K1535" t="s">
        <v>11</v>
      </c>
    </row>
    <row r="1536" spans="1:11" x14ac:dyDescent="0.45">
      <c r="A1536">
        <v>7730</v>
      </c>
      <c r="B1536" s="15">
        <v>43857</v>
      </c>
      <c r="C1536" t="str">
        <f>TEXT(Table1[[#This Row],[Order Date]], "yyyy")</f>
        <v>2020</v>
      </c>
      <c r="D1536" t="str">
        <f>TEXT(Table1[[#This Row],[Order Date]], "mmmm")</f>
        <v>January</v>
      </c>
      <c r="E1536" s="16">
        <f>Table1[[#This Row],[Order Quantity]]*Table1[[#This Row],[Unit Price]]</f>
        <v>22112.32</v>
      </c>
      <c r="F1536">
        <v>32</v>
      </c>
      <c r="G1536" s="16">
        <v>691.01</v>
      </c>
      <c r="H1536" t="s">
        <v>8</v>
      </c>
      <c r="I1536" t="s">
        <v>992</v>
      </c>
      <c r="J1536" t="s">
        <v>13</v>
      </c>
      <c r="K1536" t="s">
        <v>17</v>
      </c>
    </row>
    <row r="1537" spans="1:11" x14ac:dyDescent="0.45">
      <c r="A1537">
        <v>7731</v>
      </c>
      <c r="B1537" s="15">
        <v>44107</v>
      </c>
      <c r="C1537" t="str">
        <f>TEXT(Table1[[#This Row],[Order Date]], "yyyy")</f>
        <v>2020</v>
      </c>
      <c r="D1537" t="str">
        <f>TEXT(Table1[[#This Row],[Order Date]], "mmmm")</f>
        <v>October</v>
      </c>
      <c r="E1537" s="16">
        <f>Table1[[#This Row],[Order Quantity]]*Table1[[#This Row],[Unit Price]]</f>
        <v>75115.95</v>
      </c>
      <c r="F1537">
        <v>91</v>
      </c>
      <c r="G1537" s="16">
        <v>825.45</v>
      </c>
      <c r="H1537" t="s">
        <v>8</v>
      </c>
      <c r="I1537" t="s">
        <v>993</v>
      </c>
      <c r="J1537" t="s">
        <v>23</v>
      </c>
      <c r="K1537" t="s">
        <v>15</v>
      </c>
    </row>
    <row r="1538" spans="1:11" x14ac:dyDescent="0.45">
      <c r="A1538">
        <v>7732</v>
      </c>
      <c r="B1538" s="15">
        <v>44064</v>
      </c>
      <c r="C1538" t="str">
        <f>TEXT(Table1[[#This Row],[Order Date]], "yyyy")</f>
        <v>2020</v>
      </c>
      <c r="D1538" t="str">
        <f>TEXT(Table1[[#This Row],[Order Date]], "mmmm")</f>
        <v>August</v>
      </c>
      <c r="E1538" s="16">
        <f>Table1[[#This Row],[Order Quantity]]*Table1[[#This Row],[Unit Price]]</f>
        <v>39673.17</v>
      </c>
      <c r="F1538">
        <v>47</v>
      </c>
      <c r="G1538" s="16">
        <v>844.11</v>
      </c>
      <c r="H1538" t="s">
        <v>25</v>
      </c>
      <c r="I1538" t="s">
        <v>994</v>
      </c>
      <c r="J1538" t="s">
        <v>23</v>
      </c>
      <c r="K1538" t="s">
        <v>15</v>
      </c>
    </row>
    <row r="1539" spans="1:11" x14ac:dyDescent="0.45">
      <c r="A1539">
        <v>7733</v>
      </c>
      <c r="B1539" s="15">
        <v>43975</v>
      </c>
      <c r="C1539" t="str">
        <f>TEXT(Table1[[#This Row],[Order Date]], "yyyy")</f>
        <v>2020</v>
      </c>
      <c r="D1539" t="str">
        <f>TEXT(Table1[[#This Row],[Order Date]], "mmmm")</f>
        <v>May</v>
      </c>
      <c r="E1539" s="16">
        <f>Table1[[#This Row],[Order Quantity]]*Table1[[#This Row],[Unit Price]]</f>
        <v>84127.2</v>
      </c>
      <c r="F1539">
        <v>80</v>
      </c>
      <c r="G1539" s="16">
        <v>1051.5899999999999</v>
      </c>
      <c r="H1539" t="s">
        <v>8</v>
      </c>
      <c r="I1539" t="s">
        <v>995</v>
      </c>
      <c r="J1539" t="s">
        <v>23</v>
      </c>
      <c r="K1539" t="s">
        <v>17</v>
      </c>
    </row>
    <row r="1540" spans="1:11" x14ac:dyDescent="0.45">
      <c r="A1540">
        <v>7734</v>
      </c>
      <c r="B1540" s="15">
        <v>43911</v>
      </c>
      <c r="C1540" t="str">
        <f>TEXT(Table1[[#This Row],[Order Date]], "yyyy")</f>
        <v>2020</v>
      </c>
      <c r="D1540" t="str">
        <f>TEXT(Table1[[#This Row],[Order Date]], "mmmm")</f>
        <v>March</v>
      </c>
      <c r="E1540" s="16">
        <f>Table1[[#This Row],[Order Quantity]]*Table1[[#This Row],[Unit Price]]</f>
        <v>11398.66</v>
      </c>
      <c r="F1540">
        <v>14</v>
      </c>
      <c r="G1540" s="16">
        <v>814.19</v>
      </c>
      <c r="H1540" t="s">
        <v>8</v>
      </c>
      <c r="I1540" t="s">
        <v>996</v>
      </c>
      <c r="J1540" t="s">
        <v>10</v>
      </c>
      <c r="K1540" t="s">
        <v>11</v>
      </c>
    </row>
    <row r="1541" spans="1:11" x14ac:dyDescent="0.45">
      <c r="A1541">
        <v>7735</v>
      </c>
      <c r="B1541" s="15">
        <v>44162</v>
      </c>
      <c r="C1541" t="str">
        <f>TEXT(Table1[[#This Row],[Order Date]], "yyyy")</f>
        <v>2020</v>
      </c>
      <c r="D1541" t="str">
        <f>TEXT(Table1[[#This Row],[Order Date]], "mmmm")</f>
        <v>November</v>
      </c>
      <c r="E1541" s="16">
        <f>Table1[[#This Row],[Order Quantity]]*Table1[[#This Row],[Unit Price]]</f>
        <v>55164.2</v>
      </c>
      <c r="F1541">
        <v>65</v>
      </c>
      <c r="G1541" s="16">
        <v>848.68</v>
      </c>
      <c r="H1541" t="s">
        <v>8</v>
      </c>
      <c r="I1541" t="s">
        <v>997</v>
      </c>
      <c r="J1541" t="s">
        <v>20</v>
      </c>
      <c r="K1541" t="s">
        <v>15</v>
      </c>
    </row>
    <row r="1542" spans="1:11" x14ac:dyDescent="0.45">
      <c r="A1542">
        <v>7736</v>
      </c>
      <c r="B1542" s="15">
        <v>44117</v>
      </c>
      <c r="C1542" t="str">
        <f>TEXT(Table1[[#This Row],[Order Date]], "yyyy")</f>
        <v>2020</v>
      </c>
      <c r="D1542" t="str">
        <f>TEXT(Table1[[#This Row],[Order Date]], "mmmm")</f>
        <v>October</v>
      </c>
      <c r="E1542" s="16">
        <f>Table1[[#This Row],[Order Quantity]]*Table1[[#This Row],[Unit Price]]</f>
        <v>4501.1400000000003</v>
      </c>
      <c r="F1542">
        <v>21</v>
      </c>
      <c r="G1542" s="16">
        <v>214.34</v>
      </c>
      <c r="H1542" t="s">
        <v>464</v>
      </c>
      <c r="I1542" t="s">
        <v>998</v>
      </c>
      <c r="J1542" t="s">
        <v>20</v>
      </c>
      <c r="K1542" t="s">
        <v>15</v>
      </c>
    </row>
    <row r="1543" spans="1:11" x14ac:dyDescent="0.45">
      <c r="A1543">
        <v>7737</v>
      </c>
      <c r="B1543" s="15">
        <v>44025</v>
      </c>
      <c r="C1543" t="str">
        <f>TEXT(Table1[[#This Row],[Order Date]], "yyyy")</f>
        <v>2020</v>
      </c>
      <c r="D1543" t="str">
        <f>TEXT(Table1[[#This Row],[Order Date]], "mmmm")</f>
        <v>July</v>
      </c>
      <c r="E1543" s="16">
        <f>Table1[[#This Row],[Order Quantity]]*Table1[[#This Row],[Unit Price]]</f>
        <v>10101.39</v>
      </c>
      <c r="F1543">
        <v>39</v>
      </c>
      <c r="G1543" s="16">
        <v>259.01</v>
      </c>
      <c r="H1543" t="s">
        <v>8</v>
      </c>
      <c r="I1543" t="s">
        <v>999</v>
      </c>
      <c r="J1543" t="s">
        <v>13</v>
      </c>
      <c r="K1543" t="s">
        <v>15</v>
      </c>
    </row>
    <row r="1544" spans="1:11" x14ac:dyDescent="0.45">
      <c r="A1544">
        <v>7738</v>
      </c>
      <c r="B1544" s="15">
        <v>43842</v>
      </c>
      <c r="C1544" t="str">
        <f>TEXT(Table1[[#This Row],[Order Date]], "yyyy")</f>
        <v>2020</v>
      </c>
      <c r="D1544" t="str">
        <f>TEXT(Table1[[#This Row],[Order Date]], "mmmm")</f>
        <v>January</v>
      </c>
      <c r="E1544" s="16">
        <f>Table1[[#This Row],[Order Quantity]]*Table1[[#This Row],[Unit Price]]</f>
        <v>127587.43999999999</v>
      </c>
      <c r="F1544">
        <v>92</v>
      </c>
      <c r="G1544" s="16">
        <v>1386.82</v>
      </c>
      <c r="H1544" t="s">
        <v>8</v>
      </c>
      <c r="I1544" t="s">
        <v>1000</v>
      </c>
      <c r="J1544" t="s">
        <v>10</v>
      </c>
      <c r="K1544" t="s">
        <v>17</v>
      </c>
    </row>
    <row r="1545" spans="1:11" x14ac:dyDescent="0.45">
      <c r="A1545">
        <v>7739</v>
      </c>
      <c r="B1545" s="15">
        <v>44035</v>
      </c>
      <c r="C1545" t="str">
        <f>TEXT(Table1[[#This Row],[Order Date]], "yyyy")</f>
        <v>2020</v>
      </c>
      <c r="D1545" t="str">
        <f>TEXT(Table1[[#This Row],[Order Date]], "mmmm")</f>
        <v>July</v>
      </c>
      <c r="E1545" s="16">
        <f>Table1[[#This Row],[Order Quantity]]*Table1[[#This Row],[Unit Price]]</f>
        <v>63875</v>
      </c>
      <c r="F1545">
        <v>73</v>
      </c>
      <c r="G1545" s="16">
        <v>875</v>
      </c>
      <c r="H1545" t="s">
        <v>25</v>
      </c>
      <c r="I1545" t="s">
        <v>1001</v>
      </c>
      <c r="J1545" t="s">
        <v>20</v>
      </c>
      <c r="K1545" t="s">
        <v>11</v>
      </c>
    </row>
    <row r="1546" spans="1:11" x14ac:dyDescent="0.45">
      <c r="A1546">
        <v>7740</v>
      </c>
      <c r="B1546" s="15">
        <v>44025</v>
      </c>
      <c r="C1546" t="str">
        <f>TEXT(Table1[[#This Row],[Order Date]], "yyyy")</f>
        <v>2020</v>
      </c>
      <c r="D1546" t="str">
        <f>TEXT(Table1[[#This Row],[Order Date]], "mmmm")</f>
        <v>July</v>
      </c>
      <c r="E1546" s="16">
        <f>Table1[[#This Row],[Order Quantity]]*Table1[[#This Row],[Unit Price]]</f>
        <v>38363.9</v>
      </c>
      <c r="F1546">
        <v>85</v>
      </c>
      <c r="G1546" s="16">
        <v>451.34</v>
      </c>
      <c r="H1546" t="s">
        <v>25</v>
      </c>
      <c r="I1546" t="s">
        <v>1002</v>
      </c>
      <c r="J1546" t="s">
        <v>10</v>
      </c>
      <c r="K1546" t="s">
        <v>15</v>
      </c>
    </row>
    <row r="1547" spans="1:11" x14ac:dyDescent="0.45">
      <c r="A1547">
        <v>7741</v>
      </c>
      <c r="B1547" s="15">
        <v>44022</v>
      </c>
      <c r="C1547" t="str">
        <f>TEXT(Table1[[#This Row],[Order Date]], "yyyy")</f>
        <v>2020</v>
      </c>
      <c r="D1547" t="str">
        <f>TEXT(Table1[[#This Row],[Order Date]], "mmmm")</f>
        <v>July</v>
      </c>
      <c r="E1547" s="16">
        <f>Table1[[#This Row],[Order Quantity]]*Table1[[#This Row],[Unit Price]]</f>
        <v>10478.65</v>
      </c>
      <c r="F1547">
        <v>65</v>
      </c>
      <c r="G1547" s="16">
        <v>161.21</v>
      </c>
      <c r="H1547" t="s">
        <v>464</v>
      </c>
      <c r="I1547" t="s">
        <v>1003</v>
      </c>
      <c r="J1547" t="s">
        <v>10</v>
      </c>
      <c r="K1547" t="s">
        <v>17</v>
      </c>
    </row>
    <row r="1548" spans="1:11" x14ac:dyDescent="0.45">
      <c r="A1548">
        <v>7742</v>
      </c>
      <c r="B1548" s="15">
        <v>43976</v>
      </c>
      <c r="C1548" t="str">
        <f>TEXT(Table1[[#This Row],[Order Date]], "yyyy")</f>
        <v>2020</v>
      </c>
      <c r="D1548" t="str">
        <f>TEXT(Table1[[#This Row],[Order Date]], "mmmm")</f>
        <v>May</v>
      </c>
      <c r="E1548" s="16">
        <f>Table1[[#This Row],[Order Quantity]]*Table1[[#This Row],[Unit Price]]</f>
        <v>10009.44</v>
      </c>
      <c r="F1548">
        <v>14</v>
      </c>
      <c r="G1548" s="16">
        <v>714.96</v>
      </c>
      <c r="H1548" t="s">
        <v>8</v>
      </c>
      <c r="I1548" t="s">
        <v>1004</v>
      </c>
      <c r="J1548" t="s">
        <v>13</v>
      </c>
      <c r="K1548" t="s">
        <v>15</v>
      </c>
    </row>
    <row r="1549" spans="1:11" x14ac:dyDescent="0.45">
      <c r="A1549">
        <v>7743</v>
      </c>
      <c r="B1549" s="15">
        <v>44170</v>
      </c>
      <c r="C1549" t="str">
        <f>TEXT(Table1[[#This Row],[Order Date]], "yyyy")</f>
        <v>2020</v>
      </c>
      <c r="D1549" t="str">
        <f>TEXT(Table1[[#This Row],[Order Date]], "mmmm")</f>
        <v>December</v>
      </c>
      <c r="E1549" s="16">
        <f>Table1[[#This Row],[Order Quantity]]*Table1[[#This Row],[Unit Price]]</f>
        <v>21178.800000000003</v>
      </c>
      <c r="F1549">
        <v>30</v>
      </c>
      <c r="G1549" s="16">
        <v>705.96</v>
      </c>
      <c r="H1549" t="s">
        <v>25</v>
      </c>
      <c r="I1549" t="s">
        <v>1005</v>
      </c>
      <c r="J1549" t="s">
        <v>13</v>
      </c>
      <c r="K1549" t="s">
        <v>15</v>
      </c>
    </row>
    <row r="1550" spans="1:11" x14ac:dyDescent="0.45">
      <c r="A1550">
        <v>7744</v>
      </c>
      <c r="B1550" s="15">
        <v>44067</v>
      </c>
      <c r="C1550" t="str">
        <f>TEXT(Table1[[#This Row],[Order Date]], "yyyy")</f>
        <v>2020</v>
      </c>
      <c r="D1550" t="str">
        <f>TEXT(Table1[[#This Row],[Order Date]], "mmmm")</f>
        <v>August</v>
      </c>
      <c r="E1550" s="16">
        <f>Table1[[#This Row],[Order Quantity]]*Table1[[#This Row],[Unit Price]]</f>
        <v>140601.78</v>
      </c>
      <c r="F1550">
        <v>99</v>
      </c>
      <c r="G1550" s="16">
        <v>1420.22</v>
      </c>
      <c r="H1550" t="s">
        <v>464</v>
      </c>
      <c r="I1550" t="s">
        <v>1006</v>
      </c>
      <c r="J1550" t="s">
        <v>13</v>
      </c>
      <c r="K1550" t="s">
        <v>17</v>
      </c>
    </row>
    <row r="1551" spans="1:11" x14ac:dyDescent="0.45">
      <c r="A1551">
        <v>7745</v>
      </c>
      <c r="B1551" s="15">
        <v>44002</v>
      </c>
      <c r="C1551" t="str">
        <f>TEXT(Table1[[#This Row],[Order Date]], "yyyy")</f>
        <v>2020</v>
      </c>
      <c r="D1551" t="str">
        <f>TEXT(Table1[[#This Row],[Order Date]], "mmmm")</f>
        <v>June</v>
      </c>
      <c r="E1551" s="16">
        <f>Table1[[#This Row],[Order Quantity]]*Table1[[#This Row],[Unit Price]]</f>
        <v>5030.5199999999995</v>
      </c>
      <c r="F1551">
        <v>11</v>
      </c>
      <c r="G1551" s="16">
        <v>457.32</v>
      </c>
      <c r="H1551" t="s">
        <v>25</v>
      </c>
      <c r="I1551" t="s">
        <v>1007</v>
      </c>
      <c r="J1551" t="s">
        <v>10</v>
      </c>
      <c r="K1551" t="s">
        <v>11</v>
      </c>
    </row>
    <row r="1552" spans="1:11" x14ac:dyDescent="0.45">
      <c r="A1552">
        <v>7746</v>
      </c>
      <c r="B1552" s="15">
        <v>44118</v>
      </c>
      <c r="C1552" t="str">
        <f>TEXT(Table1[[#This Row],[Order Date]], "yyyy")</f>
        <v>2020</v>
      </c>
      <c r="D1552" t="str">
        <f>TEXT(Table1[[#This Row],[Order Date]], "mmmm")</f>
        <v>October</v>
      </c>
      <c r="E1552" s="16">
        <f>Table1[[#This Row],[Order Quantity]]*Table1[[#This Row],[Unit Price]]</f>
        <v>9002.2799999999988</v>
      </c>
      <c r="F1552">
        <v>28</v>
      </c>
      <c r="G1552" s="16">
        <v>321.51</v>
      </c>
      <c r="H1552" t="s">
        <v>464</v>
      </c>
      <c r="I1552" t="s">
        <v>1008</v>
      </c>
      <c r="J1552" t="s">
        <v>10</v>
      </c>
      <c r="K1552" t="s">
        <v>17</v>
      </c>
    </row>
    <row r="1553" spans="1:11" x14ac:dyDescent="0.45">
      <c r="A1553">
        <v>7747</v>
      </c>
      <c r="B1553" s="15">
        <v>43868</v>
      </c>
      <c r="C1553" t="str">
        <f>TEXT(Table1[[#This Row],[Order Date]], "yyyy")</f>
        <v>2020</v>
      </c>
      <c r="D1553" t="str">
        <f>TEXT(Table1[[#This Row],[Order Date]], "mmmm")</f>
        <v>February</v>
      </c>
      <c r="E1553" s="16">
        <f>Table1[[#This Row],[Order Quantity]]*Table1[[#This Row],[Unit Price]]</f>
        <v>616.17999999999995</v>
      </c>
      <c r="F1553">
        <v>2</v>
      </c>
      <c r="G1553" s="16">
        <v>308.08999999999997</v>
      </c>
      <c r="H1553" t="s">
        <v>8</v>
      </c>
      <c r="I1553" t="s">
        <v>1009</v>
      </c>
      <c r="J1553" t="s">
        <v>13</v>
      </c>
      <c r="K1553" t="s">
        <v>17</v>
      </c>
    </row>
    <row r="1554" spans="1:11" x14ac:dyDescent="0.45">
      <c r="A1554">
        <v>7748</v>
      </c>
      <c r="B1554" s="15">
        <v>43848</v>
      </c>
      <c r="C1554" t="str">
        <f>TEXT(Table1[[#This Row],[Order Date]], "yyyy")</f>
        <v>2020</v>
      </c>
      <c r="D1554" t="str">
        <f>TEXT(Table1[[#This Row],[Order Date]], "mmmm")</f>
        <v>January</v>
      </c>
      <c r="E1554" s="16">
        <f>Table1[[#This Row],[Order Quantity]]*Table1[[#This Row],[Unit Price]]</f>
        <v>87969.939999999988</v>
      </c>
      <c r="F1554">
        <v>62</v>
      </c>
      <c r="G1554" s="16">
        <v>1418.87</v>
      </c>
      <c r="H1554" t="s">
        <v>8</v>
      </c>
      <c r="I1554" t="s">
        <v>1010</v>
      </c>
      <c r="J1554" t="s">
        <v>23</v>
      </c>
      <c r="K1554" t="s">
        <v>17</v>
      </c>
    </row>
    <row r="1555" spans="1:11" x14ac:dyDescent="0.45">
      <c r="A1555">
        <v>7749</v>
      </c>
      <c r="B1555" s="15">
        <v>44023</v>
      </c>
      <c r="C1555" t="str">
        <f>TEXT(Table1[[#This Row],[Order Date]], "yyyy")</f>
        <v>2020</v>
      </c>
      <c r="D1555" t="str">
        <f>TEXT(Table1[[#This Row],[Order Date]], "mmmm")</f>
        <v>July</v>
      </c>
      <c r="E1555" s="16">
        <f>Table1[[#This Row],[Order Quantity]]*Table1[[#This Row],[Unit Price]]</f>
        <v>3249.8</v>
      </c>
      <c r="F1555">
        <v>20</v>
      </c>
      <c r="G1555" s="16">
        <v>162.49</v>
      </c>
      <c r="H1555" t="s">
        <v>464</v>
      </c>
      <c r="I1555" t="s">
        <v>1011</v>
      </c>
      <c r="J1555" t="s">
        <v>13</v>
      </c>
      <c r="K1555" t="s">
        <v>11</v>
      </c>
    </row>
    <row r="1556" spans="1:11" x14ac:dyDescent="0.45">
      <c r="A1556">
        <v>7750</v>
      </c>
      <c r="B1556" s="15">
        <v>43894</v>
      </c>
      <c r="C1556" t="str">
        <f>TEXT(Table1[[#This Row],[Order Date]], "yyyy")</f>
        <v>2020</v>
      </c>
      <c r="D1556" t="str">
        <f>TEXT(Table1[[#This Row],[Order Date]], "mmmm")</f>
        <v>March</v>
      </c>
      <c r="E1556" s="16">
        <f>Table1[[#This Row],[Order Quantity]]*Table1[[#This Row],[Unit Price]]</f>
        <v>29442.100000000002</v>
      </c>
      <c r="F1556">
        <v>43</v>
      </c>
      <c r="G1556" s="16">
        <v>684.7</v>
      </c>
      <c r="H1556" t="s">
        <v>8</v>
      </c>
      <c r="I1556" t="s">
        <v>1012</v>
      </c>
      <c r="J1556" t="s">
        <v>10</v>
      </c>
      <c r="K1556" t="s">
        <v>11</v>
      </c>
    </row>
    <row r="1557" spans="1:11" x14ac:dyDescent="0.45">
      <c r="A1557">
        <v>7751</v>
      </c>
      <c r="B1557" s="15">
        <v>44167</v>
      </c>
      <c r="C1557" t="str">
        <f>TEXT(Table1[[#This Row],[Order Date]], "yyyy")</f>
        <v>2020</v>
      </c>
      <c r="D1557" t="str">
        <f>TEXT(Table1[[#This Row],[Order Date]], "mmmm")</f>
        <v>December</v>
      </c>
      <c r="E1557" s="16">
        <f>Table1[[#This Row],[Order Quantity]]*Table1[[#This Row],[Unit Price]]</f>
        <v>7262.1900000000005</v>
      </c>
      <c r="F1557">
        <v>39</v>
      </c>
      <c r="G1557" s="16">
        <v>186.21</v>
      </c>
      <c r="H1557" t="s">
        <v>464</v>
      </c>
      <c r="I1557" t="s">
        <v>1013</v>
      </c>
      <c r="J1557" t="s">
        <v>23</v>
      </c>
      <c r="K1557" t="s">
        <v>17</v>
      </c>
    </row>
    <row r="1558" spans="1:11" x14ac:dyDescent="0.45">
      <c r="A1558">
        <v>7752</v>
      </c>
      <c r="B1558" s="15">
        <v>44008</v>
      </c>
      <c r="C1558" t="str">
        <f>TEXT(Table1[[#This Row],[Order Date]], "yyyy")</f>
        <v>2020</v>
      </c>
      <c r="D1558" t="str">
        <f>TEXT(Table1[[#This Row],[Order Date]], "mmmm")</f>
        <v>June</v>
      </c>
      <c r="E1558" s="16">
        <f>Table1[[#This Row],[Order Quantity]]*Table1[[#This Row],[Unit Price]]</f>
        <v>77387.399999999994</v>
      </c>
      <c r="F1558">
        <v>81</v>
      </c>
      <c r="G1558" s="16">
        <v>955.4</v>
      </c>
      <c r="H1558" t="s">
        <v>8</v>
      </c>
      <c r="I1558" t="s">
        <v>579</v>
      </c>
      <c r="J1558" t="s">
        <v>23</v>
      </c>
      <c r="K1558" t="s">
        <v>11</v>
      </c>
    </row>
    <row r="1559" spans="1:11" x14ac:dyDescent="0.45">
      <c r="A1559">
        <v>7753</v>
      </c>
      <c r="B1559" s="15">
        <v>44061</v>
      </c>
      <c r="C1559" t="str">
        <f>TEXT(Table1[[#This Row],[Order Date]], "yyyy")</f>
        <v>2020</v>
      </c>
      <c r="D1559" t="str">
        <f>TEXT(Table1[[#This Row],[Order Date]], "mmmm")</f>
        <v>August</v>
      </c>
      <c r="E1559" s="16">
        <f>Table1[[#This Row],[Order Quantity]]*Table1[[#This Row],[Unit Price]]</f>
        <v>7675.58</v>
      </c>
      <c r="F1559">
        <v>11</v>
      </c>
      <c r="G1559" s="16">
        <v>697.78</v>
      </c>
      <c r="H1559" t="s">
        <v>8</v>
      </c>
      <c r="I1559" t="s">
        <v>1014</v>
      </c>
      <c r="J1559" t="s">
        <v>10</v>
      </c>
      <c r="K1559" t="s">
        <v>11</v>
      </c>
    </row>
    <row r="1560" spans="1:11" x14ac:dyDescent="0.45">
      <c r="A1560">
        <v>7754</v>
      </c>
      <c r="B1560" s="15">
        <v>44013</v>
      </c>
      <c r="C1560" t="str">
        <f>TEXT(Table1[[#This Row],[Order Date]], "yyyy")</f>
        <v>2020</v>
      </c>
      <c r="D1560" t="str">
        <f>TEXT(Table1[[#This Row],[Order Date]], "mmmm")</f>
        <v>July</v>
      </c>
      <c r="E1560" s="16">
        <f>Table1[[#This Row],[Order Quantity]]*Table1[[#This Row],[Unit Price]]</f>
        <v>108673.29000000001</v>
      </c>
      <c r="F1560">
        <v>99</v>
      </c>
      <c r="G1560" s="16">
        <v>1097.71</v>
      </c>
      <c r="H1560" t="s">
        <v>8</v>
      </c>
      <c r="I1560" t="s">
        <v>1015</v>
      </c>
      <c r="J1560" t="s">
        <v>10</v>
      </c>
      <c r="K1560" t="s">
        <v>17</v>
      </c>
    </row>
    <row r="1561" spans="1:11" x14ac:dyDescent="0.45">
      <c r="A1561">
        <v>7755</v>
      </c>
      <c r="B1561" s="15">
        <v>43846</v>
      </c>
      <c r="C1561" t="str">
        <f>TEXT(Table1[[#This Row],[Order Date]], "yyyy")</f>
        <v>2020</v>
      </c>
      <c r="D1561" t="str">
        <f>TEXT(Table1[[#This Row],[Order Date]], "mmmm")</f>
        <v>January</v>
      </c>
      <c r="E1561" s="16">
        <f>Table1[[#This Row],[Order Quantity]]*Table1[[#This Row],[Unit Price]]</f>
        <v>18190.48</v>
      </c>
      <c r="F1561">
        <v>22</v>
      </c>
      <c r="G1561" s="16">
        <v>826.84</v>
      </c>
      <c r="H1561" t="s">
        <v>25</v>
      </c>
      <c r="I1561" t="s">
        <v>1016</v>
      </c>
      <c r="J1561" t="s">
        <v>10</v>
      </c>
      <c r="K1561" t="s">
        <v>17</v>
      </c>
    </row>
    <row r="1562" spans="1:11" x14ac:dyDescent="0.45">
      <c r="A1562">
        <v>7756</v>
      </c>
      <c r="B1562" s="15">
        <v>43870</v>
      </c>
      <c r="C1562" t="str">
        <f>TEXT(Table1[[#This Row],[Order Date]], "yyyy")</f>
        <v>2020</v>
      </c>
      <c r="D1562" t="str">
        <f>TEXT(Table1[[#This Row],[Order Date]], "mmmm")</f>
        <v>February</v>
      </c>
      <c r="E1562" s="16">
        <f>Table1[[#This Row],[Order Quantity]]*Table1[[#This Row],[Unit Price]]</f>
        <v>1168.2</v>
      </c>
      <c r="F1562">
        <v>9</v>
      </c>
      <c r="G1562" s="16">
        <v>129.80000000000001</v>
      </c>
      <c r="H1562" t="s">
        <v>8</v>
      </c>
      <c r="I1562" t="s">
        <v>1017</v>
      </c>
      <c r="J1562" t="s">
        <v>23</v>
      </c>
      <c r="K1562" t="s">
        <v>15</v>
      </c>
    </row>
    <row r="1563" spans="1:11" x14ac:dyDescent="0.45">
      <c r="A1563">
        <v>7757</v>
      </c>
      <c r="B1563" s="15">
        <v>44102</v>
      </c>
      <c r="C1563" t="str">
        <f>TEXT(Table1[[#This Row],[Order Date]], "yyyy")</f>
        <v>2020</v>
      </c>
      <c r="D1563" t="str">
        <f>TEXT(Table1[[#This Row],[Order Date]], "mmmm")</f>
        <v>September</v>
      </c>
      <c r="E1563" s="16">
        <f>Table1[[#This Row],[Order Quantity]]*Table1[[#This Row],[Unit Price]]</f>
        <v>26941.5</v>
      </c>
      <c r="F1563">
        <v>30</v>
      </c>
      <c r="G1563" s="16">
        <v>898.05</v>
      </c>
      <c r="H1563" t="s">
        <v>8</v>
      </c>
      <c r="I1563" t="s">
        <v>1018</v>
      </c>
      <c r="J1563" t="s">
        <v>13</v>
      </c>
      <c r="K1563" t="s">
        <v>11</v>
      </c>
    </row>
    <row r="1564" spans="1:11" x14ac:dyDescent="0.45">
      <c r="A1564">
        <v>7758</v>
      </c>
      <c r="B1564" s="15">
        <v>44163</v>
      </c>
      <c r="C1564" t="str">
        <f>TEXT(Table1[[#This Row],[Order Date]], "yyyy")</f>
        <v>2020</v>
      </c>
      <c r="D1564" t="str">
        <f>TEXT(Table1[[#This Row],[Order Date]], "mmmm")</f>
        <v>November</v>
      </c>
      <c r="E1564" s="16">
        <f>Table1[[#This Row],[Order Quantity]]*Table1[[#This Row],[Unit Price]]</f>
        <v>85253.760000000009</v>
      </c>
      <c r="F1564">
        <v>82</v>
      </c>
      <c r="G1564" s="16">
        <v>1039.68</v>
      </c>
      <c r="H1564" t="s">
        <v>25</v>
      </c>
      <c r="I1564" t="s">
        <v>1019</v>
      </c>
      <c r="J1564" t="s">
        <v>20</v>
      </c>
      <c r="K1564" t="s">
        <v>11</v>
      </c>
    </row>
    <row r="1565" spans="1:11" x14ac:dyDescent="0.45">
      <c r="A1565">
        <v>7759</v>
      </c>
      <c r="B1565" s="15">
        <v>44026</v>
      </c>
      <c r="C1565" t="str">
        <f>TEXT(Table1[[#This Row],[Order Date]], "yyyy")</f>
        <v>2020</v>
      </c>
      <c r="D1565" t="str">
        <f>TEXT(Table1[[#This Row],[Order Date]], "mmmm")</f>
        <v>July</v>
      </c>
      <c r="E1565" s="16">
        <f>Table1[[#This Row],[Order Quantity]]*Table1[[#This Row],[Unit Price]]</f>
        <v>37588.590000000004</v>
      </c>
      <c r="F1565">
        <v>27</v>
      </c>
      <c r="G1565" s="16">
        <v>1392.17</v>
      </c>
      <c r="H1565" t="s">
        <v>464</v>
      </c>
      <c r="I1565" t="s">
        <v>1020</v>
      </c>
      <c r="J1565" t="s">
        <v>20</v>
      </c>
      <c r="K1565" t="s">
        <v>15</v>
      </c>
    </row>
    <row r="1566" spans="1:11" x14ac:dyDescent="0.45">
      <c r="A1566">
        <v>7760</v>
      </c>
      <c r="B1566" s="15">
        <v>43937</v>
      </c>
      <c r="C1566" t="str">
        <f>TEXT(Table1[[#This Row],[Order Date]], "yyyy")</f>
        <v>2020</v>
      </c>
      <c r="D1566" t="str">
        <f>TEXT(Table1[[#This Row],[Order Date]], "mmmm")</f>
        <v>April</v>
      </c>
      <c r="E1566" s="16">
        <f>Table1[[#This Row],[Order Quantity]]*Table1[[#This Row],[Unit Price]]</f>
        <v>3600.94</v>
      </c>
      <c r="F1566">
        <v>34</v>
      </c>
      <c r="G1566" s="16">
        <v>105.91</v>
      </c>
      <c r="H1566" t="s">
        <v>464</v>
      </c>
      <c r="I1566" t="s">
        <v>1021</v>
      </c>
      <c r="J1566" t="s">
        <v>23</v>
      </c>
      <c r="K1566" t="s">
        <v>15</v>
      </c>
    </row>
    <row r="1567" spans="1:11" x14ac:dyDescent="0.45">
      <c r="A1567">
        <v>7761</v>
      </c>
      <c r="B1567" s="15">
        <v>44126</v>
      </c>
      <c r="C1567" t="str">
        <f>TEXT(Table1[[#This Row],[Order Date]], "yyyy")</f>
        <v>2020</v>
      </c>
      <c r="D1567" t="str">
        <f>TEXT(Table1[[#This Row],[Order Date]], "mmmm")</f>
        <v>October</v>
      </c>
      <c r="E1567" s="16">
        <f>Table1[[#This Row],[Order Quantity]]*Table1[[#This Row],[Unit Price]]</f>
        <v>7611.12</v>
      </c>
      <c r="F1567">
        <v>36</v>
      </c>
      <c r="G1567" s="16">
        <v>211.42</v>
      </c>
      <c r="H1567" t="s">
        <v>25</v>
      </c>
      <c r="I1567" t="s">
        <v>1022</v>
      </c>
      <c r="J1567" t="s">
        <v>13</v>
      </c>
      <c r="K1567" t="s">
        <v>15</v>
      </c>
    </row>
    <row r="1568" spans="1:11" x14ac:dyDescent="0.45">
      <c r="A1568">
        <v>7762</v>
      </c>
      <c r="B1568" s="15">
        <v>44007</v>
      </c>
      <c r="C1568" t="str">
        <f>TEXT(Table1[[#This Row],[Order Date]], "yyyy")</f>
        <v>2020</v>
      </c>
      <c r="D1568" t="str">
        <f>TEXT(Table1[[#This Row],[Order Date]], "mmmm")</f>
        <v>June</v>
      </c>
      <c r="E1568" s="16">
        <f>Table1[[#This Row],[Order Quantity]]*Table1[[#This Row],[Unit Price]]</f>
        <v>23102</v>
      </c>
      <c r="F1568">
        <v>40</v>
      </c>
      <c r="G1568" s="16">
        <v>577.54999999999995</v>
      </c>
      <c r="H1568" t="s">
        <v>8</v>
      </c>
      <c r="I1568" t="s">
        <v>1023</v>
      </c>
      <c r="J1568" t="s">
        <v>23</v>
      </c>
      <c r="K1568" t="s">
        <v>15</v>
      </c>
    </row>
    <row r="1569" spans="1:11" x14ac:dyDescent="0.45">
      <c r="A1569">
        <v>7763</v>
      </c>
      <c r="B1569" s="15">
        <v>44197</v>
      </c>
      <c r="C1569" t="str">
        <f>TEXT(Table1[[#This Row],[Order Date]], "yyyy")</f>
        <v>2021</v>
      </c>
      <c r="D1569" t="str">
        <f>TEXT(Table1[[#This Row],[Order Date]], "mmmm")</f>
        <v>January</v>
      </c>
      <c r="E1569" s="16">
        <f>Table1[[#This Row],[Order Quantity]]*Table1[[#This Row],[Unit Price]]</f>
        <v>41181.75</v>
      </c>
      <c r="F1569">
        <v>45</v>
      </c>
      <c r="G1569" s="16">
        <v>915.15</v>
      </c>
      <c r="H1569" t="s">
        <v>464</v>
      </c>
      <c r="I1569" t="s">
        <v>1024</v>
      </c>
      <c r="J1569" t="s">
        <v>10</v>
      </c>
      <c r="K1569" t="s">
        <v>17</v>
      </c>
    </row>
    <row r="1570" spans="1:11" x14ac:dyDescent="0.45">
      <c r="A1570">
        <v>7764</v>
      </c>
      <c r="B1570" s="15">
        <v>43873</v>
      </c>
      <c r="C1570" t="str">
        <f>TEXT(Table1[[#This Row],[Order Date]], "yyyy")</f>
        <v>2020</v>
      </c>
      <c r="D1570" t="str">
        <f>TEXT(Table1[[#This Row],[Order Date]], "mmmm")</f>
        <v>February</v>
      </c>
      <c r="E1570" s="16">
        <f>Table1[[#This Row],[Order Quantity]]*Table1[[#This Row],[Unit Price]]</f>
        <v>27738.699999999997</v>
      </c>
      <c r="F1570">
        <v>22</v>
      </c>
      <c r="G1570" s="16">
        <v>1260.8499999999999</v>
      </c>
      <c r="H1570" t="s">
        <v>25</v>
      </c>
      <c r="I1570" t="s">
        <v>1025</v>
      </c>
      <c r="J1570" t="s">
        <v>10</v>
      </c>
      <c r="K1570" t="s">
        <v>15</v>
      </c>
    </row>
    <row r="1571" spans="1:11" x14ac:dyDescent="0.45">
      <c r="A1571">
        <v>7765</v>
      </c>
      <c r="B1571" s="15">
        <v>43992</v>
      </c>
      <c r="C1571" t="str">
        <f>TEXT(Table1[[#This Row],[Order Date]], "yyyy")</f>
        <v>2020</v>
      </c>
      <c r="D1571" t="str">
        <f>TEXT(Table1[[#This Row],[Order Date]], "mmmm")</f>
        <v>June</v>
      </c>
      <c r="E1571" s="16">
        <f>Table1[[#This Row],[Order Quantity]]*Table1[[#This Row],[Unit Price]]</f>
        <v>94511.61</v>
      </c>
      <c r="F1571">
        <v>81</v>
      </c>
      <c r="G1571" s="16">
        <v>1166.81</v>
      </c>
      <c r="H1571" t="s">
        <v>25</v>
      </c>
      <c r="I1571" t="s">
        <v>1026</v>
      </c>
      <c r="J1571" t="s">
        <v>10</v>
      </c>
      <c r="K1571" t="s">
        <v>17</v>
      </c>
    </row>
    <row r="1572" spans="1:11" x14ac:dyDescent="0.45">
      <c r="A1572">
        <v>7766</v>
      </c>
      <c r="B1572" s="15">
        <v>43869</v>
      </c>
      <c r="C1572" t="str">
        <f>TEXT(Table1[[#This Row],[Order Date]], "yyyy")</f>
        <v>2020</v>
      </c>
      <c r="D1572" t="str">
        <f>TEXT(Table1[[#This Row],[Order Date]], "mmmm")</f>
        <v>February</v>
      </c>
      <c r="E1572" s="16">
        <f>Table1[[#This Row],[Order Quantity]]*Table1[[#This Row],[Unit Price]]</f>
        <v>18153.310000000001</v>
      </c>
      <c r="F1572">
        <v>43</v>
      </c>
      <c r="G1572" s="16">
        <v>422.17</v>
      </c>
      <c r="H1572" t="s">
        <v>464</v>
      </c>
      <c r="I1572" t="s">
        <v>1027</v>
      </c>
      <c r="J1572" t="s">
        <v>23</v>
      </c>
      <c r="K1572" t="s">
        <v>15</v>
      </c>
    </row>
    <row r="1573" spans="1:11" x14ac:dyDescent="0.45">
      <c r="A1573">
        <v>7767</v>
      </c>
      <c r="B1573" s="15">
        <v>43909</v>
      </c>
      <c r="C1573" t="str">
        <f>TEXT(Table1[[#This Row],[Order Date]], "yyyy")</f>
        <v>2020</v>
      </c>
      <c r="D1573" t="str">
        <f>TEXT(Table1[[#This Row],[Order Date]], "mmmm")</f>
        <v>March</v>
      </c>
      <c r="E1573" s="16">
        <f>Table1[[#This Row],[Order Quantity]]*Table1[[#This Row],[Unit Price]]</f>
        <v>117143</v>
      </c>
      <c r="F1573">
        <v>100</v>
      </c>
      <c r="G1573" s="16">
        <v>1171.43</v>
      </c>
      <c r="H1573" t="s">
        <v>8</v>
      </c>
      <c r="I1573" t="s">
        <v>1028</v>
      </c>
      <c r="J1573" t="s">
        <v>10</v>
      </c>
      <c r="K1573" t="s">
        <v>15</v>
      </c>
    </row>
    <row r="1574" spans="1:11" x14ac:dyDescent="0.45">
      <c r="A1574">
        <v>7768</v>
      </c>
      <c r="B1574" s="15">
        <v>44007</v>
      </c>
      <c r="C1574" t="str">
        <f>TEXT(Table1[[#This Row],[Order Date]], "yyyy")</f>
        <v>2020</v>
      </c>
      <c r="D1574" t="str">
        <f>TEXT(Table1[[#This Row],[Order Date]], "mmmm")</f>
        <v>June</v>
      </c>
      <c r="E1574" s="16">
        <f>Table1[[#This Row],[Order Quantity]]*Table1[[#This Row],[Unit Price]]</f>
        <v>113684.54000000001</v>
      </c>
      <c r="F1574">
        <v>94</v>
      </c>
      <c r="G1574" s="16">
        <v>1209.4100000000001</v>
      </c>
      <c r="H1574" t="s">
        <v>8</v>
      </c>
      <c r="I1574" t="s">
        <v>1029</v>
      </c>
      <c r="J1574" t="s">
        <v>13</v>
      </c>
      <c r="K1574" t="s">
        <v>15</v>
      </c>
    </row>
    <row r="1575" spans="1:11" x14ac:dyDescent="0.45">
      <c r="A1575">
        <v>7769</v>
      </c>
      <c r="B1575" s="15">
        <v>43970</v>
      </c>
      <c r="C1575" t="str">
        <f>TEXT(Table1[[#This Row],[Order Date]], "yyyy")</f>
        <v>2020</v>
      </c>
      <c r="D1575" t="str">
        <f>TEXT(Table1[[#This Row],[Order Date]], "mmmm")</f>
        <v>May</v>
      </c>
      <c r="E1575" s="16">
        <f>Table1[[#This Row],[Order Quantity]]*Table1[[#This Row],[Unit Price]]</f>
        <v>6360.13</v>
      </c>
      <c r="F1575">
        <v>7</v>
      </c>
      <c r="G1575" s="16">
        <v>908.59</v>
      </c>
      <c r="H1575" t="s">
        <v>8</v>
      </c>
      <c r="I1575" t="s">
        <v>1030</v>
      </c>
      <c r="J1575" t="s">
        <v>10</v>
      </c>
      <c r="K1575" t="s">
        <v>15</v>
      </c>
    </row>
    <row r="1576" spans="1:11" x14ac:dyDescent="0.45">
      <c r="A1576">
        <v>7770</v>
      </c>
      <c r="B1576" s="15">
        <v>43894</v>
      </c>
      <c r="C1576" t="str">
        <f>TEXT(Table1[[#This Row],[Order Date]], "yyyy")</f>
        <v>2020</v>
      </c>
      <c r="D1576" t="str">
        <f>TEXT(Table1[[#This Row],[Order Date]], "mmmm")</f>
        <v>March</v>
      </c>
      <c r="E1576" s="16">
        <f>Table1[[#This Row],[Order Quantity]]*Table1[[#This Row],[Unit Price]]</f>
        <v>24322.850000000002</v>
      </c>
      <c r="F1576">
        <v>19</v>
      </c>
      <c r="G1576" s="16">
        <v>1280.1500000000001</v>
      </c>
      <c r="H1576" t="s">
        <v>25</v>
      </c>
      <c r="I1576" t="s">
        <v>1031</v>
      </c>
      <c r="J1576" t="s">
        <v>23</v>
      </c>
      <c r="K1576" t="s">
        <v>11</v>
      </c>
    </row>
    <row r="1577" spans="1:11" x14ac:dyDescent="0.45">
      <c r="A1577">
        <v>7771</v>
      </c>
      <c r="B1577" s="15">
        <v>43877</v>
      </c>
      <c r="C1577" t="str">
        <f>TEXT(Table1[[#This Row],[Order Date]], "yyyy")</f>
        <v>2020</v>
      </c>
      <c r="D1577" t="str">
        <f>TEXT(Table1[[#This Row],[Order Date]], "mmmm")</f>
        <v>February</v>
      </c>
      <c r="E1577" s="16">
        <f>Table1[[#This Row],[Order Quantity]]*Table1[[#This Row],[Unit Price]]</f>
        <v>79898.64</v>
      </c>
      <c r="F1577">
        <v>68</v>
      </c>
      <c r="G1577" s="16">
        <v>1174.98</v>
      </c>
      <c r="H1577" t="s">
        <v>464</v>
      </c>
      <c r="I1577" t="s">
        <v>1032</v>
      </c>
      <c r="J1577" t="s">
        <v>13</v>
      </c>
      <c r="K1577" t="s">
        <v>17</v>
      </c>
    </row>
    <row r="1578" spans="1:11" x14ac:dyDescent="0.45">
      <c r="A1578">
        <v>7772</v>
      </c>
      <c r="B1578" s="15">
        <v>44015</v>
      </c>
      <c r="C1578" t="str">
        <f>TEXT(Table1[[#This Row],[Order Date]], "yyyy")</f>
        <v>2020</v>
      </c>
      <c r="D1578" t="str">
        <f>TEXT(Table1[[#This Row],[Order Date]], "mmmm")</f>
        <v>July</v>
      </c>
      <c r="E1578" s="16">
        <f>Table1[[#This Row],[Order Quantity]]*Table1[[#This Row],[Unit Price]]</f>
        <v>793.88</v>
      </c>
      <c r="F1578">
        <v>1</v>
      </c>
      <c r="G1578" s="16">
        <v>793.88</v>
      </c>
      <c r="H1578" t="s">
        <v>25</v>
      </c>
      <c r="I1578" t="s">
        <v>1033</v>
      </c>
      <c r="J1578" t="s">
        <v>10</v>
      </c>
      <c r="K1578" t="s">
        <v>17</v>
      </c>
    </row>
    <row r="1579" spans="1:11" x14ac:dyDescent="0.45">
      <c r="A1579">
        <v>7773</v>
      </c>
      <c r="B1579" s="15">
        <v>43945</v>
      </c>
      <c r="C1579" t="str">
        <f>TEXT(Table1[[#This Row],[Order Date]], "yyyy")</f>
        <v>2020</v>
      </c>
      <c r="D1579" t="str">
        <f>TEXT(Table1[[#This Row],[Order Date]], "mmmm")</f>
        <v>April</v>
      </c>
      <c r="E1579" s="16">
        <f>Table1[[#This Row],[Order Quantity]]*Table1[[#This Row],[Unit Price]]</f>
        <v>10257.540000000001</v>
      </c>
      <c r="F1579">
        <v>46</v>
      </c>
      <c r="G1579" s="16">
        <v>222.99</v>
      </c>
      <c r="H1579" t="s">
        <v>464</v>
      </c>
      <c r="I1579" t="s">
        <v>1034</v>
      </c>
      <c r="J1579" t="s">
        <v>10</v>
      </c>
      <c r="K1579" t="s">
        <v>11</v>
      </c>
    </row>
    <row r="1580" spans="1:11" x14ac:dyDescent="0.45">
      <c r="A1580">
        <v>7774</v>
      </c>
      <c r="B1580" s="15">
        <v>44134</v>
      </c>
      <c r="C1580" t="str">
        <f>TEXT(Table1[[#This Row],[Order Date]], "yyyy")</f>
        <v>2020</v>
      </c>
      <c r="D1580" t="str">
        <f>TEXT(Table1[[#This Row],[Order Date]], "mmmm")</f>
        <v>October</v>
      </c>
      <c r="E1580" s="16">
        <f>Table1[[#This Row],[Order Quantity]]*Table1[[#This Row],[Unit Price]]</f>
        <v>25935.95</v>
      </c>
      <c r="F1580">
        <v>95</v>
      </c>
      <c r="G1580" s="16">
        <v>273.01</v>
      </c>
      <c r="H1580" t="s">
        <v>25</v>
      </c>
      <c r="I1580" t="s">
        <v>1035</v>
      </c>
      <c r="J1580" t="s">
        <v>10</v>
      </c>
      <c r="K1580" t="s">
        <v>15</v>
      </c>
    </row>
    <row r="1581" spans="1:11" x14ac:dyDescent="0.45">
      <c r="A1581">
        <v>7775</v>
      </c>
      <c r="B1581" s="15">
        <v>44070</v>
      </c>
      <c r="C1581" t="str">
        <f>TEXT(Table1[[#This Row],[Order Date]], "yyyy")</f>
        <v>2020</v>
      </c>
      <c r="D1581" t="str">
        <f>TEXT(Table1[[#This Row],[Order Date]], "mmmm")</f>
        <v>August</v>
      </c>
      <c r="E1581" s="16">
        <f>Table1[[#This Row],[Order Quantity]]*Table1[[#This Row],[Unit Price]]</f>
        <v>19528.16</v>
      </c>
      <c r="F1581">
        <v>16</v>
      </c>
      <c r="G1581" s="16">
        <v>1220.51</v>
      </c>
      <c r="H1581" t="s">
        <v>464</v>
      </c>
      <c r="I1581" t="s">
        <v>1036</v>
      </c>
      <c r="J1581" t="s">
        <v>10</v>
      </c>
      <c r="K1581" t="s">
        <v>17</v>
      </c>
    </row>
    <row r="1582" spans="1:11" x14ac:dyDescent="0.45">
      <c r="A1582">
        <v>7776</v>
      </c>
      <c r="B1582" s="15">
        <v>43848</v>
      </c>
      <c r="C1582" t="str">
        <f>TEXT(Table1[[#This Row],[Order Date]], "yyyy")</f>
        <v>2020</v>
      </c>
      <c r="D1582" t="str">
        <f>TEXT(Table1[[#This Row],[Order Date]], "mmmm")</f>
        <v>January</v>
      </c>
      <c r="E1582" s="16">
        <f>Table1[[#This Row],[Order Quantity]]*Table1[[#This Row],[Unit Price]]</f>
        <v>59436.959999999999</v>
      </c>
      <c r="F1582">
        <v>66</v>
      </c>
      <c r="G1582" s="16">
        <v>900.56</v>
      </c>
      <c r="H1582" t="s">
        <v>25</v>
      </c>
      <c r="I1582" t="s">
        <v>1037</v>
      </c>
      <c r="J1582" t="s">
        <v>23</v>
      </c>
      <c r="K1582" t="s">
        <v>17</v>
      </c>
    </row>
    <row r="1583" spans="1:11" x14ac:dyDescent="0.45">
      <c r="A1583">
        <v>7777</v>
      </c>
      <c r="B1583" s="15">
        <v>44184</v>
      </c>
      <c r="C1583" t="str">
        <f>TEXT(Table1[[#This Row],[Order Date]], "yyyy")</f>
        <v>2020</v>
      </c>
      <c r="D1583" t="str">
        <f>TEXT(Table1[[#This Row],[Order Date]], "mmmm")</f>
        <v>December</v>
      </c>
      <c r="E1583" s="16">
        <f>Table1[[#This Row],[Order Quantity]]*Table1[[#This Row],[Unit Price]]</f>
        <v>1449.76</v>
      </c>
      <c r="F1583">
        <v>8</v>
      </c>
      <c r="G1583" s="16">
        <v>181.22</v>
      </c>
      <c r="H1583" t="s">
        <v>464</v>
      </c>
      <c r="I1583" t="s">
        <v>1038</v>
      </c>
      <c r="J1583" t="s">
        <v>23</v>
      </c>
      <c r="K1583" t="s">
        <v>15</v>
      </c>
    </row>
    <row r="1584" spans="1:11" x14ac:dyDescent="0.45">
      <c r="A1584">
        <v>7778</v>
      </c>
      <c r="B1584" s="15">
        <v>43896</v>
      </c>
      <c r="C1584" t="str">
        <f>TEXT(Table1[[#This Row],[Order Date]], "yyyy")</f>
        <v>2020</v>
      </c>
      <c r="D1584" t="str">
        <f>TEXT(Table1[[#This Row],[Order Date]], "mmmm")</f>
        <v>March</v>
      </c>
      <c r="E1584" s="16">
        <f>Table1[[#This Row],[Order Quantity]]*Table1[[#This Row],[Unit Price]]</f>
        <v>57484.5</v>
      </c>
      <c r="F1584">
        <v>75</v>
      </c>
      <c r="G1584" s="16">
        <v>766.46</v>
      </c>
      <c r="H1584" t="s">
        <v>464</v>
      </c>
      <c r="I1584" t="s">
        <v>789</v>
      </c>
      <c r="J1584" t="s">
        <v>10</v>
      </c>
      <c r="K1584" t="s">
        <v>11</v>
      </c>
    </row>
    <row r="1585" spans="1:11" x14ac:dyDescent="0.45">
      <c r="A1585">
        <v>7779</v>
      </c>
      <c r="B1585" s="15">
        <v>44131</v>
      </c>
      <c r="C1585" t="str">
        <f>TEXT(Table1[[#This Row],[Order Date]], "yyyy")</f>
        <v>2020</v>
      </c>
      <c r="D1585" t="str">
        <f>TEXT(Table1[[#This Row],[Order Date]], "mmmm")</f>
        <v>October</v>
      </c>
      <c r="E1585" s="16">
        <f>Table1[[#This Row],[Order Quantity]]*Table1[[#This Row],[Unit Price]]</f>
        <v>25824.76</v>
      </c>
      <c r="F1585">
        <v>52</v>
      </c>
      <c r="G1585" s="16">
        <v>496.63</v>
      </c>
      <c r="H1585" t="s">
        <v>25</v>
      </c>
      <c r="I1585" t="s">
        <v>1039</v>
      </c>
      <c r="J1585" t="s">
        <v>20</v>
      </c>
      <c r="K1585" t="s">
        <v>11</v>
      </c>
    </row>
    <row r="1586" spans="1:11" x14ac:dyDescent="0.45">
      <c r="A1586">
        <v>7780</v>
      </c>
      <c r="B1586" s="15">
        <v>43895</v>
      </c>
      <c r="C1586" t="str">
        <f>TEXT(Table1[[#This Row],[Order Date]], "yyyy")</f>
        <v>2020</v>
      </c>
      <c r="D1586" t="str">
        <f>TEXT(Table1[[#This Row],[Order Date]], "mmmm")</f>
        <v>March</v>
      </c>
      <c r="E1586" s="16">
        <f>Table1[[#This Row],[Order Quantity]]*Table1[[#This Row],[Unit Price]]</f>
        <v>42496.04</v>
      </c>
      <c r="F1586">
        <v>62</v>
      </c>
      <c r="G1586" s="16">
        <v>685.42</v>
      </c>
      <c r="H1586" t="s">
        <v>25</v>
      </c>
      <c r="I1586" t="s">
        <v>1040</v>
      </c>
      <c r="J1586" t="s">
        <v>13</v>
      </c>
      <c r="K1586" t="s">
        <v>11</v>
      </c>
    </row>
    <row r="1587" spans="1:11" x14ac:dyDescent="0.45">
      <c r="A1587">
        <v>7781</v>
      </c>
      <c r="B1587" s="15">
        <v>43958</v>
      </c>
      <c r="C1587" t="str">
        <f>TEXT(Table1[[#This Row],[Order Date]], "yyyy")</f>
        <v>2020</v>
      </c>
      <c r="D1587" t="str">
        <f>TEXT(Table1[[#This Row],[Order Date]], "mmmm")</f>
        <v>May</v>
      </c>
      <c r="E1587" s="16">
        <f>Table1[[#This Row],[Order Quantity]]*Table1[[#This Row],[Unit Price]]</f>
        <v>54137.29</v>
      </c>
      <c r="F1587">
        <v>37</v>
      </c>
      <c r="G1587" s="16">
        <v>1463.17</v>
      </c>
      <c r="H1587" t="s">
        <v>464</v>
      </c>
      <c r="I1587" t="s">
        <v>1041</v>
      </c>
      <c r="J1587" t="s">
        <v>20</v>
      </c>
      <c r="K1587" t="s">
        <v>11</v>
      </c>
    </row>
    <row r="1588" spans="1:11" x14ac:dyDescent="0.45">
      <c r="A1588">
        <v>7782</v>
      </c>
      <c r="B1588" s="15">
        <v>44078</v>
      </c>
      <c r="C1588" t="str">
        <f>TEXT(Table1[[#This Row],[Order Date]], "yyyy")</f>
        <v>2020</v>
      </c>
      <c r="D1588" t="str">
        <f>TEXT(Table1[[#This Row],[Order Date]], "mmmm")</f>
        <v>September</v>
      </c>
      <c r="E1588" s="16">
        <f>Table1[[#This Row],[Order Quantity]]*Table1[[#This Row],[Unit Price]]</f>
        <v>133599.51</v>
      </c>
      <c r="F1588">
        <v>99</v>
      </c>
      <c r="G1588" s="16">
        <v>1349.49</v>
      </c>
      <c r="H1588" t="s">
        <v>8</v>
      </c>
      <c r="I1588" t="s">
        <v>1042</v>
      </c>
      <c r="J1588" t="s">
        <v>20</v>
      </c>
      <c r="K1588" t="s">
        <v>15</v>
      </c>
    </row>
    <row r="1589" spans="1:11" x14ac:dyDescent="0.45">
      <c r="A1589">
        <v>7783</v>
      </c>
      <c r="B1589" s="15">
        <v>43984</v>
      </c>
      <c r="C1589" t="str">
        <f>TEXT(Table1[[#This Row],[Order Date]], "yyyy")</f>
        <v>2020</v>
      </c>
      <c r="D1589" t="str">
        <f>TEXT(Table1[[#This Row],[Order Date]], "mmmm")</f>
        <v>June</v>
      </c>
      <c r="E1589" s="16">
        <f>Table1[[#This Row],[Order Quantity]]*Table1[[#This Row],[Unit Price]]</f>
        <v>27204.5</v>
      </c>
      <c r="F1589">
        <v>50</v>
      </c>
      <c r="G1589" s="16">
        <v>544.09</v>
      </c>
      <c r="H1589" t="s">
        <v>25</v>
      </c>
      <c r="I1589" t="s">
        <v>813</v>
      </c>
      <c r="J1589" t="s">
        <v>23</v>
      </c>
      <c r="K1589" t="s">
        <v>15</v>
      </c>
    </row>
    <row r="1590" spans="1:11" x14ac:dyDescent="0.45">
      <c r="A1590">
        <v>7784</v>
      </c>
      <c r="B1590" s="15">
        <v>44199</v>
      </c>
      <c r="C1590" t="str">
        <f>TEXT(Table1[[#This Row],[Order Date]], "yyyy")</f>
        <v>2021</v>
      </c>
      <c r="D1590" t="str">
        <f>TEXT(Table1[[#This Row],[Order Date]], "mmmm")</f>
        <v>January</v>
      </c>
      <c r="E1590" s="16">
        <f>Table1[[#This Row],[Order Quantity]]*Table1[[#This Row],[Unit Price]]</f>
        <v>12906.6</v>
      </c>
      <c r="F1590">
        <v>14</v>
      </c>
      <c r="G1590" s="16">
        <v>921.9</v>
      </c>
      <c r="H1590" t="s">
        <v>8</v>
      </c>
      <c r="I1590" t="s">
        <v>1043</v>
      </c>
      <c r="J1590" t="s">
        <v>13</v>
      </c>
      <c r="K1590" t="s">
        <v>11</v>
      </c>
    </row>
    <row r="1591" spans="1:11" x14ac:dyDescent="0.45">
      <c r="A1591">
        <v>7785</v>
      </c>
      <c r="B1591" s="15">
        <v>43967</v>
      </c>
      <c r="C1591" t="str">
        <f>TEXT(Table1[[#This Row],[Order Date]], "yyyy")</f>
        <v>2020</v>
      </c>
      <c r="D1591" t="str">
        <f>TEXT(Table1[[#This Row],[Order Date]], "mmmm")</f>
        <v>May</v>
      </c>
      <c r="E1591" s="16">
        <f>Table1[[#This Row],[Order Quantity]]*Table1[[#This Row],[Unit Price]]</f>
        <v>8149.36</v>
      </c>
      <c r="F1591">
        <v>23</v>
      </c>
      <c r="G1591" s="16">
        <v>354.32</v>
      </c>
      <c r="H1591" t="s">
        <v>464</v>
      </c>
      <c r="I1591" t="s">
        <v>1044</v>
      </c>
      <c r="J1591" t="s">
        <v>13</v>
      </c>
      <c r="K1591" t="s">
        <v>11</v>
      </c>
    </row>
    <row r="1592" spans="1:11" x14ac:dyDescent="0.45">
      <c r="A1592">
        <v>7786</v>
      </c>
      <c r="B1592" s="15">
        <v>43919</v>
      </c>
      <c r="C1592" t="str">
        <f>TEXT(Table1[[#This Row],[Order Date]], "yyyy")</f>
        <v>2020</v>
      </c>
      <c r="D1592" t="str">
        <f>TEXT(Table1[[#This Row],[Order Date]], "mmmm")</f>
        <v>March</v>
      </c>
      <c r="E1592" s="16">
        <f>Table1[[#This Row],[Order Quantity]]*Table1[[#This Row],[Unit Price]]</f>
        <v>3868.9700000000003</v>
      </c>
      <c r="F1592">
        <v>7</v>
      </c>
      <c r="G1592" s="16">
        <v>552.71</v>
      </c>
      <c r="H1592" t="s">
        <v>25</v>
      </c>
      <c r="I1592" t="s">
        <v>1045</v>
      </c>
      <c r="J1592" t="s">
        <v>23</v>
      </c>
      <c r="K1592" t="s">
        <v>15</v>
      </c>
    </row>
    <row r="1593" spans="1:11" x14ac:dyDescent="0.45">
      <c r="A1593">
        <v>7787</v>
      </c>
      <c r="B1593" s="15">
        <v>44091</v>
      </c>
      <c r="C1593" t="str">
        <f>TEXT(Table1[[#This Row],[Order Date]], "yyyy")</f>
        <v>2020</v>
      </c>
      <c r="D1593" t="str">
        <f>TEXT(Table1[[#This Row],[Order Date]], "mmmm")</f>
        <v>September</v>
      </c>
      <c r="E1593" s="16">
        <f>Table1[[#This Row],[Order Quantity]]*Table1[[#This Row],[Unit Price]]</f>
        <v>52538.64</v>
      </c>
      <c r="F1593">
        <v>88</v>
      </c>
      <c r="G1593" s="16">
        <v>597.03</v>
      </c>
      <c r="H1593" t="s">
        <v>8</v>
      </c>
      <c r="I1593" t="s">
        <v>1046</v>
      </c>
      <c r="J1593" t="s">
        <v>23</v>
      </c>
      <c r="K1593" t="s">
        <v>15</v>
      </c>
    </row>
    <row r="1594" spans="1:11" x14ac:dyDescent="0.45">
      <c r="A1594">
        <v>7788</v>
      </c>
      <c r="B1594" s="15">
        <v>43983</v>
      </c>
      <c r="C1594" t="str">
        <f>TEXT(Table1[[#This Row],[Order Date]], "yyyy")</f>
        <v>2020</v>
      </c>
      <c r="D1594" t="str">
        <f>TEXT(Table1[[#This Row],[Order Date]], "mmmm")</f>
        <v>June</v>
      </c>
      <c r="E1594" s="16">
        <f>Table1[[#This Row],[Order Quantity]]*Table1[[#This Row],[Unit Price]]</f>
        <v>89117</v>
      </c>
      <c r="F1594">
        <v>70</v>
      </c>
      <c r="G1594" s="16">
        <v>1273.0999999999999</v>
      </c>
      <c r="H1594" t="s">
        <v>464</v>
      </c>
      <c r="I1594" t="s">
        <v>1047</v>
      </c>
      <c r="J1594" t="s">
        <v>20</v>
      </c>
      <c r="K1594" t="s">
        <v>15</v>
      </c>
    </row>
    <row r="1595" spans="1:11" x14ac:dyDescent="0.45">
      <c r="A1595">
        <v>7789</v>
      </c>
      <c r="B1595" s="15">
        <v>43976</v>
      </c>
      <c r="C1595" t="str">
        <f>TEXT(Table1[[#This Row],[Order Date]], "yyyy")</f>
        <v>2020</v>
      </c>
      <c r="D1595" t="str">
        <f>TEXT(Table1[[#This Row],[Order Date]], "mmmm")</f>
        <v>May</v>
      </c>
      <c r="E1595" s="16">
        <f>Table1[[#This Row],[Order Quantity]]*Table1[[#This Row],[Unit Price]]</f>
        <v>22718.94</v>
      </c>
      <c r="F1595">
        <v>69</v>
      </c>
      <c r="G1595" s="16">
        <v>329.26</v>
      </c>
      <c r="H1595" t="s">
        <v>25</v>
      </c>
      <c r="I1595" t="s">
        <v>1048</v>
      </c>
      <c r="J1595" t="s">
        <v>20</v>
      </c>
      <c r="K1595" t="s">
        <v>11</v>
      </c>
    </row>
    <row r="1596" spans="1:11" x14ac:dyDescent="0.45">
      <c r="A1596">
        <v>7790</v>
      </c>
      <c r="B1596" s="15">
        <v>44148</v>
      </c>
      <c r="C1596" t="str">
        <f>TEXT(Table1[[#This Row],[Order Date]], "yyyy")</f>
        <v>2020</v>
      </c>
      <c r="D1596" t="str">
        <f>TEXT(Table1[[#This Row],[Order Date]], "mmmm")</f>
        <v>November</v>
      </c>
      <c r="E1596" s="16">
        <f>Table1[[#This Row],[Order Quantity]]*Table1[[#This Row],[Unit Price]]</f>
        <v>11916.32</v>
      </c>
      <c r="F1596">
        <v>17</v>
      </c>
      <c r="G1596" s="16">
        <v>700.96</v>
      </c>
      <c r="H1596" t="s">
        <v>8</v>
      </c>
      <c r="I1596" t="s">
        <v>1049</v>
      </c>
      <c r="J1596" t="s">
        <v>23</v>
      </c>
      <c r="K1596" t="s">
        <v>17</v>
      </c>
    </row>
    <row r="1597" spans="1:11" x14ac:dyDescent="0.45">
      <c r="A1597">
        <v>7791</v>
      </c>
      <c r="B1597" s="15">
        <v>44082</v>
      </c>
      <c r="C1597" t="str">
        <f>TEXT(Table1[[#This Row],[Order Date]], "yyyy")</f>
        <v>2020</v>
      </c>
      <c r="D1597" t="str">
        <f>TEXT(Table1[[#This Row],[Order Date]], "mmmm")</f>
        <v>September</v>
      </c>
      <c r="E1597" s="16">
        <f>Table1[[#This Row],[Order Quantity]]*Table1[[#This Row],[Unit Price]]</f>
        <v>48889.62</v>
      </c>
      <c r="F1597">
        <v>51</v>
      </c>
      <c r="G1597" s="16">
        <v>958.62</v>
      </c>
      <c r="H1597" t="s">
        <v>8</v>
      </c>
      <c r="I1597" t="s">
        <v>1050</v>
      </c>
      <c r="J1597" t="s">
        <v>10</v>
      </c>
      <c r="K1597" t="s">
        <v>15</v>
      </c>
    </row>
    <row r="1598" spans="1:11" x14ac:dyDescent="0.45">
      <c r="A1598">
        <v>7792</v>
      </c>
      <c r="B1598" s="15">
        <v>43882</v>
      </c>
      <c r="C1598" t="str">
        <f>TEXT(Table1[[#This Row],[Order Date]], "yyyy")</f>
        <v>2020</v>
      </c>
      <c r="D1598" t="str">
        <f>TEXT(Table1[[#This Row],[Order Date]], "mmmm")</f>
        <v>February</v>
      </c>
      <c r="E1598" s="16">
        <f>Table1[[#This Row],[Order Quantity]]*Table1[[#This Row],[Unit Price]]</f>
        <v>1415.8799999999999</v>
      </c>
      <c r="F1598">
        <v>27</v>
      </c>
      <c r="G1598" s="16">
        <v>52.44</v>
      </c>
      <c r="H1598" t="s">
        <v>464</v>
      </c>
      <c r="I1598" t="s">
        <v>1051</v>
      </c>
      <c r="J1598" t="s">
        <v>20</v>
      </c>
      <c r="K1598" t="s">
        <v>11</v>
      </c>
    </row>
    <row r="1599" spans="1:11" x14ac:dyDescent="0.45">
      <c r="A1599">
        <v>7793</v>
      </c>
      <c r="B1599" s="15">
        <v>43965</v>
      </c>
      <c r="C1599" t="str">
        <f>TEXT(Table1[[#This Row],[Order Date]], "yyyy")</f>
        <v>2020</v>
      </c>
      <c r="D1599" t="str">
        <f>TEXT(Table1[[#This Row],[Order Date]], "mmmm")</f>
        <v>May</v>
      </c>
      <c r="E1599" s="16">
        <f>Table1[[#This Row],[Order Quantity]]*Table1[[#This Row],[Unit Price]]</f>
        <v>6150.3200000000006</v>
      </c>
      <c r="F1599">
        <v>58</v>
      </c>
      <c r="G1599" s="16">
        <v>106.04</v>
      </c>
      <c r="H1599" t="s">
        <v>8</v>
      </c>
      <c r="I1599" t="s">
        <v>1052</v>
      </c>
      <c r="J1599" t="s">
        <v>20</v>
      </c>
      <c r="K1599" t="s">
        <v>15</v>
      </c>
    </row>
    <row r="1600" spans="1:11" x14ac:dyDescent="0.45">
      <c r="A1600">
        <v>7794</v>
      </c>
      <c r="B1600" s="15">
        <v>44002</v>
      </c>
      <c r="C1600" t="str">
        <f>TEXT(Table1[[#This Row],[Order Date]], "yyyy")</f>
        <v>2020</v>
      </c>
      <c r="D1600" t="str">
        <f>TEXT(Table1[[#This Row],[Order Date]], "mmmm")</f>
        <v>June</v>
      </c>
      <c r="E1600" s="16">
        <f>Table1[[#This Row],[Order Quantity]]*Table1[[#This Row],[Unit Price]]</f>
        <v>42203.16</v>
      </c>
      <c r="F1600">
        <v>92</v>
      </c>
      <c r="G1600" s="16">
        <v>458.73</v>
      </c>
      <c r="H1600" t="s">
        <v>25</v>
      </c>
      <c r="I1600" t="s">
        <v>1053</v>
      </c>
      <c r="J1600" t="s">
        <v>23</v>
      </c>
      <c r="K1600" t="s">
        <v>11</v>
      </c>
    </row>
    <row r="1601" spans="1:11" x14ac:dyDescent="0.45">
      <c r="A1601">
        <v>7795</v>
      </c>
      <c r="B1601" s="15">
        <v>43878</v>
      </c>
      <c r="C1601" t="str">
        <f>TEXT(Table1[[#This Row],[Order Date]], "yyyy")</f>
        <v>2020</v>
      </c>
      <c r="D1601" t="str">
        <f>TEXT(Table1[[#This Row],[Order Date]], "mmmm")</f>
        <v>February</v>
      </c>
      <c r="E1601" s="16">
        <f>Table1[[#This Row],[Order Quantity]]*Table1[[#This Row],[Unit Price]]</f>
        <v>16050.580000000002</v>
      </c>
      <c r="F1601">
        <v>26</v>
      </c>
      <c r="G1601" s="16">
        <v>617.33000000000004</v>
      </c>
      <c r="H1601" t="s">
        <v>464</v>
      </c>
      <c r="I1601" t="s">
        <v>1054</v>
      </c>
      <c r="J1601" t="s">
        <v>10</v>
      </c>
      <c r="K1601" t="s">
        <v>17</v>
      </c>
    </row>
    <row r="1602" spans="1:11" x14ac:dyDescent="0.45">
      <c r="A1602">
        <v>7796</v>
      </c>
      <c r="B1602" s="15">
        <v>44137</v>
      </c>
      <c r="C1602" t="str">
        <f>TEXT(Table1[[#This Row],[Order Date]], "yyyy")</f>
        <v>2020</v>
      </c>
      <c r="D1602" t="str">
        <f>TEXT(Table1[[#This Row],[Order Date]], "mmmm")</f>
        <v>November</v>
      </c>
      <c r="E1602" s="16">
        <f>Table1[[#This Row],[Order Quantity]]*Table1[[#This Row],[Unit Price]]</f>
        <v>12412.8</v>
      </c>
      <c r="F1602">
        <v>64</v>
      </c>
      <c r="G1602" s="16">
        <v>193.95</v>
      </c>
      <c r="H1602" t="s">
        <v>8</v>
      </c>
      <c r="I1602" t="s">
        <v>1055</v>
      </c>
      <c r="J1602" t="s">
        <v>23</v>
      </c>
      <c r="K1602" t="s">
        <v>15</v>
      </c>
    </row>
    <row r="1603" spans="1:11" x14ac:dyDescent="0.45">
      <c r="A1603">
        <v>7797</v>
      </c>
      <c r="B1603" s="15">
        <v>44049</v>
      </c>
      <c r="C1603" t="str">
        <f>TEXT(Table1[[#This Row],[Order Date]], "yyyy")</f>
        <v>2020</v>
      </c>
      <c r="D1603" t="str">
        <f>TEXT(Table1[[#This Row],[Order Date]], "mmmm")</f>
        <v>August</v>
      </c>
      <c r="E1603" s="16">
        <f>Table1[[#This Row],[Order Quantity]]*Table1[[#This Row],[Unit Price]]</f>
        <v>11939.22</v>
      </c>
      <c r="F1603">
        <v>19</v>
      </c>
      <c r="G1603" s="16">
        <v>628.38</v>
      </c>
      <c r="H1603" t="s">
        <v>25</v>
      </c>
      <c r="I1603" t="s">
        <v>1056</v>
      </c>
      <c r="J1603" t="s">
        <v>20</v>
      </c>
      <c r="K1603" t="s">
        <v>17</v>
      </c>
    </row>
    <row r="1604" spans="1:11" x14ac:dyDescent="0.45">
      <c r="A1604">
        <v>7798</v>
      </c>
      <c r="B1604" s="15">
        <v>44020</v>
      </c>
      <c r="C1604" t="str">
        <f>TEXT(Table1[[#This Row],[Order Date]], "yyyy")</f>
        <v>2020</v>
      </c>
      <c r="D1604" t="str">
        <f>TEXT(Table1[[#This Row],[Order Date]], "mmmm")</f>
        <v>July</v>
      </c>
      <c r="E1604" s="16">
        <f>Table1[[#This Row],[Order Quantity]]*Table1[[#This Row],[Unit Price]]</f>
        <v>34764.659999999996</v>
      </c>
      <c r="F1604">
        <v>27</v>
      </c>
      <c r="G1604" s="16">
        <v>1287.58</v>
      </c>
      <c r="H1604" t="s">
        <v>464</v>
      </c>
      <c r="I1604" t="s">
        <v>1057</v>
      </c>
      <c r="J1604" t="s">
        <v>20</v>
      </c>
      <c r="K1604" t="s">
        <v>17</v>
      </c>
    </row>
    <row r="1605" spans="1:11" x14ac:dyDescent="0.45">
      <c r="A1605">
        <v>7799</v>
      </c>
      <c r="B1605" s="15">
        <v>43920</v>
      </c>
      <c r="C1605" t="str">
        <f>TEXT(Table1[[#This Row],[Order Date]], "yyyy")</f>
        <v>2020</v>
      </c>
      <c r="D1605" t="str">
        <f>TEXT(Table1[[#This Row],[Order Date]], "mmmm")</f>
        <v>March</v>
      </c>
      <c r="E1605" s="16">
        <f>Table1[[#This Row],[Order Quantity]]*Table1[[#This Row],[Unit Price]]</f>
        <v>14762.880000000001</v>
      </c>
      <c r="F1605">
        <v>96</v>
      </c>
      <c r="G1605" s="16">
        <v>153.78</v>
      </c>
      <c r="H1605" t="s">
        <v>464</v>
      </c>
      <c r="I1605" t="s">
        <v>1058</v>
      </c>
      <c r="J1605" t="s">
        <v>23</v>
      </c>
      <c r="K1605" t="s">
        <v>15</v>
      </c>
    </row>
    <row r="1606" spans="1:11" x14ac:dyDescent="0.45">
      <c r="A1606">
        <v>7800</v>
      </c>
      <c r="B1606" s="15">
        <v>44158</v>
      </c>
      <c r="C1606" t="str">
        <f>TEXT(Table1[[#This Row],[Order Date]], "yyyy")</f>
        <v>2020</v>
      </c>
      <c r="D1606" t="str">
        <f>TEXT(Table1[[#This Row],[Order Date]], "mmmm")</f>
        <v>November</v>
      </c>
      <c r="E1606" s="16">
        <f>Table1[[#This Row],[Order Quantity]]*Table1[[#This Row],[Unit Price]]</f>
        <v>815.22</v>
      </c>
      <c r="F1606">
        <v>3</v>
      </c>
      <c r="G1606" s="16">
        <v>271.74</v>
      </c>
      <c r="H1606" t="s">
        <v>8</v>
      </c>
      <c r="I1606" t="s">
        <v>1059</v>
      </c>
      <c r="J1606" t="s">
        <v>13</v>
      </c>
      <c r="K1606" t="s">
        <v>17</v>
      </c>
    </row>
    <row r="1607" spans="1:11" x14ac:dyDescent="0.45">
      <c r="A1607">
        <v>7801</v>
      </c>
      <c r="B1607" s="15">
        <v>44175</v>
      </c>
      <c r="C1607" t="str">
        <f>TEXT(Table1[[#This Row],[Order Date]], "yyyy")</f>
        <v>2020</v>
      </c>
      <c r="D1607" t="str">
        <f>TEXT(Table1[[#This Row],[Order Date]], "mmmm")</f>
        <v>December</v>
      </c>
      <c r="E1607" s="16">
        <f>Table1[[#This Row],[Order Quantity]]*Table1[[#This Row],[Unit Price]]</f>
        <v>20308.72</v>
      </c>
      <c r="F1607">
        <v>19</v>
      </c>
      <c r="G1607" s="16">
        <v>1068.8800000000001</v>
      </c>
      <c r="H1607" t="s">
        <v>464</v>
      </c>
      <c r="I1607" t="s">
        <v>1060</v>
      </c>
      <c r="J1607" t="s">
        <v>23</v>
      </c>
      <c r="K1607" t="s">
        <v>17</v>
      </c>
    </row>
    <row r="1608" spans="1:11" x14ac:dyDescent="0.45">
      <c r="A1608">
        <v>7802</v>
      </c>
      <c r="B1608" s="15">
        <v>43929</v>
      </c>
      <c r="C1608" t="str">
        <f>TEXT(Table1[[#This Row],[Order Date]], "yyyy")</f>
        <v>2020</v>
      </c>
      <c r="D1608" t="str">
        <f>TEXT(Table1[[#This Row],[Order Date]], "mmmm")</f>
        <v>April</v>
      </c>
      <c r="E1608" s="16">
        <f>Table1[[#This Row],[Order Quantity]]*Table1[[#This Row],[Unit Price]]</f>
        <v>94576.24</v>
      </c>
      <c r="F1608">
        <v>88</v>
      </c>
      <c r="G1608" s="16">
        <v>1074.73</v>
      </c>
      <c r="H1608" t="s">
        <v>25</v>
      </c>
      <c r="I1608" t="s">
        <v>1061</v>
      </c>
      <c r="J1608" t="s">
        <v>13</v>
      </c>
      <c r="K1608" t="s">
        <v>11</v>
      </c>
    </row>
    <row r="1609" spans="1:11" x14ac:dyDescent="0.45">
      <c r="A1609">
        <v>7803</v>
      </c>
      <c r="B1609" s="15">
        <v>43932</v>
      </c>
      <c r="C1609" t="str">
        <f>TEXT(Table1[[#This Row],[Order Date]], "yyyy")</f>
        <v>2020</v>
      </c>
      <c r="D1609" t="str">
        <f>TEXT(Table1[[#This Row],[Order Date]], "mmmm")</f>
        <v>April</v>
      </c>
      <c r="E1609" s="16">
        <f>Table1[[#This Row],[Order Quantity]]*Table1[[#This Row],[Unit Price]]</f>
        <v>131143.32</v>
      </c>
      <c r="F1609">
        <v>99</v>
      </c>
      <c r="G1609" s="16">
        <v>1324.68</v>
      </c>
      <c r="H1609" t="s">
        <v>464</v>
      </c>
      <c r="I1609" t="s">
        <v>1062</v>
      </c>
      <c r="J1609" t="s">
        <v>13</v>
      </c>
      <c r="K1609" t="s">
        <v>15</v>
      </c>
    </row>
    <row r="1610" spans="1:11" x14ac:dyDescent="0.45">
      <c r="A1610">
        <v>7804</v>
      </c>
      <c r="B1610" s="15">
        <v>44181</v>
      </c>
      <c r="C1610" t="str">
        <f>TEXT(Table1[[#This Row],[Order Date]], "yyyy")</f>
        <v>2020</v>
      </c>
      <c r="D1610" t="str">
        <f>TEXT(Table1[[#This Row],[Order Date]], "mmmm")</f>
        <v>December</v>
      </c>
      <c r="E1610" s="16">
        <f>Table1[[#This Row],[Order Quantity]]*Table1[[#This Row],[Unit Price]]</f>
        <v>2521.88</v>
      </c>
      <c r="F1610">
        <v>2</v>
      </c>
      <c r="G1610" s="16">
        <v>1260.94</v>
      </c>
      <c r="H1610" t="s">
        <v>464</v>
      </c>
      <c r="I1610" t="s">
        <v>1063</v>
      </c>
      <c r="J1610" t="s">
        <v>10</v>
      </c>
      <c r="K1610" t="s">
        <v>15</v>
      </c>
    </row>
    <row r="1611" spans="1:11" x14ac:dyDescent="0.45">
      <c r="A1611">
        <v>7805</v>
      </c>
      <c r="B1611" s="15">
        <v>44071</v>
      </c>
      <c r="C1611" t="str">
        <f>TEXT(Table1[[#This Row],[Order Date]], "yyyy")</f>
        <v>2020</v>
      </c>
      <c r="D1611" t="str">
        <f>TEXT(Table1[[#This Row],[Order Date]], "mmmm")</f>
        <v>August</v>
      </c>
      <c r="E1611" s="16">
        <f>Table1[[#This Row],[Order Quantity]]*Table1[[#This Row],[Unit Price]]</f>
        <v>29165.5</v>
      </c>
      <c r="F1611">
        <v>70</v>
      </c>
      <c r="G1611" s="16">
        <v>416.65</v>
      </c>
      <c r="H1611" t="s">
        <v>8</v>
      </c>
      <c r="I1611" t="s">
        <v>1064</v>
      </c>
      <c r="J1611" t="s">
        <v>20</v>
      </c>
      <c r="K1611" t="s">
        <v>15</v>
      </c>
    </row>
    <row r="1612" spans="1:11" x14ac:dyDescent="0.45">
      <c r="A1612">
        <v>7806</v>
      </c>
      <c r="B1612" s="15">
        <v>44194</v>
      </c>
      <c r="C1612" t="str">
        <f>TEXT(Table1[[#This Row],[Order Date]], "yyyy")</f>
        <v>2020</v>
      </c>
      <c r="D1612" t="str">
        <f>TEXT(Table1[[#This Row],[Order Date]], "mmmm")</f>
        <v>December</v>
      </c>
      <c r="E1612" s="16">
        <f>Table1[[#This Row],[Order Quantity]]*Table1[[#This Row],[Unit Price]]</f>
        <v>754.86</v>
      </c>
      <c r="F1612">
        <v>3</v>
      </c>
      <c r="G1612" s="16">
        <v>251.62</v>
      </c>
      <c r="H1612" t="s">
        <v>464</v>
      </c>
      <c r="I1612" t="s">
        <v>1065</v>
      </c>
      <c r="J1612" t="s">
        <v>23</v>
      </c>
      <c r="K1612" t="s">
        <v>15</v>
      </c>
    </row>
    <row r="1613" spans="1:11" x14ac:dyDescent="0.45">
      <c r="A1613">
        <v>7807</v>
      </c>
      <c r="B1613" s="15">
        <v>44031</v>
      </c>
      <c r="C1613" t="str">
        <f>TEXT(Table1[[#This Row],[Order Date]], "yyyy")</f>
        <v>2020</v>
      </c>
      <c r="D1613" t="str">
        <f>TEXT(Table1[[#This Row],[Order Date]], "mmmm")</f>
        <v>July</v>
      </c>
      <c r="E1613" s="16">
        <f>Table1[[#This Row],[Order Quantity]]*Table1[[#This Row],[Unit Price]]</f>
        <v>106466.40000000001</v>
      </c>
      <c r="F1613">
        <v>81</v>
      </c>
      <c r="G1613" s="16">
        <v>1314.4</v>
      </c>
      <c r="H1613" t="s">
        <v>464</v>
      </c>
      <c r="I1613" t="s">
        <v>1066</v>
      </c>
      <c r="J1613" t="s">
        <v>23</v>
      </c>
      <c r="K1613" t="s">
        <v>11</v>
      </c>
    </row>
    <row r="1614" spans="1:11" x14ac:dyDescent="0.45">
      <c r="A1614">
        <v>7808</v>
      </c>
      <c r="B1614" s="15">
        <v>43941</v>
      </c>
      <c r="C1614" t="str">
        <f>TEXT(Table1[[#This Row],[Order Date]], "yyyy")</f>
        <v>2020</v>
      </c>
      <c r="D1614" t="str">
        <f>TEXT(Table1[[#This Row],[Order Date]], "mmmm")</f>
        <v>April</v>
      </c>
      <c r="E1614" s="16">
        <f>Table1[[#This Row],[Order Quantity]]*Table1[[#This Row],[Unit Price]]</f>
        <v>13336.53</v>
      </c>
      <c r="F1614">
        <v>97</v>
      </c>
      <c r="G1614" s="16">
        <v>137.49</v>
      </c>
      <c r="H1614" t="s">
        <v>464</v>
      </c>
      <c r="I1614" t="s">
        <v>1067</v>
      </c>
      <c r="J1614" t="s">
        <v>13</v>
      </c>
      <c r="K1614" t="s">
        <v>15</v>
      </c>
    </row>
    <row r="1615" spans="1:11" x14ac:dyDescent="0.45">
      <c r="A1615">
        <v>7809</v>
      </c>
      <c r="B1615" s="15">
        <v>44194</v>
      </c>
      <c r="C1615" t="str">
        <f>TEXT(Table1[[#This Row],[Order Date]], "yyyy")</f>
        <v>2020</v>
      </c>
      <c r="D1615" t="str">
        <f>TEXT(Table1[[#This Row],[Order Date]], "mmmm")</f>
        <v>December</v>
      </c>
      <c r="E1615" s="16">
        <f>Table1[[#This Row],[Order Quantity]]*Table1[[#This Row],[Unit Price]]</f>
        <v>57960.800000000003</v>
      </c>
      <c r="F1615">
        <v>80</v>
      </c>
      <c r="G1615" s="16">
        <v>724.51</v>
      </c>
      <c r="H1615" t="s">
        <v>25</v>
      </c>
      <c r="I1615" t="s">
        <v>1068</v>
      </c>
      <c r="J1615" t="s">
        <v>10</v>
      </c>
      <c r="K1615" t="s">
        <v>11</v>
      </c>
    </row>
    <row r="1616" spans="1:11" x14ac:dyDescent="0.45">
      <c r="A1616">
        <v>7810</v>
      </c>
      <c r="B1616" s="15">
        <v>44050</v>
      </c>
      <c r="C1616" t="str">
        <f>TEXT(Table1[[#This Row],[Order Date]], "yyyy")</f>
        <v>2020</v>
      </c>
      <c r="D1616" t="str">
        <f>TEXT(Table1[[#This Row],[Order Date]], "mmmm")</f>
        <v>August</v>
      </c>
      <c r="E1616" s="16">
        <f>Table1[[#This Row],[Order Quantity]]*Table1[[#This Row],[Unit Price]]</f>
        <v>26248.600000000002</v>
      </c>
      <c r="F1616">
        <v>28</v>
      </c>
      <c r="G1616" s="16">
        <v>937.45</v>
      </c>
      <c r="H1616" t="s">
        <v>8</v>
      </c>
      <c r="I1616" t="s">
        <v>1069</v>
      </c>
      <c r="J1616" t="s">
        <v>20</v>
      </c>
      <c r="K1616" t="s">
        <v>17</v>
      </c>
    </row>
    <row r="1617" spans="1:11" x14ac:dyDescent="0.45">
      <c r="A1617">
        <v>7811</v>
      </c>
      <c r="B1617" s="15">
        <v>44106</v>
      </c>
      <c r="C1617" t="str">
        <f>TEXT(Table1[[#This Row],[Order Date]], "yyyy")</f>
        <v>2020</v>
      </c>
      <c r="D1617" t="str">
        <f>TEXT(Table1[[#This Row],[Order Date]], "mmmm")</f>
        <v>October</v>
      </c>
      <c r="E1617" s="16">
        <f>Table1[[#This Row],[Order Quantity]]*Table1[[#This Row],[Unit Price]]</f>
        <v>9752.34</v>
      </c>
      <c r="F1617">
        <v>78</v>
      </c>
      <c r="G1617" s="16">
        <v>125.03</v>
      </c>
      <c r="H1617" t="s">
        <v>25</v>
      </c>
      <c r="I1617" t="s">
        <v>1070</v>
      </c>
      <c r="J1617" t="s">
        <v>20</v>
      </c>
      <c r="K1617" t="s">
        <v>15</v>
      </c>
    </row>
    <row r="1618" spans="1:11" x14ac:dyDescent="0.45">
      <c r="A1618">
        <v>7812</v>
      </c>
      <c r="B1618" s="15">
        <v>43994</v>
      </c>
      <c r="C1618" t="str">
        <f>TEXT(Table1[[#This Row],[Order Date]], "yyyy")</f>
        <v>2020</v>
      </c>
      <c r="D1618" t="str">
        <f>TEXT(Table1[[#This Row],[Order Date]], "mmmm")</f>
        <v>June</v>
      </c>
      <c r="E1618" s="16">
        <f>Table1[[#This Row],[Order Quantity]]*Table1[[#This Row],[Unit Price]]</f>
        <v>17552.96</v>
      </c>
      <c r="F1618">
        <v>16</v>
      </c>
      <c r="G1618" s="16">
        <v>1097.06</v>
      </c>
      <c r="H1618" t="s">
        <v>25</v>
      </c>
      <c r="I1618" t="s">
        <v>1071</v>
      </c>
      <c r="J1618" t="s">
        <v>13</v>
      </c>
      <c r="K1618" t="s">
        <v>15</v>
      </c>
    </row>
    <row r="1619" spans="1:11" x14ac:dyDescent="0.45">
      <c r="A1619">
        <v>7813</v>
      </c>
      <c r="B1619" s="15">
        <v>43889</v>
      </c>
      <c r="C1619" t="str">
        <f>TEXT(Table1[[#This Row],[Order Date]], "yyyy")</f>
        <v>2020</v>
      </c>
      <c r="D1619" t="str">
        <f>TEXT(Table1[[#This Row],[Order Date]], "mmmm")</f>
        <v>February</v>
      </c>
      <c r="E1619" s="16">
        <f>Table1[[#This Row],[Order Quantity]]*Table1[[#This Row],[Unit Price]]</f>
        <v>11904.570000000002</v>
      </c>
      <c r="F1619">
        <v>27</v>
      </c>
      <c r="G1619" s="16">
        <v>440.91</v>
      </c>
      <c r="H1619" t="s">
        <v>464</v>
      </c>
      <c r="I1619" t="s">
        <v>1072</v>
      </c>
      <c r="J1619" t="s">
        <v>10</v>
      </c>
      <c r="K1619" t="s">
        <v>15</v>
      </c>
    </row>
    <row r="1620" spans="1:11" x14ac:dyDescent="0.45">
      <c r="A1620">
        <v>7814</v>
      </c>
      <c r="B1620" s="15">
        <v>44114</v>
      </c>
      <c r="C1620" t="str">
        <f>TEXT(Table1[[#This Row],[Order Date]], "yyyy")</f>
        <v>2020</v>
      </c>
      <c r="D1620" t="str">
        <f>TEXT(Table1[[#This Row],[Order Date]], "mmmm")</f>
        <v>October</v>
      </c>
      <c r="E1620" s="16">
        <f>Table1[[#This Row],[Order Quantity]]*Table1[[#This Row],[Unit Price]]</f>
        <v>58320.639999999999</v>
      </c>
      <c r="F1620">
        <v>92</v>
      </c>
      <c r="G1620" s="16">
        <v>633.91999999999996</v>
      </c>
      <c r="H1620" t="s">
        <v>464</v>
      </c>
      <c r="I1620" t="s">
        <v>1073</v>
      </c>
      <c r="J1620" t="s">
        <v>23</v>
      </c>
      <c r="K1620" t="s">
        <v>17</v>
      </c>
    </row>
    <row r="1621" spans="1:11" x14ac:dyDescent="0.45">
      <c r="A1621">
        <v>7815</v>
      </c>
      <c r="B1621" s="15">
        <v>43948</v>
      </c>
      <c r="C1621" t="str">
        <f>TEXT(Table1[[#This Row],[Order Date]], "yyyy")</f>
        <v>2020</v>
      </c>
      <c r="D1621" t="str">
        <f>TEXT(Table1[[#This Row],[Order Date]], "mmmm")</f>
        <v>April</v>
      </c>
      <c r="E1621" s="16">
        <f>Table1[[#This Row],[Order Quantity]]*Table1[[#This Row],[Unit Price]]</f>
        <v>39967.21</v>
      </c>
      <c r="F1621">
        <v>41</v>
      </c>
      <c r="G1621" s="16">
        <v>974.81</v>
      </c>
      <c r="H1621" t="s">
        <v>464</v>
      </c>
      <c r="I1621" t="s">
        <v>1074</v>
      </c>
      <c r="J1621" t="s">
        <v>13</v>
      </c>
      <c r="K1621" t="s">
        <v>17</v>
      </c>
    </row>
    <row r="1622" spans="1:11" x14ac:dyDescent="0.45">
      <c r="A1622">
        <v>7816</v>
      </c>
      <c r="B1622" s="15">
        <v>44124</v>
      </c>
      <c r="C1622" t="str">
        <f>TEXT(Table1[[#This Row],[Order Date]], "yyyy")</f>
        <v>2020</v>
      </c>
      <c r="D1622" t="str">
        <f>TEXT(Table1[[#This Row],[Order Date]], "mmmm")</f>
        <v>October</v>
      </c>
      <c r="E1622" s="16">
        <f>Table1[[#This Row],[Order Quantity]]*Table1[[#This Row],[Unit Price]]</f>
        <v>62798.280000000006</v>
      </c>
      <c r="F1622">
        <v>92</v>
      </c>
      <c r="G1622" s="16">
        <v>682.59</v>
      </c>
      <c r="H1622" t="s">
        <v>8</v>
      </c>
      <c r="I1622" t="s">
        <v>1075</v>
      </c>
      <c r="J1622" t="s">
        <v>23</v>
      </c>
      <c r="K1622" t="s">
        <v>15</v>
      </c>
    </row>
    <row r="1623" spans="1:11" x14ac:dyDescent="0.45">
      <c r="A1623">
        <v>7817</v>
      </c>
      <c r="B1623" s="15">
        <v>43974</v>
      </c>
      <c r="C1623" t="str">
        <f>TEXT(Table1[[#This Row],[Order Date]], "yyyy")</f>
        <v>2020</v>
      </c>
      <c r="D1623" t="str">
        <f>TEXT(Table1[[#This Row],[Order Date]], "mmmm")</f>
        <v>May</v>
      </c>
      <c r="E1623" s="16">
        <f>Table1[[#This Row],[Order Quantity]]*Table1[[#This Row],[Unit Price]]</f>
        <v>6792.24</v>
      </c>
      <c r="F1623">
        <v>78</v>
      </c>
      <c r="G1623" s="16">
        <v>87.08</v>
      </c>
      <c r="H1623" t="s">
        <v>25</v>
      </c>
      <c r="I1623" t="s">
        <v>1076</v>
      </c>
      <c r="J1623" t="s">
        <v>20</v>
      </c>
      <c r="K1623" t="s">
        <v>15</v>
      </c>
    </row>
    <row r="1624" spans="1:11" x14ac:dyDescent="0.45">
      <c r="A1624">
        <v>7818</v>
      </c>
      <c r="B1624" s="15">
        <v>44049</v>
      </c>
      <c r="C1624" t="str">
        <f>TEXT(Table1[[#This Row],[Order Date]], "yyyy")</f>
        <v>2020</v>
      </c>
      <c r="D1624" t="str">
        <f>TEXT(Table1[[#This Row],[Order Date]], "mmmm")</f>
        <v>August</v>
      </c>
      <c r="E1624" s="16">
        <f>Table1[[#This Row],[Order Quantity]]*Table1[[#This Row],[Unit Price]]</f>
        <v>855.78</v>
      </c>
      <c r="F1624">
        <v>2</v>
      </c>
      <c r="G1624" s="16">
        <v>427.89</v>
      </c>
      <c r="H1624" t="s">
        <v>8</v>
      </c>
      <c r="I1624" t="s">
        <v>1077</v>
      </c>
      <c r="J1624" t="s">
        <v>13</v>
      </c>
      <c r="K1624" t="s">
        <v>11</v>
      </c>
    </row>
    <row r="1625" spans="1:11" x14ac:dyDescent="0.45">
      <c r="A1625">
        <v>7819</v>
      </c>
      <c r="B1625" s="15">
        <v>43918</v>
      </c>
      <c r="C1625" t="str">
        <f>TEXT(Table1[[#This Row],[Order Date]], "yyyy")</f>
        <v>2020</v>
      </c>
      <c r="D1625" t="str">
        <f>TEXT(Table1[[#This Row],[Order Date]], "mmmm")</f>
        <v>March</v>
      </c>
      <c r="E1625" s="16">
        <f>Table1[[#This Row],[Order Quantity]]*Table1[[#This Row],[Unit Price]]</f>
        <v>19994.34</v>
      </c>
      <c r="F1625">
        <v>29</v>
      </c>
      <c r="G1625" s="16">
        <v>689.46</v>
      </c>
      <c r="H1625" t="s">
        <v>25</v>
      </c>
      <c r="I1625" t="s">
        <v>1078</v>
      </c>
      <c r="J1625" t="s">
        <v>10</v>
      </c>
      <c r="K1625" t="s">
        <v>17</v>
      </c>
    </row>
    <row r="1626" spans="1:11" x14ac:dyDescent="0.45">
      <c r="A1626">
        <v>7820</v>
      </c>
      <c r="B1626" s="15">
        <v>44039</v>
      </c>
      <c r="C1626" t="str">
        <f>TEXT(Table1[[#This Row],[Order Date]], "yyyy")</f>
        <v>2020</v>
      </c>
      <c r="D1626" t="str">
        <f>TEXT(Table1[[#This Row],[Order Date]], "mmmm")</f>
        <v>July</v>
      </c>
      <c r="E1626" s="16">
        <f>Table1[[#This Row],[Order Quantity]]*Table1[[#This Row],[Unit Price]]</f>
        <v>35997.82</v>
      </c>
      <c r="F1626">
        <v>31</v>
      </c>
      <c r="G1626" s="16">
        <v>1161.22</v>
      </c>
      <c r="H1626" t="s">
        <v>25</v>
      </c>
      <c r="I1626" t="s">
        <v>1079</v>
      </c>
      <c r="J1626" t="s">
        <v>10</v>
      </c>
      <c r="K1626" t="s">
        <v>15</v>
      </c>
    </row>
    <row r="1627" spans="1:11" x14ac:dyDescent="0.45">
      <c r="A1627">
        <v>7821</v>
      </c>
      <c r="B1627" s="15">
        <v>44022</v>
      </c>
      <c r="C1627" t="str">
        <f>TEXT(Table1[[#This Row],[Order Date]], "yyyy")</f>
        <v>2020</v>
      </c>
      <c r="D1627" t="str">
        <f>TEXT(Table1[[#This Row],[Order Date]], "mmmm")</f>
        <v>July</v>
      </c>
      <c r="E1627" s="16">
        <f>Table1[[#This Row],[Order Quantity]]*Table1[[#This Row],[Unit Price]]</f>
        <v>72656.22</v>
      </c>
      <c r="F1627">
        <v>49</v>
      </c>
      <c r="G1627" s="16">
        <v>1482.78</v>
      </c>
      <c r="H1627" t="s">
        <v>8</v>
      </c>
      <c r="I1627" t="s">
        <v>1080</v>
      </c>
      <c r="J1627" t="s">
        <v>20</v>
      </c>
      <c r="K1627" t="s">
        <v>17</v>
      </c>
    </row>
    <row r="1628" spans="1:11" x14ac:dyDescent="0.45">
      <c r="A1628">
        <v>7822</v>
      </c>
      <c r="B1628" s="15">
        <v>44175</v>
      </c>
      <c r="C1628" t="str">
        <f>TEXT(Table1[[#This Row],[Order Date]], "yyyy")</f>
        <v>2020</v>
      </c>
      <c r="D1628" t="str">
        <f>TEXT(Table1[[#This Row],[Order Date]], "mmmm")</f>
        <v>December</v>
      </c>
      <c r="E1628" s="16">
        <f>Table1[[#This Row],[Order Quantity]]*Table1[[#This Row],[Unit Price]]</f>
        <v>892.44</v>
      </c>
      <c r="F1628">
        <v>6</v>
      </c>
      <c r="G1628" s="16">
        <v>148.74</v>
      </c>
      <c r="H1628" t="s">
        <v>25</v>
      </c>
      <c r="I1628" t="s">
        <v>1081</v>
      </c>
      <c r="J1628" t="s">
        <v>10</v>
      </c>
      <c r="K1628" t="s">
        <v>11</v>
      </c>
    </row>
    <row r="1629" spans="1:11" x14ac:dyDescent="0.45">
      <c r="A1629">
        <v>7823</v>
      </c>
      <c r="B1629" s="15">
        <v>44002</v>
      </c>
      <c r="C1629" t="str">
        <f>TEXT(Table1[[#This Row],[Order Date]], "yyyy")</f>
        <v>2020</v>
      </c>
      <c r="D1629" t="str">
        <f>TEXT(Table1[[#This Row],[Order Date]], "mmmm")</f>
        <v>June</v>
      </c>
      <c r="E1629" s="16">
        <f>Table1[[#This Row],[Order Quantity]]*Table1[[#This Row],[Unit Price]]</f>
        <v>32181.300000000003</v>
      </c>
      <c r="F1629">
        <v>30</v>
      </c>
      <c r="G1629" s="16">
        <v>1072.71</v>
      </c>
      <c r="H1629" t="s">
        <v>8</v>
      </c>
      <c r="I1629" t="s">
        <v>1082</v>
      </c>
      <c r="J1629" t="s">
        <v>13</v>
      </c>
      <c r="K1629" t="s">
        <v>17</v>
      </c>
    </row>
    <row r="1630" spans="1:11" x14ac:dyDescent="0.45">
      <c r="A1630">
        <v>7824</v>
      </c>
      <c r="B1630" s="15">
        <v>44082</v>
      </c>
      <c r="C1630" t="str">
        <f>TEXT(Table1[[#This Row],[Order Date]], "yyyy")</f>
        <v>2020</v>
      </c>
      <c r="D1630" t="str">
        <f>TEXT(Table1[[#This Row],[Order Date]], "mmmm")</f>
        <v>September</v>
      </c>
      <c r="E1630" s="16">
        <f>Table1[[#This Row],[Order Quantity]]*Table1[[#This Row],[Unit Price]]</f>
        <v>16536.04</v>
      </c>
      <c r="F1630">
        <v>74</v>
      </c>
      <c r="G1630" s="16">
        <v>223.46</v>
      </c>
      <c r="H1630" t="s">
        <v>8</v>
      </c>
      <c r="I1630" t="s">
        <v>1083</v>
      </c>
      <c r="J1630" t="s">
        <v>13</v>
      </c>
      <c r="K1630" t="s">
        <v>17</v>
      </c>
    </row>
    <row r="1631" spans="1:11" x14ac:dyDescent="0.45">
      <c r="A1631">
        <v>7825</v>
      </c>
      <c r="B1631" s="15">
        <v>44029</v>
      </c>
      <c r="C1631" t="str">
        <f>TEXT(Table1[[#This Row],[Order Date]], "yyyy")</f>
        <v>2020</v>
      </c>
      <c r="D1631" t="str">
        <f>TEXT(Table1[[#This Row],[Order Date]], "mmmm")</f>
        <v>July</v>
      </c>
      <c r="E1631" s="16">
        <f>Table1[[#This Row],[Order Quantity]]*Table1[[#This Row],[Unit Price]]</f>
        <v>3978.48</v>
      </c>
      <c r="F1631">
        <v>44</v>
      </c>
      <c r="G1631" s="16">
        <v>90.42</v>
      </c>
      <c r="H1631" t="s">
        <v>25</v>
      </c>
      <c r="I1631" t="s">
        <v>1084</v>
      </c>
      <c r="J1631" t="s">
        <v>23</v>
      </c>
      <c r="K1631" t="s">
        <v>17</v>
      </c>
    </row>
    <row r="1632" spans="1:11" x14ac:dyDescent="0.45">
      <c r="A1632">
        <v>7826</v>
      </c>
      <c r="B1632" s="15">
        <v>43999</v>
      </c>
      <c r="C1632" t="str">
        <f>TEXT(Table1[[#This Row],[Order Date]], "yyyy")</f>
        <v>2020</v>
      </c>
      <c r="D1632" t="str">
        <f>TEXT(Table1[[#This Row],[Order Date]], "mmmm")</f>
        <v>June</v>
      </c>
      <c r="E1632" s="16">
        <f>Table1[[#This Row],[Order Quantity]]*Table1[[#This Row],[Unit Price]]</f>
        <v>20772.64</v>
      </c>
      <c r="F1632">
        <v>56</v>
      </c>
      <c r="G1632" s="16">
        <v>370.94</v>
      </c>
      <c r="H1632" t="s">
        <v>25</v>
      </c>
      <c r="I1632" t="s">
        <v>1085</v>
      </c>
      <c r="J1632" t="s">
        <v>10</v>
      </c>
      <c r="K1632" t="s">
        <v>15</v>
      </c>
    </row>
    <row r="1633" spans="1:11" x14ac:dyDescent="0.45">
      <c r="A1633">
        <v>7827</v>
      </c>
      <c r="B1633" s="15">
        <v>43885</v>
      </c>
      <c r="C1633" t="str">
        <f>TEXT(Table1[[#This Row],[Order Date]], "yyyy")</f>
        <v>2020</v>
      </c>
      <c r="D1633" t="str">
        <f>TEXT(Table1[[#This Row],[Order Date]], "mmmm")</f>
        <v>February</v>
      </c>
      <c r="E1633" s="16">
        <f>Table1[[#This Row],[Order Quantity]]*Table1[[#This Row],[Unit Price]]</f>
        <v>40690.199999999997</v>
      </c>
      <c r="F1633">
        <v>60</v>
      </c>
      <c r="G1633" s="16">
        <v>678.17</v>
      </c>
      <c r="H1633" t="s">
        <v>464</v>
      </c>
      <c r="I1633" t="s">
        <v>1086</v>
      </c>
      <c r="J1633" t="s">
        <v>10</v>
      </c>
      <c r="K1633" t="s">
        <v>17</v>
      </c>
    </row>
    <row r="1634" spans="1:11" x14ac:dyDescent="0.45">
      <c r="A1634">
        <v>7828</v>
      </c>
      <c r="B1634" s="15">
        <v>44022</v>
      </c>
      <c r="C1634" t="str">
        <f>TEXT(Table1[[#This Row],[Order Date]], "yyyy")</f>
        <v>2020</v>
      </c>
      <c r="D1634" t="str">
        <f>TEXT(Table1[[#This Row],[Order Date]], "mmmm")</f>
        <v>July</v>
      </c>
      <c r="E1634" s="16">
        <f>Table1[[#This Row],[Order Quantity]]*Table1[[#This Row],[Unit Price]]</f>
        <v>55556.76</v>
      </c>
      <c r="F1634">
        <v>38</v>
      </c>
      <c r="G1634" s="16">
        <v>1462.02</v>
      </c>
      <c r="H1634" t="s">
        <v>25</v>
      </c>
      <c r="I1634" t="s">
        <v>1087</v>
      </c>
      <c r="J1634" t="s">
        <v>10</v>
      </c>
      <c r="K1634" t="s">
        <v>11</v>
      </c>
    </row>
    <row r="1635" spans="1:11" x14ac:dyDescent="0.45">
      <c r="A1635">
        <v>7829</v>
      </c>
      <c r="B1635" s="15">
        <v>43990</v>
      </c>
      <c r="C1635" t="str">
        <f>TEXT(Table1[[#This Row],[Order Date]], "yyyy")</f>
        <v>2020</v>
      </c>
      <c r="D1635" t="str">
        <f>TEXT(Table1[[#This Row],[Order Date]], "mmmm")</f>
        <v>June</v>
      </c>
      <c r="E1635" s="16">
        <f>Table1[[#This Row],[Order Quantity]]*Table1[[#This Row],[Unit Price]]</f>
        <v>10500</v>
      </c>
      <c r="F1635">
        <v>28</v>
      </c>
      <c r="G1635" s="16">
        <v>375</v>
      </c>
      <c r="H1635" t="s">
        <v>25</v>
      </c>
      <c r="I1635" t="s">
        <v>1088</v>
      </c>
      <c r="J1635" t="s">
        <v>13</v>
      </c>
      <c r="K1635" t="s">
        <v>11</v>
      </c>
    </row>
    <row r="1636" spans="1:11" x14ac:dyDescent="0.45">
      <c r="A1636">
        <v>7830</v>
      </c>
      <c r="B1636" s="15">
        <v>43857</v>
      </c>
      <c r="C1636" t="str">
        <f>TEXT(Table1[[#This Row],[Order Date]], "yyyy")</f>
        <v>2020</v>
      </c>
      <c r="D1636" t="str">
        <f>TEXT(Table1[[#This Row],[Order Date]], "mmmm")</f>
        <v>January</v>
      </c>
      <c r="E1636" s="16">
        <f>Table1[[#This Row],[Order Quantity]]*Table1[[#This Row],[Unit Price]]</f>
        <v>104967.2</v>
      </c>
      <c r="F1636">
        <v>80</v>
      </c>
      <c r="G1636" s="16">
        <v>1312.09</v>
      </c>
      <c r="H1636" t="s">
        <v>464</v>
      </c>
      <c r="I1636" t="s">
        <v>1089</v>
      </c>
      <c r="J1636" t="s">
        <v>23</v>
      </c>
      <c r="K1636" t="s">
        <v>11</v>
      </c>
    </row>
    <row r="1637" spans="1:11" x14ac:dyDescent="0.45">
      <c r="A1637">
        <v>7831</v>
      </c>
      <c r="B1637" s="15">
        <v>44011</v>
      </c>
      <c r="C1637" t="str">
        <f>TEXT(Table1[[#This Row],[Order Date]], "yyyy")</f>
        <v>2020</v>
      </c>
      <c r="D1637" t="str">
        <f>TEXT(Table1[[#This Row],[Order Date]], "mmmm")</f>
        <v>June</v>
      </c>
      <c r="E1637" s="16">
        <f>Table1[[#This Row],[Order Quantity]]*Table1[[#This Row],[Unit Price]]</f>
        <v>92826.39</v>
      </c>
      <c r="F1637">
        <v>87</v>
      </c>
      <c r="G1637" s="16">
        <v>1066.97</v>
      </c>
      <c r="H1637" t="s">
        <v>464</v>
      </c>
      <c r="I1637" t="s">
        <v>1090</v>
      </c>
      <c r="J1637" t="s">
        <v>20</v>
      </c>
      <c r="K1637" t="s">
        <v>17</v>
      </c>
    </row>
    <row r="1638" spans="1:11" x14ac:dyDescent="0.45">
      <c r="A1638">
        <v>7832</v>
      </c>
      <c r="B1638" s="15">
        <v>43930</v>
      </c>
      <c r="C1638" t="str">
        <f>TEXT(Table1[[#This Row],[Order Date]], "yyyy")</f>
        <v>2020</v>
      </c>
      <c r="D1638" t="str">
        <f>TEXT(Table1[[#This Row],[Order Date]], "mmmm")</f>
        <v>April</v>
      </c>
      <c r="E1638" s="16">
        <f>Table1[[#This Row],[Order Quantity]]*Table1[[#This Row],[Unit Price]]</f>
        <v>13100.88</v>
      </c>
      <c r="F1638">
        <v>76</v>
      </c>
      <c r="G1638" s="16">
        <v>172.38</v>
      </c>
      <c r="H1638" t="s">
        <v>25</v>
      </c>
      <c r="I1638" t="s">
        <v>1091</v>
      </c>
      <c r="J1638" t="s">
        <v>20</v>
      </c>
      <c r="K1638" t="s">
        <v>15</v>
      </c>
    </row>
    <row r="1639" spans="1:11" x14ac:dyDescent="0.45">
      <c r="A1639">
        <v>7833</v>
      </c>
      <c r="B1639" s="15">
        <v>44022</v>
      </c>
      <c r="C1639" t="str">
        <f>TEXT(Table1[[#This Row],[Order Date]], "yyyy")</f>
        <v>2020</v>
      </c>
      <c r="D1639" t="str">
        <f>TEXT(Table1[[#This Row],[Order Date]], "mmmm")</f>
        <v>July</v>
      </c>
      <c r="E1639" s="16">
        <f>Table1[[#This Row],[Order Quantity]]*Table1[[#This Row],[Unit Price]]</f>
        <v>76071.8</v>
      </c>
      <c r="F1639">
        <v>70</v>
      </c>
      <c r="G1639" s="16">
        <v>1086.74</v>
      </c>
      <c r="H1639" t="s">
        <v>25</v>
      </c>
      <c r="I1639" t="s">
        <v>1092</v>
      </c>
      <c r="J1639" t="s">
        <v>23</v>
      </c>
      <c r="K1639" t="s">
        <v>15</v>
      </c>
    </row>
    <row r="1640" spans="1:11" x14ac:dyDescent="0.45">
      <c r="A1640">
        <v>7834</v>
      </c>
      <c r="B1640" s="15">
        <v>44184</v>
      </c>
      <c r="C1640" t="str">
        <f>TEXT(Table1[[#This Row],[Order Date]], "yyyy")</f>
        <v>2020</v>
      </c>
      <c r="D1640" t="str">
        <f>TEXT(Table1[[#This Row],[Order Date]], "mmmm")</f>
        <v>December</v>
      </c>
      <c r="E1640" s="16">
        <f>Table1[[#This Row],[Order Quantity]]*Table1[[#This Row],[Unit Price]]</f>
        <v>95902.38</v>
      </c>
      <c r="F1640">
        <v>81</v>
      </c>
      <c r="G1640" s="16">
        <v>1183.98</v>
      </c>
      <c r="H1640" t="s">
        <v>8</v>
      </c>
      <c r="I1640" t="s">
        <v>1093</v>
      </c>
      <c r="J1640" t="s">
        <v>10</v>
      </c>
      <c r="K1640" t="s">
        <v>17</v>
      </c>
    </row>
    <row r="1641" spans="1:11" x14ac:dyDescent="0.45">
      <c r="A1641">
        <v>7835</v>
      </c>
      <c r="B1641" s="15">
        <v>44011</v>
      </c>
      <c r="C1641" t="str">
        <f>TEXT(Table1[[#This Row],[Order Date]], "yyyy")</f>
        <v>2020</v>
      </c>
      <c r="D1641" t="str">
        <f>TEXT(Table1[[#This Row],[Order Date]], "mmmm")</f>
        <v>June</v>
      </c>
      <c r="E1641" s="16">
        <f>Table1[[#This Row],[Order Quantity]]*Table1[[#This Row],[Unit Price]]</f>
        <v>29989.769999999997</v>
      </c>
      <c r="F1641">
        <v>87</v>
      </c>
      <c r="G1641" s="16">
        <v>344.71</v>
      </c>
      <c r="H1641" t="s">
        <v>25</v>
      </c>
      <c r="I1641" t="s">
        <v>1094</v>
      </c>
      <c r="J1641" t="s">
        <v>13</v>
      </c>
      <c r="K1641" t="s">
        <v>17</v>
      </c>
    </row>
    <row r="1642" spans="1:11" x14ac:dyDescent="0.45">
      <c r="A1642">
        <v>7836</v>
      </c>
      <c r="B1642" s="15">
        <v>43970</v>
      </c>
      <c r="C1642" t="str">
        <f>TEXT(Table1[[#This Row],[Order Date]], "yyyy")</f>
        <v>2020</v>
      </c>
      <c r="D1642" t="str">
        <f>TEXT(Table1[[#This Row],[Order Date]], "mmmm")</f>
        <v>May</v>
      </c>
      <c r="E1642" s="16">
        <f>Table1[[#This Row],[Order Quantity]]*Table1[[#This Row],[Unit Price]]</f>
        <v>9555.26</v>
      </c>
      <c r="F1642">
        <v>22</v>
      </c>
      <c r="G1642" s="16">
        <v>434.33</v>
      </c>
      <c r="H1642" t="s">
        <v>25</v>
      </c>
      <c r="I1642" t="s">
        <v>1095</v>
      </c>
      <c r="J1642" t="s">
        <v>13</v>
      </c>
      <c r="K1642" t="s">
        <v>17</v>
      </c>
    </row>
    <row r="1643" spans="1:11" x14ac:dyDescent="0.45">
      <c r="A1643">
        <v>7837</v>
      </c>
      <c r="B1643" s="15">
        <v>43849</v>
      </c>
      <c r="C1643" t="str">
        <f>TEXT(Table1[[#This Row],[Order Date]], "yyyy")</f>
        <v>2020</v>
      </c>
      <c r="D1643" t="str">
        <f>TEXT(Table1[[#This Row],[Order Date]], "mmmm")</f>
        <v>January</v>
      </c>
      <c r="E1643" s="16">
        <f>Table1[[#This Row],[Order Quantity]]*Table1[[#This Row],[Unit Price]]</f>
        <v>126792.95999999999</v>
      </c>
      <c r="F1643">
        <v>96</v>
      </c>
      <c r="G1643" s="16">
        <v>1320.76</v>
      </c>
      <c r="H1643" t="s">
        <v>25</v>
      </c>
      <c r="I1643" t="s">
        <v>1096</v>
      </c>
      <c r="J1643" t="s">
        <v>13</v>
      </c>
      <c r="K1643" t="s">
        <v>11</v>
      </c>
    </row>
    <row r="1644" spans="1:11" x14ac:dyDescent="0.45">
      <c r="A1644">
        <v>7838</v>
      </c>
      <c r="B1644" s="15">
        <v>44016</v>
      </c>
      <c r="C1644" t="str">
        <f>TEXT(Table1[[#This Row],[Order Date]], "yyyy")</f>
        <v>2020</v>
      </c>
      <c r="D1644" t="str">
        <f>TEXT(Table1[[#This Row],[Order Date]], "mmmm")</f>
        <v>July</v>
      </c>
      <c r="E1644" s="16">
        <f>Table1[[#This Row],[Order Quantity]]*Table1[[#This Row],[Unit Price]]</f>
        <v>7518.5599999999995</v>
      </c>
      <c r="F1644">
        <v>14</v>
      </c>
      <c r="G1644" s="16">
        <v>537.04</v>
      </c>
      <c r="H1644" t="s">
        <v>8</v>
      </c>
      <c r="I1644" t="s">
        <v>1097</v>
      </c>
      <c r="J1644" t="s">
        <v>20</v>
      </c>
      <c r="K1644" t="s">
        <v>11</v>
      </c>
    </row>
    <row r="1645" spans="1:11" x14ac:dyDescent="0.45">
      <c r="A1645">
        <v>7839</v>
      </c>
      <c r="B1645" s="15">
        <v>44168</v>
      </c>
      <c r="C1645" t="str">
        <f>TEXT(Table1[[#This Row],[Order Date]], "yyyy")</f>
        <v>2020</v>
      </c>
      <c r="D1645" t="str">
        <f>TEXT(Table1[[#This Row],[Order Date]], "mmmm")</f>
        <v>December</v>
      </c>
      <c r="E1645" s="16">
        <f>Table1[[#This Row],[Order Quantity]]*Table1[[#This Row],[Unit Price]]</f>
        <v>73070.2</v>
      </c>
      <c r="F1645">
        <v>76</v>
      </c>
      <c r="G1645" s="16">
        <v>961.45</v>
      </c>
      <c r="H1645" t="s">
        <v>25</v>
      </c>
      <c r="I1645" t="s">
        <v>1098</v>
      </c>
      <c r="J1645" t="s">
        <v>10</v>
      </c>
      <c r="K1645" t="s">
        <v>15</v>
      </c>
    </row>
    <row r="1646" spans="1:11" x14ac:dyDescent="0.45">
      <c r="A1646">
        <v>7840</v>
      </c>
      <c r="B1646" s="15">
        <v>44132</v>
      </c>
      <c r="C1646" t="str">
        <f>TEXT(Table1[[#This Row],[Order Date]], "yyyy")</f>
        <v>2020</v>
      </c>
      <c r="D1646" t="str">
        <f>TEXT(Table1[[#This Row],[Order Date]], "mmmm")</f>
        <v>October</v>
      </c>
      <c r="E1646" s="16">
        <f>Table1[[#This Row],[Order Quantity]]*Table1[[#This Row],[Unit Price]]</f>
        <v>6740.85</v>
      </c>
      <c r="F1646">
        <v>5</v>
      </c>
      <c r="G1646" s="16">
        <v>1348.17</v>
      </c>
      <c r="H1646" t="s">
        <v>464</v>
      </c>
      <c r="I1646" t="s">
        <v>1099</v>
      </c>
      <c r="J1646" t="s">
        <v>23</v>
      </c>
      <c r="K1646" t="s">
        <v>17</v>
      </c>
    </row>
    <row r="1647" spans="1:11" x14ac:dyDescent="0.45">
      <c r="A1647">
        <v>7841</v>
      </c>
      <c r="B1647" s="15">
        <v>43889</v>
      </c>
      <c r="C1647" t="str">
        <f>TEXT(Table1[[#This Row],[Order Date]], "yyyy")</f>
        <v>2020</v>
      </c>
      <c r="D1647" t="str">
        <f>TEXT(Table1[[#This Row],[Order Date]], "mmmm")</f>
        <v>February</v>
      </c>
      <c r="E1647" s="16">
        <f>Table1[[#This Row],[Order Quantity]]*Table1[[#This Row],[Unit Price]]</f>
        <v>12388.75</v>
      </c>
      <c r="F1647">
        <v>53</v>
      </c>
      <c r="G1647" s="16">
        <v>233.75</v>
      </c>
      <c r="H1647" t="s">
        <v>8</v>
      </c>
      <c r="I1647" t="s">
        <v>1100</v>
      </c>
      <c r="J1647" t="s">
        <v>20</v>
      </c>
      <c r="K1647" t="s">
        <v>15</v>
      </c>
    </row>
    <row r="1648" spans="1:11" x14ac:dyDescent="0.45">
      <c r="A1648">
        <v>7842</v>
      </c>
      <c r="B1648" s="15">
        <v>43980</v>
      </c>
      <c r="C1648" t="str">
        <f>TEXT(Table1[[#This Row],[Order Date]], "yyyy")</f>
        <v>2020</v>
      </c>
      <c r="D1648" t="str">
        <f>TEXT(Table1[[#This Row],[Order Date]], "mmmm")</f>
        <v>May</v>
      </c>
      <c r="E1648" s="16">
        <f>Table1[[#This Row],[Order Quantity]]*Table1[[#This Row],[Unit Price]]</f>
        <v>12703.02</v>
      </c>
      <c r="F1648">
        <v>66</v>
      </c>
      <c r="G1648" s="16">
        <v>192.47</v>
      </c>
      <c r="H1648" t="s">
        <v>8</v>
      </c>
      <c r="I1648" t="s">
        <v>1101</v>
      </c>
      <c r="J1648" t="s">
        <v>20</v>
      </c>
      <c r="K1648" t="s">
        <v>15</v>
      </c>
    </row>
    <row r="1649" spans="1:11" x14ac:dyDescent="0.45">
      <c r="A1649">
        <v>7843</v>
      </c>
      <c r="B1649" s="15">
        <v>44012</v>
      </c>
      <c r="C1649" t="str">
        <f>TEXT(Table1[[#This Row],[Order Date]], "yyyy")</f>
        <v>2020</v>
      </c>
      <c r="D1649" t="str">
        <f>TEXT(Table1[[#This Row],[Order Date]], "mmmm")</f>
        <v>June</v>
      </c>
      <c r="E1649" s="16">
        <f>Table1[[#This Row],[Order Quantity]]*Table1[[#This Row],[Unit Price]]</f>
        <v>23188.559999999998</v>
      </c>
      <c r="F1649">
        <v>53</v>
      </c>
      <c r="G1649" s="16">
        <v>437.52</v>
      </c>
      <c r="H1649" t="s">
        <v>25</v>
      </c>
      <c r="I1649" t="s">
        <v>1102</v>
      </c>
      <c r="J1649" t="s">
        <v>23</v>
      </c>
      <c r="K1649" t="s">
        <v>11</v>
      </c>
    </row>
    <row r="1650" spans="1:11" x14ac:dyDescent="0.45">
      <c r="A1650">
        <v>7844</v>
      </c>
      <c r="B1650" s="15">
        <v>44021</v>
      </c>
      <c r="C1650" t="str">
        <f>TEXT(Table1[[#This Row],[Order Date]], "yyyy")</f>
        <v>2020</v>
      </c>
      <c r="D1650" t="str">
        <f>TEXT(Table1[[#This Row],[Order Date]], "mmmm")</f>
        <v>July</v>
      </c>
      <c r="E1650" s="16">
        <f>Table1[[#This Row],[Order Quantity]]*Table1[[#This Row],[Unit Price]]</f>
        <v>60677.5</v>
      </c>
      <c r="F1650">
        <v>50</v>
      </c>
      <c r="G1650" s="16">
        <v>1213.55</v>
      </c>
      <c r="H1650" t="s">
        <v>464</v>
      </c>
      <c r="I1650" t="s">
        <v>1103</v>
      </c>
      <c r="J1650" t="s">
        <v>20</v>
      </c>
      <c r="K1650" t="s">
        <v>11</v>
      </c>
    </row>
    <row r="1651" spans="1:11" x14ac:dyDescent="0.45">
      <c r="A1651">
        <v>7845</v>
      </c>
      <c r="B1651" s="15">
        <v>44044</v>
      </c>
      <c r="C1651" t="str">
        <f>TEXT(Table1[[#This Row],[Order Date]], "yyyy")</f>
        <v>2020</v>
      </c>
      <c r="D1651" t="str">
        <f>TEXT(Table1[[#This Row],[Order Date]], "mmmm")</f>
        <v>August</v>
      </c>
      <c r="E1651" s="16">
        <f>Table1[[#This Row],[Order Quantity]]*Table1[[#This Row],[Unit Price]]</f>
        <v>45747.000000000007</v>
      </c>
      <c r="F1651">
        <v>85</v>
      </c>
      <c r="G1651" s="16">
        <v>538.20000000000005</v>
      </c>
      <c r="H1651" t="s">
        <v>464</v>
      </c>
      <c r="I1651" t="s">
        <v>1104</v>
      </c>
      <c r="J1651" t="s">
        <v>23</v>
      </c>
      <c r="K1651" t="s">
        <v>15</v>
      </c>
    </row>
    <row r="1652" spans="1:11" x14ac:dyDescent="0.45">
      <c r="A1652">
        <v>7846</v>
      </c>
      <c r="B1652" s="15">
        <v>43930</v>
      </c>
      <c r="C1652" t="str">
        <f>TEXT(Table1[[#This Row],[Order Date]], "yyyy")</f>
        <v>2020</v>
      </c>
      <c r="D1652" t="str">
        <f>TEXT(Table1[[#This Row],[Order Date]], "mmmm")</f>
        <v>April</v>
      </c>
      <c r="E1652" s="16">
        <f>Table1[[#This Row],[Order Quantity]]*Table1[[#This Row],[Unit Price]]</f>
        <v>8426.880000000001</v>
      </c>
      <c r="F1652">
        <v>88</v>
      </c>
      <c r="G1652" s="16">
        <v>95.76</v>
      </c>
      <c r="H1652" t="s">
        <v>25</v>
      </c>
      <c r="I1652" t="s">
        <v>1105</v>
      </c>
      <c r="J1652" t="s">
        <v>20</v>
      </c>
      <c r="K1652" t="s">
        <v>17</v>
      </c>
    </row>
    <row r="1653" spans="1:11" x14ac:dyDescent="0.45">
      <c r="A1653">
        <v>7847</v>
      </c>
      <c r="B1653" s="15">
        <v>43965</v>
      </c>
      <c r="C1653" t="str">
        <f>TEXT(Table1[[#This Row],[Order Date]], "yyyy")</f>
        <v>2020</v>
      </c>
      <c r="D1653" t="str">
        <f>TEXT(Table1[[#This Row],[Order Date]], "mmmm")</f>
        <v>May</v>
      </c>
      <c r="E1653" s="16">
        <f>Table1[[#This Row],[Order Quantity]]*Table1[[#This Row],[Unit Price]]</f>
        <v>126740.24</v>
      </c>
      <c r="F1653">
        <v>88</v>
      </c>
      <c r="G1653" s="16">
        <v>1440.23</v>
      </c>
      <c r="H1653" t="s">
        <v>8</v>
      </c>
      <c r="I1653" t="s">
        <v>1106</v>
      </c>
      <c r="J1653" t="s">
        <v>20</v>
      </c>
      <c r="K1653" t="s">
        <v>15</v>
      </c>
    </row>
    <row r="1654" spans="1:11" x14ac:dyDescent="0.45">
      <c r="A1654">
        <v>7848</v>
      </c>
      <c r="B1654" s="15">
        <v>44001</v>
      </c>
      <c r="C1654" t="str">
        <f>TEXT(Table1[[#This Row],[Order Date]], "yyyy")</f>
        <v>2020</v>
      </c>
      <c r="D1654" t="str">
        <f>TEXT(Table1[[#This Row],[Order Date]], "mmmm")</f>
        <v>June</v>
      </c>
      <c r="E1654" s="16">
        <f>Table1[[#This Row],[Order Quantity]]*Table1[[#This Row],[Unit Price]]</f>
        <v>20736</v>
      </c>
      <c r="F1654">
        <v>64</v>
      </c>
      <c r="G1654" s="16">
        <v>324</v>
      </c>
      <c r="H1654" t="s">
        <v>8</v>
      </c>
      <c r="I1654" t="s">
        <v>1107</v>
      </c>
      <c r="J1654" t="s">
        <v>13</v>
      </c>
      <c r="K1654" t="s">
        <v>11</v>
      </c>
    </row>
    <row r="1655" spans="1:11" x14ac:dyDescent="0.45">
      <c r="A1655">
        <v>7849</v>
      </c>
      <c r="B1655" s="15">
        <v>43864</v>
      </c>
      <c r="C1655" t="str">
        <f>TEXT(Table1[[#This Row],[Order Date]], "yyyy")</f>
        <v>2020</v>
      </c>
      <c r="D1655" t="str">
        <f>TEXT(Table1[[#This Row],[Order Date]], "mmmm")</f>
        <v>February</v>
      </c>
      <c r="E1655" s="16">
        <f>Table1[[#This Row],[Order Quantity]]*Table1[[#This Row],[Unit Price]]</f>
        <v>66961.929999999993</v>
      </c>
      <c r="F1655">
        <v>49</v>
      </c>
      <c r="G1655" s="16">
        <v>1366.57</v>
      </c>
      <c r="H1655" t="s">
        <v>8</v>
      </c>
      <c r="I1655" t="s">
        <v>1108</v>
      </c>
      <c r="J1655" t="s">
        <v>10</v>
      </c>
      <c r="K1655" t="s">
        <v>17</v>
      </c>
    </row>
    <row r="1656" spans="1:11" x14ac:dyDescent="0.45">
      <c r="A1656">
        <v>7850</v>
      </c>
      <c r="B1656" s="15">
        <v>44099</v>
      </c>
      <c r="C1656" t="str">
        <f>TEXT(Table1[[#This Row],[Order Date]], "yyyy")</f>
        <v>2020</v>
      </c>
      <c r="D1656" t="str">
        <f>TEXT(Table1[[#This Row],[Order Date]], "mmmm")</f>
        <v>September</v>
      </c>
      <c r="E1656" s="16">
        <f>Table1[[#This Row],[Order Quantity]]*Table1[[#This Row],[Unit Price]]</f>
        <v>10876.44</v>
      </c>
      <c r="F1656">
        <v>12</v>
      </c>
      <c r="G1656" s="16">
        <v>906.37</v>
      </c>
      <c r="H1656" t="s">
        <v>8</v>
      </c>
      <c r="I1656" t="s">
        <v>1109</v>
      </c>
      <c r="J1656" t="s">
        <v>10</v>
      </c>
      <c r="K1656" t="s">
        <v>17</v>
      </c>
    </row>
    <row r="1657" spans="1:11" x14ac:dyDescent="0.45">
      <c r="A1657">
        <v>7851</v>
      </c>
      <c r="B1657" s="15">
        <v>44196</v>
      </c>
      <c r="C1657" t="str">
        <f>TEXT(Table1[[#This Row],[Order Date]], "yyyy")</f>
        <v>2020</v>
      </c>
      <c r="D1657" t="str">
        <f>TEXT(Table1[[#This Row],[Order Date]], "mmmm")</f>
        <v>December</v>
      </c>
      <c r="E1657" s="16">
        <f>Table1[[#This Row],[Order Quantity]]*Table1[[#This Row],[Unit Price]]</f>
        <v>17303.099999999999</v>
      </c>
      <c r="F1657">
        <v>30</v>
      </c>
      <c r="G1657" s="16">
        <v>576.77</v>
      </c>
      <c r="H1657" t="s">
        <v>464</v>
      </c>
      <c r="I1657" t="s">
        <v>1110</v>
      </c>
      <c r="J1657" t="s">
        <v>13</v>
      </c>
      <c r="K1657" t="s">
        <v>15</v>
      </c>
    </row>
    <row r="1658" spans="1:11" x14ac:dyDescent="0.45">
      <c r="A1658">
        <v>7852</v>
      </c>
      <c r="B1658" s="15">
        <v>44173</v>
      </c>
      <c r="C1658" t="str">
        <f>TEXT(Table1[[#This Row],[Order Date]], "yyyy")</f>
        <v>2020</v>
      </c>
      <c r="D1658" t="str">
        <f>TEXT(Table1[[#This Row],[Order Date]], "mmmm")</f>
        <v>December</v>
      </c>
      <c r="E1658" s="16">
        <f>Table1[[#This Row],[Order Quantity]]*Table1[[#This Row],[Unit Price]]</f>
        <v>1557.03</v>
      </c>
      <c r="F1658">
        <v>17</v>
      </c>
      <c r="G1658" s="16">
        <v>91.59</v>
      </c>
      <c r="H1658" t="s">
        <v>8</v>
      </c>
      <c r="I1658" t="s">
        <v>1111</v>
      </c>
      <c r="J1658" t="s">
        <v>23</v>
      </c>
      <c r="K1658" t="s">
        <v>17</v>
      </c>
    </row>
    <row r="1659" spans="1:11" x14ac:dyDescent="0.45">
      <c r="A1659">
        <v>7853</v>
      </c>
      <c r="B1659" s="15">
        <v>43927</v>
      </c>
      <c r="C1659" t="str">
        <f>TEXT(Table1[[#This Row],[Order Date]], "yyyy")</f>
        <v>2020</v>
      </c>
      <c r="D1659" t="str">
        <f>TEXT(Table1[[#This Row],[Order Date]], "mmmm")</f>
        <v>April</v>
      </c>
      <c r="E1659" s="16">
        <f>Table1[[#This Row],[Order Quantity]]*Table1[[#This Row],[Unit Price]]</f>
        <v>19667.7</v>
      </c>
      <c r="F1659">
        <v>41</v>
      </c>
      <c r="G1659" s="16">
        <v>479.7</v>
      </c>
      <c r="H1659" t="s">
        <v>8</v>
      </c>
      <c r="I1659" t="s">
        <v>1112</v>
      </c>
      <c r="J1659" t="s">
        <v>20</v>
      </c>
      <c r="K1659" t="s">
        <v>15</v>
      </c>
    </row>
    <row r="1660" spans="1:11" x14ac:dyDescent="0.45">
      <c r="A1660">
        <v>7854</v>
      </c>
      <c r="B1660" s="15">
        <v>43859</v>
      </c>
      <c r="C1660" t="str">
        <f>TEXT(Table1[[#This Row],[Order Date]], "yyyy")</f>
        <v>2020</v>
      </c>
      <c r="D1660" t="str">
        <f>TEXT(Table1[[#This Row],[Order Date]], "mmmm")</f>
        <v>January</v>
      </c>
      <c r="E1660" s="16">
        <f>Table1[[#This Row],[Order Quantity]]*Table1[[#This Row],[Unit Price]]</f>
        <v>127441.16</v>
      </c>
      <c r="F1660">
        <v>92</v>
      </c>
      <c r="G1660" s="16">
        <v>1385.23</v>
      </c>
      <c r="H1660" t="s">
        <v>25</v>
      </c>
      <c r="I1660" t="s">
        <v>1113</v>
      </c>
      <c r="J1660" t="s">
        <v>23</v>
      </c>
      <c r="K1660" t="s">
        <v>17</v>
      </c>
    </row>
    <row r="1661" spans="1:11" x14ac:dyDescent="0.45">
      <c r="A1661">
        <v>7855</v>
      </c>
      <c r="B1661" s="15">
        <v>43884</v>
      </c>
      <c r="C1661" t="str">
        <f>TEXT(Table1[[#This Row],[Order Date]], "yyyy")</f>
        <v>2020</v>
      </c>
      <c r="D1661" t="str">
        <f>TEXT(Table1[[#This Row],[Order Date]], "mmmm")</f>
        <v>February</v>
      </c>
      <c r="E1661" s="16">
        <f>Table1[[#This Row],[Order Quantity]]*Table1[[#This Row],[Unit Price]]</f>
        <v>44765.760000000002</v>
      </c>
      <c r="F1661">
        <v>96</v>
      </c>
      <c r="G1661" s="16">
        <v>466.31</v>
      </c>
      <c r="H1661" t="s">
        <v>8</v>
      </c>
      <c r="I1661" t="s">
        <v>1114</v>
      </c>
      <c r="J1661" t="s">
        <v>13</v>
      </c>
      <c r="K1661" t="s">
        <v>15</v>
      </c>
    </row>
    <row r="1662" spans="1:11" x14ac:dyDescent="0.45">
      <c r="A1662">
        <v>7856</v>
      </c>
      <c r="B1662" s="15">
        <v>44166</v>
      </c>
      <c r="C1662" t="str">
        <f>TEXT(Table1[[#This Row],[Order Date]], "yyyy")</f>
        <v>2020</v>
      </c>
      <c r="D1662" t="str">
        <f>TEXT(Table1[[#This Row],[Order Date]], "mmmm")</f>
        <v>December</v>
      </c>
      <c r="E1662" s="16">
        <f>Table1[[#This Row],[Order Quantity]]*Table1[[#This Row],[Unit Price]]</f>
        <v>11701.12</v>
      </c>
      <c r="F1662">
        <v>8</v>
      </c>
      <c r="G1662" s="16">
        <v>1462.64</v>
      </c>
      <c r="H1662" t="s">
        <v>464</v>
      </c>
      <c r="I1662" t="s">
        <v>1115</v>
      </c>
      <c r="J1662" t="s">
        <v>10</v>
      </c>
      <c r="K1662" t="s">
        <v>11</v>
      </c>
    </row>
    <row r="1663" spans="1:11" x14ac:dyDescent="0.45">
      <c r="A1663">
        <v>7857</v>
      </c>
      <c r="B1663" s="15">
        <v>44096</v>
      </c>
      <c r="C1663" t="str">
        <f>TEXT(Table1[[#This Row],[Order Date]], "yyyy")</f>
        <v>2020</v>
      </c>
      <c r="D1663" t="str">
        <f>TEXT(Table1[[#This Row],[Order Date]], "mmmm")</f>
        <v>September</v>
      </c>
      <c r="E1663" s="16">
        <f>Table1[[#This Row],[Order Quantity]]*Table1[[#This Row],[Unit Price]]</f>
        <v>30119.399999999998</v>
      </c>
      <c r="F1663">
        <v>87</v>
      </c>
      <c r="G1663" s="16">
        <v>346.2</v>
      </c>
      <c r="H1663" t="s">
        <v>25</v>
      </c>
      <c r="I1663" t="s">
        <v>1116</v>
      </c>
      <c r="J1663" t="s">
        <v>13</v>
      </c>
      <c r="K1663" t="s">
        <v>11</v>
      </c>
    </row>
    <row r="1664" spans="1:11" x14ac:dyDescent="0.45">
      <c r="A1664">
        <v>7858</v>
      </c>
      <c r="B1664" s="15">
        <v>43975</v>
      </c>
      <c r="C1664" t="str">
        <f>TEXT(Table1[[#This Row],[Order Date]], "yyyy")</f>
        <v>2020</v>
      </c>
      <c r="D1664" t="str">
        <f>TEXT(Table1[[#This Row],[Order Date]], "mmmm")</f>
        <v>May</v>
      </c>
      <c r="E1664" s="16">
        <f>Table1[[#This Row],[Order Quantity]]*Table1[[#This Row],[Unit Price]]</f>
        <v>116283</v>
      </c>
      <c r="F1664">
        <v>100</v>
      </c>
      <c r="G1664" s="16">
        <v>1162.83</v>
      </c>
      <c r="H1664" t="s">
        <v>464</v>
      </c>
      <c r="I1664" t="s">
        <v>1117</v>
      </c>
      <c r="J1664" t="s">
        <v>23</v>
      </c>
      <c r="K1664" t="s">
        <v>11</v>
      </c>
    </row>
    <row r="1665" spans="1:11" x14ac:dyDescent="0.45">
      <c r="A1665">
        <v>7859</v>
      </c>
      <c r="B1665" s="15">
        <v>44198</v>
      </c>
      <c r="C1665" t="str">
        <f>TEXT(Table1[[#This Row],[Order Date]], "yyyy")</f>
        <v>2021</v>
      </c>
      <c r="D1665" t="str">
        <f>TEXT(Table1[[#This Row],[Order Date]], "mmmm")</f>
        <v>January</v>
      </c>
      <c r="E1665" s="16">
        <f>Table1[[#This Row],[Order Quantity]]*Table1[[#This Row],[Unit Price]]</f>
        <v>53068.14</v>
      </c>
      <c r="F1665">
        <v>59</v>
      </c>
      <c r="G1665" s="16">
        <v>899.46</v>
      </c>
      <c r="H1665" t="s">
        <v>25</v>
      </c>
      <c r="I1665" t="s">
        <v>1118</v>
      </c>
      <c r="J1665" t="s">
        <v>10</v>
      </c>
      <c r="K1665" t="s">
        <v>17</v>
      </c>
    </row>
    <row r="1666" spans="1:11" x14ac:dyDescent="0.45">
      <c r="A1666">
        <v>7860</v>
      </c>
      <c r="B1666" s="15">
        <v>43865</v>
      </c>
      <c r="C1666" t="str">
        <f>TEXT(Table1[[#This Row],[Order Date]], "yyyy")</f>
        <v>2020</v>
      </c>
      <c r="D1666" t="str">
        <f>TEXT(Table1[[#This Row],[Order Date]], "mmmm")</f>
        <v>February</v>
      </c>
      <c r="E1666" s="16">
        <f>Table1[[#This Row],[Order Quantity]]*Table1[[#This Row],[Unit Price]]</f>
        <v>102932.95999999999</v>
      </c>
      <c r="F1666">
        <v>82</v>
      </c>
      <c r="G1666" s="16">
        <v>1255.28</v>
      </c>
      <c r="H1666" t="s">
        <v>8</v>
      </c>
      <c r="I1666" t="s">
        <v>1119</v>
      </c>
      <c r="J1666" t="s">
        <v>10</v>
      </c>
      <c r="K1666" t="s">
        <v>11</v>
      </c>
    </row>
    <row r="1667" spans="1:11" x14ac:dyDescent="0.45">
      <c r="A1667">
        <v>7861</v>
      </c>
      <c r="B1667" s="15">
        <v>43944</v>
      </c>
      <c r="C1667" t="str">
        <f>TEXT(Table1[[#This Row],[Order Date]], "yyyy")</f>
        <v>2020</v>
      </c>
      <c r="D1667" t="str">
        <f>TEXT(Table1[[#This Row],[Order Date]], "mmmm")</f>
        <v>April</v>
      </c>
      <c r="E1667" s="16">
        <f>Table1[[#This Row],[Order Quantity]]*Table1[[#This Row],[Unit Price]]</f>
        <v>52910.64</v>
      </c>
      <c r="F1667">
        <v>36</v>
      </c>
      <c r="G1667" s="16">
        <v>1469.74</v>
      </c>
      <c r="H1667" t="s">
        <v>8</v>
      </c>
      <c r="I1667" t="s">
        <v>1120</v>
      </c>
      <c r="J1667" t="s">
        <v>13</v>
      </c>
      <c r="K1667" t="s">
        <v>15</v>
      </c>
    </row>
    <row r="1668" spans="1:11" x14ac:dyDescent="0.45">
      <c r="A1668">
        <v>7862</v>
      </c>
      <c r="B1668" s="15">
        <v>43967</v>
      </c>
      <c r="C1668" t="str">
        <f>TEXT(Table1[[#This Row],[Order Date]], "yyyy")</f>
        <v>2020</v>
      </c>
      <c r="D1668" t="str">
        <f>TEXT(Table1[[#This Row],[Order Date]], "mmmm")</f>
        <v>May</v>
      </c>
      <c r="E1668" s="16">
        <f>Table1[[#This Row],[Order Quantity]]*Table1[[#This Row],[Unit Price]]</f>
        <v>28238.760000000002</v>
      </c>
      <c r="F1668">
        <v>99</v>
      </c>
      <c r="G1668" s="16">
        <v>285.24</v>
      </c>
      <c r="H1668" t="s">
        <v>464</v>
      </c>
      <c r="I1668" t="s">
        <v>1121</v>
      </c>
      <c r="J1668" t="s">
        <v>10</v>
      </c>
      <c r="K1668" t="s">
        <v>11</v>
      </c>
    </row>
    <row r="1669" spans="1:11" x14ac:dyDescent="0.45">
      <c r="A1669">
        <v>7863</v>
      </c>
      <c r="B1669" s="15">
        <v>43925</v>
      </c>
      <c r="C1669" t="str">
        <f>TEXT(Table1[[#This Row],[Order Date]], "yyyy")</f>
        <v>2020</v>
      </c>
      <c r="D1669" t="str">
        <f>TEXT(Table1[[#This Row],[Order Date]], "mmmm")</f>
        <v>April</v>
      </c>
      <c r="E1669" s="16">
        <f>Table1[[#This Row],[Order Quantity]]*Table1[[#This Row],[Unit Price]]</f>
        <v>83447.7</v>
      </c>
      <c r="F1669">
        <v>70</v>
      </c>
      <c r="G1669" s="16">
        <v>1192.1099999999999</v>
      </c>
      <c r="H1669" t="s">
        <v>8</v>
      </c>
      <c r="I1669" t="s">
        <v>1122</v>
      </c>
      <c r="J1669" t="s">
        <v>10</v>
      </c>
      <c r="K1669" t="s">
        <v>15</v>
      </c>
    </row>
    <row r="1670" spans="1:11" x14ac:dyDescent="0.45">
      <c r="A1670">
        <v>7864</v>
      </c>
      <c r="B1670" s="15">
        <v>43840</v>
      </c>
      <c r="C1670" t="str">
        <f>TEXT(Table1[[#This Row],[Order Date]], "yyyy")</f>
        <v>2020</v>
      </c>
      <c r="D1670" t="str">
        <f>TEXT(Table1[[#This Row],[Order Date]], "mmmm")</f>
        <v>January</v>
      </c>
      <c r="E1670" s="16">
        <f>Table1[[#This Row],[Order Quantity]]*Table1[[#This Row],[Unit Price]]</f>
        <v>22845.899999999998</v>
      </c>
      <c r="F1670">
        <v>46</v>
      </c>
      <c r="G1670" s="16">
        <v>496.65</v>
      </c>
      <c r="H1670" t="s">
        <v>25</v>
      </c>
      <c r="I1670" t="s">
        <v>1123</v>
      </c>
      <c r="J1670" t="s">
        <v>10</v>
      </c>
      <c r="K1670" t="s">
        <v>11</v>
      </c>
    </row>
    <row r="1671" spans="1:11" x14ac:dyDescent="0.45">
      <c r="A1671">
        <v>7865</v>
      </c>
      <c r="B1671" s="15">
        <v>44153</v>
      </c>
      <c r="C1671" t="str">
        <f>TEXT(Table1[[#This Row],[Order Date]], "yyyy")</f>
        <v>2020</v>
      </c>
      <c r="D1671" t="str">
        <f>TEXT(Table1[[#This Row],[Order Date]], "mmmm")</f>
        <v>November</v>
      </c>
      <c r="E1671" s="16">
        <f>Table1[[#This Row],[Order Quantity]]*Table1[[#This Row],[Unit Price]]</f>
        <v>111557.75999999999</v>
      </c>
      <c r="F1671">
        <v>97</v>
      </c>
      <c r="G1671" s="16">
        <v>1150.08</v>
      </c>
      <c r="H1671" t="s">
        <v>8</v>
      </c>
      <c r="I1671" t="s">
        <v>1124</v>
      </c>
      <c r="J1671" t="s">
        <v>13</v>
      </c>
      <c r="K1671" t="s">
        <v>17</v>
      </c>
    </row>
    <row r="1672" spans="1:11" x14ac:dyDescent="0.45">
      <c r="A1672">
        <v>7866</v>
      </c>
      <c r="B1672" s="15">
        <v>43918</v>
      </c>
      <c r="C1672" t="str">
        <f>TEXT(Table1[[#This Row],[Order Date]], "yyyy")</f>
        <v>2020</v>
      </c>
      <c r="D1672" t="str">
        <f>TEXT(Table1[[#This Row],[Order Date]], "mmmm")</f>
        <v>March</v>
      </c>
      <c r="E1672" s="16">
        <f>Table1[[#This Row],[Order Quantity]]*Table1[[#This Row],[Unit Price]]</f>
        <v>15969.46</v>
      </c>
      <c r="F1672">
        <v>17</v>
      </c>
      <c r="G1672" s="16">
        <v>939.38</v>
      </c>
      <c r="H1672" t="s">
        <v>25</v>
      </c>
      <c r="I1672" t="s">
        <v>1125</v>
      </c>
      <c r="J1672" t="s">
        <v>13</v>
      </c>
      <c r="K1672" t="s">
        <v>15</v>
      </c>
    </row>
    <row r="1673" spans="1:11" x14ac:dyDescent="0.45">
      <c r="A1673">
        <v>7867</v>
      </c>
      <c r="B1673" s="15">
        <v>44100</v>
      </c>
      <c r="C1673" t="str">
        <f>TEXT(Table1[[#This Row],[Order Date]], "yyyy")</f>
        <v>2020</v>
      </c>
      <c r="D1673" t="str">
        <f>TEXT(Table1[[#This Row],[Order Date]], "mmmm")</f>
        <v>September</v>
      </c>
      <c r="E1673" s="16">
        <f>Table1[[#This Row],[Order Quantity]]*Table1[[#This Row],[Unit Price]]</f>
        <v>46474.400000000001</v>
      </c>
      <c r="F1673">
        <v>56</v>
      </c>
      <c r="G1673" s="16">
        <v>829.9</v>
      </c>
      <c r="H1673" t="s">
        <v>8</v>
      </c>
      <c r="I1673" t="s">
        <v>1126</v>
      </c>
      <c r="J1673" t="s">
        <v>13</v>
      </c>
      <c r="K1673" t="s">
        <v>17</v>
      </c>
    </row>
    <row r="1674" spans="1:11" x14ac:dyDescent="0.45">
      <c r="A1674">
        <v>7868</v>
      </c>
      <c r="B1674" s="15">
        <v>43957</v>
      </c>
      <c r="C1674" t="str">
        <f>TEXT(Table1[[#This Row],[Order Date]], "yyyy")</f>
        <v>2020</v>
      </c>
      <c r="D1674" t="str">
        <f>TEXT(Table1[[#This Row],[Order Date]], "mmmm")</f>
        <v>May</v>
      </c>
      <c r="E1674" s="16">
        <f>Table1[[#This Row],[Order Quantity]]*Table1[[#This Row],[Unit Price]]</f>
        <v>4550.3999999999996</v>
      </c>
      <c r="F1674">
        <v>32</v>
      </c>
      <c r="G1674" s="16">
        <v>142.19999999999999</v>
      </c>
      <c r="H1674" t="s">
        <v>8</v>
      </c>
      <c r="I1674" t="s">
        <v>1127</v>
      </c>
      <c r="J1674" t="s">
        <v>23</v>
      </c>
      <c r="K1674" t="s">
        <v>15</v>
      </c>
    </row>
    <row r="1675" spans="1:11" x14ac:dyDescent="0.45">
      <c r="A1675">
        <v>7869</v>
      </c>
      <c r="B1675" s="15">
        <v>44052</v>
      </c>
      <c r="C1675" t="str">
        <f>TEXT(Table1[[#This Row],[Order Date]], "yyyy")</f>
        <v>2020</v>
      </c>
      <c r="D1675" t="str">
        <f>TEXT(Table1[[#This Row],[Order Date]], "mmmm")</f>
        <v>August</v>
      </c>
      <c r="E1675" s="16">
        <f>Table1[[#This Row],[Order Quantity]]*Table1[[#This Row],[Unit Price]]</f>
        <v>3531.58</v>
      </c>
      <c r="F1675">
        <v>17</v>
      </c>
      <c r="G1675" s="16">
        <v>207.74</v>
      </c>
      <c r="H1675" t="s">
        <v>25</v>
      </c>
      <c r="I1675" t="s">
        <v>1128</v>
      </c>
      <c r="J1675" t="s">
        <v>13</v>
      </c>
      <c r="K1675" t="s">
        <v>17</v>
      </c>
    </row>
    <row r="1676" spans="1:11" x14ac:dyDescent="0.45">
      <c r="A1676">
        <v>7870</v>
      </c>
      <c r="B1676" s="15">
        <v>44064</v>
      </c>
      <c r="C1676" t="str">
        <f>TEXT(Table1[[#This Row],[Order Date]], "yyyy")</f>
        <v>2020</v>
      </c>
      <c r="D1676" t="str">
        <f>TEXT(Table1[[#This Row],[Order Date]], "mmmm")</f>
        <v>August</v>
      </c>
      <c r="E1676" s="16">
        <f>Table1[[#This Row],[Order Quantity]]*Table1[[#This Row],[Unit Price]]</f>
        <v>8679.9</v>
      </c>
      <c r="F1676">
        <v>10</v>
      </c>
      <c r="G1676" s="16">
        <v>867.99</v>
      </c>
      <c r="H1676" t="s">
        <v>464</v>
      </c>
      <c r="I1676" t="s">
        <v>1129</v>
      </c>
      <c r="J1676" t="s">
        <v>10</v>
      </c>
      <c r="K1676" t="s">
        <v>11</v>
      </c>
    </row>
    <row r="1677" spans="1:11" x14ac:dyDescent="0.45">
      <c r="A1677">
        <v>7871</v>
      </c>
      <c r="B1677" s="15">
        <v>43947</v>
      </c>
      <c r="C1677" t="str">
        <f>TEXT(Table1[[#This Row],[Order Date]], "yyyy")</f>
        <v>2020</v>
      </c>
      <c r="D1677" t="str">
        <f>TEXT(Table1[[#This Row],[Order Date]], "mmmm")</f>
        <v>April</v>
      </c>
      <c r="E1677" s="16">
        <f>Table1[[#This Row],[Order Quantity]]*Table1[[#This Row],[Unit Price]]</f>
        <v>9040.08</v>
      </c>
      <c r="F1677">
        <v>42</v>
      </c>
      <c r="G1677" s="16">
        <v>215.24</v>
      </c>
      <c r="H1677" t="s">
        <v>25</v>
      </c>
      <c r="I1677" t="s">
        <v>1130</v>
      </c>
      <c r="J1677" t="s">
        <v>10</v>
      </c>
      <c r="K1677" t="s">
        <v>11</v>
      </c>
    </row>
    <row r="1678" spans="1:11" x14ac:dyDescent="0.45">
      <c r="A1678">
        <v>7872</v>
      </c>
      <c r="B1678" s="15">
        <v>43925</v>
      </c>
      <c r="C1678" t="str">
        <f>TEXT(Table1[[#This Row],[Order Date]], "yyyy")</f>
        <v>2020</v>
      </c>
      <c r="D1678" t="str">
        <f>TEXT(Table1[[#This Row],[Order Date]], "mmmm")</f>
        <v>April</v>
      </c>
      <c r="E1678" s="16">
        <f>Table1[[#This Row],[Order Quantity]]*Table1[[#This Row],[Unit Price]]</f>
        <v>19959.310000000001</v>
      </c>
      <c r="F1678">
        <v>43</v>
      </c>
      <c r="G1678" s="16">
        <v>464.17</v>
      </c>
      <c r="H1678" t="s">
        <v>464</v>
      </c>
      <c r="I1678" t="s">
        <v>1131</v>
      </c>
      <c r="J1678" t="s">
        <v>13</v>
      </c>
      <c r="K1678" t="s">
        <v>15</v>
      </c>
    </row>
    <row r="1679" spans="1:11" x14ac:dyDescent="0.45">
      <c r="A1679">
        <v>7873</v>
      </c>
      <c r="B1679" s="15">
        <v>43979</v>
      </c>
      <c r="C1679" t="str">
        <f>TEXT(Table1[[#This Row],[Order Date]], "yyyy")</f>
        <v>2020</v>
      </c>
      <c r="D1679" t="str">
        <f>TEXT(Table1[[#This Row],[Order Date]], "mmmm")</f>
        <v>May</v>
      </c>
      <c r="E1679" s="16">
        <f>Table1[[#This Row],[Order Quantity]]*Table1[[#This Row],[Unit Price]]</f>
        <v>85268.96</v>
      </c>
      <c r="F1679">
        <v>76</v>
      </c>
      <c r="G1679" s="16">
        <v>1121.96</v>
      </c>
      <c r="H1679" t="s">
        <v>464</v>
      </c>
      <c r="I1679" t="s">
        <v>1132</v>
      </c>
      <c r="J1679" t="s">
        <v>23</v>
      </c>
      <c r="K1679" t="s">
        <v>17</v>
      </c>
    </row>
    <row r="1680" spans="1:11" x14ac:dyDescent="0.45">
      <c r="A1680">
        <v>7874</v>
      </c>
      <c r="B1680" s="15">
        <v>44113</v>
      </c>
      <c r="C1680" t="str">
        <f>TEXT(Table1[[#This Row],[Order Date]], "yyyy")</f>
        <v>2020</v>
      </c>
      <c r="D1680" t="str">
        <f>TEXT(Table1[[#This Row],[Order Date]], "mmmm")</f>
        <v>October</v>
      </c>
      <c r="E1680" s="16">
        <f>Table1[[#This Row],[Order Quantity]]*Table1[[#This Row],[Unit Price]]</f>
        <v>18079.88</v>
      </c>
      <c r="F1680">
        <v>52</v>
      </c>
      <c r="G1680" s="16">
        <v>347.69</v>
      </c>
      <c r="H1680" t="s">
        <v>25</v>
      </c>
      <c r="I1680" t="s">
        <v>1133</v>
      </c>
      <c r="J1680" t="s">
        <v>20</v>
      </c>
      <c r="K1680" t="s">
        <v>15</v>
      </c>
    </row>
    <row r="1681" spans="1:11" x14ac:dyDescent="0.45">
      <c r="A1681">
        <v>7875</v>
      </c>
      <c r="B1681" s="15">
        <v>43878</v>
      </c>
      <c r="C1681" t="str">
        <f>TEXT(Table1[[#This Row],[Order Date]], "yyyy")</f>
        <v>2020</v>
      </c>
      <c r="D1681" t="str">
        <f>TEXT(Table1[[#This Row],[Order Date]], "mmmm")</f>
        <v>February</v>
      </c>
      <c r="E1681" s="16">
        <f>Table1[[#This Row],[Order Quantity]]*Table1[[#This Row],[Unit Price]]</f>
        <v>13147.970000000001</v>
      </c>
      <c r="F1681">
        <v>79</v>
      </c>
      <c r="G1681" s="16">
        <v>166.43</v>
      </c>
      <c r="H1681" t="s">
        <v>8</v>
      </c>
      <c r="I1681" t="s">
        <v>1134</v>
      </c>
      <c r="J1681" t="s">
        <v>23</v>
      </c>
      <c r="K1681" t="s">
        <v>17</v>
      </c>
    </row>
    <row r="1682" spans="1:11" x14ac:dyDescent="0.45">
      <c r="A1682">
        <v>7876</v>
      </c>
      <c r="B1682" s="15">
        <v>44173</v>
      </c>
      <c r="C1682" t="str">
        <f>TEXT(Table1[[#This Row],[Order Date]], "yyyy")</f>
        <v>2020</v>
      </c>
      <c r="D1682" t="str">
        <f>TEXT(Table1[[#This Row],[Order Date]], "mmmm")</f>
        <v>December</v>
      </c>
      <c r="E1682" s="16">
        <f>Table1[[#This Row],[Order Quantity]]*Table1[[#This Row],[Unit Price]]</f>
        <v>100493.43999999999</v>
      </c>
      <c r="F1682">
        <v>92</v>
      </c>
      <c r="G1682" s="16">
        <v>1092.32</v>
      </c>
      <c r="H1682" t="s">
        <v>464</v>
      </c>
      <c r="I1682" t="s">
        <v>1135</v>
      </c>
      <c r="J1682" t="s">
        <v>23</v>
      </c>
      <c r="K1682" t="s">
        <v>17</v>
      </c>
    </row>
    <row r="1683" spans="1:11" x14ac:dyDescent="0.45">
      <c r="A1683">
        <v>7877</v>
      </c>
      <c r="B1683" s="15">
        <v>44179</v>
      </c>
      <c r="C1683" t="str">
        <f>TEXT(Table1[[#This Row],[Order Date]], "yyyy")</f>
        <v>2020</v>
      </c>
      <c r="D1683" t="str">
        <f>TEXT(Table1[[#This Row],[Order Date]], "mmmm")</f>
        <v>December</v>
      </c>
      <c r="E1683" s="16">
        <f>Table1[[#This Row],[Order Quantity]]*Table1[[#This Row],[Unit Price]]</f>
        <v>95898.319999999992</v>
      </c>
      <c r="F1683">
        <v>76</v>
      </c>
      <c r="G1683" s="16">
        <v>1261.82</v>
      </c>
      <c r="H1683" t="s">
        <v>25</v>
      </c>
      <c r="I1683" t="s">
        <v>1136</v>
      </c>
      <c r="J1683" t="s">
        <v>10</v>
      </c>
      <c r="K1683" t="s">
        <v>11</v>
      </c>
    </row>
    <row r="1684" spans="1:11" x14ac:dyDescent="0.45">
      <c r="A1684">
        <v>7878</v>
      </c>
      <c r="B1684" s="15">
        <v>43913</v>
      </c>
      <c r="C1684" t="str">
        <f>TEXT(Table1[[#This Row],[Order Date]], "yyyy")</f>
        <v>2020</v>
      </c>
      <c r="D1684" t="str">
        <f>TEXT(Table1[[#This Row],[Order Date]], "mmmm")</f>
        <v>March</v>
      </c>
      <c r="E1684" s="16">
        <f>Table1[[#This Row],[Order Quantity]]*Table1[[#This Row],[Unit Price]]</f>
        <v>60586.200000000004</v>
      </c>
      <c r="F1684">
        <v>97</v>
      </c>
      <c r="G1684" s="16">
        <v>624.6</v>
      </c>
      <c r="H1684" t="s">
        <v>464</v>
      </c>
      <c r="I1684" t="s">
        <v>1137</v>
      </c>
      <c r="J1684" t="s">
        <v>20</v>
      </c>
      <c r="K1684" t="s">
        <v>15</v>
      </c>
    </row>
    <row r="1685" spans="1:11" x14ac:dyDescent="0.45">
      <c r="A1685">
        <v>7879</v>
      </c>
      <c r="B1685" s="15">
        <v>44052</v>
      </c>
      <c r="C1685" t="str">
        <f>TEXT(Table1[[#This Row],[Order Date]], "yyyy")</f>
        <v>2020</v>
      </c>
      <c r="D1685" t="str">
        <f>TEXT(Table1[[#This Row],[Order Date]], "mmmm")</f>
        <v>August</v>
      </c>
      <c r="E1685" s="16">
        <f>Table1[[#This Row],[Order Quantity]]*Table1[[#This Row],[Unit Price]]</f>
        <v>11933.460000000001</v>
      </c>
      <c r="F1685">
        <v>99</v>
      </c>
      <c r="G1685" s="16">
        <v>120.54</v>
      </c>
      <c r="H1685" t="s">
        <v>464</v>
      </c>
      <c r="I1685" t="s">
        <v>1138</v>
      </c>
      <c r="J1685" t="s">
        <v>10</v>
      </c>
      <c r="K1685" t="s">
        <v>11</v>
      </c>
    </row>
    <row r="1686" spans="1:11" x14ac:dyDescent="0.45">
      <c r="A1686">
        <v>7880</v>
      </c>
      <c r="B1686" s="15">
        <v>43903</v>
      </c>
      <c r="C1686" t="str">
        <f>TEXT(Table1[[#This Row],[Order Date]], "yyyy")</f>
        <v>2020</v>
      </c>
      <c r="D1686" t="str">
        <f>TEXT(Table1[[#This Row],[Order Date]], "mmmm")</f>
        <v>March</v>
      </c>
      <c r="E1686" s="16">
        <f>Table1[[#This Row],[Order Quantity]]*Table1[[#This Row],[Unit Price]]</f>
        <v>99606.32</v>
      </c>
      <c r="F1686">
        <v>88</v>
      </c>
      <c r="G1686" s="16">
        <v>1131.8900000000001</v>
      </c>
      <c r="H1686" t="s">
        <v>25</v>
      </c>
      <c r="I1686" t="s">
        <v>1139</v>
      </c>
      <c r="J1686" t="s">
        <v>23</v>
      </c>
      <c r="K1686" t="s">
        <v>15</v>
      </c>
    </row>
    <row r="1687" spans="1:11" x14ac:dyDescent="0.45">
      <c r="A1687">
        <v>7881</v>
      </c>
      <c r="B1687" s="15">
        <v>44015</v>
      </c>
      <c r="C1687" t="str">
        <f>TEXT(Table1[[#This Row],[Order Date]], "yyyy")</f>
        <v>2020</v>
      </c>
      <c r="D1687" t="str">
        <f>TEXT(Table1[[#This Row],[Order Date]], "mmmm")</f>
        <v>July</v>
      </c>
      <c r="E1687" s="16">
        <f>Table1[[#This Row],[Order Quantity]]*Table1[[#This Row],[Unit Price]]</f>
        <v>27093.759999999998</v>
      </c>
      <c r="F1687">
        <v>64</v>
      </c>
      <c r="G1687" s="16">
        <v>423.34</v>
      </c>
      <c r="H1687" t="s">
        <v>464</v>
      </c>
      <c r="I1687" t="s">
        <v>1140</v>
      </c>
      <c r="J1687" t="s">
        <v>13</v>
      </c>
      <c r="K1687" t="s">
        <v>17</v>
      </c>
    </row>
    <row r="1688" spans="1:11" x14ac:dyDescent="0.45">
      <c r="A1688">
        <v>7882</v>
      </c>
      <c r="B1688" s="15">
        <v>43996</v>
      </c>
      <c r="C1688" t="str">
        <f>TEXT(Table1[[#This Row],[Order Date]], "yyyy")</f>
        <v>2020</v>
      </c>
      <c r="D1688" t="str">
        <f>TEXT(Table1[[#This Row],[Order Date]], "mmmm")</f>
        <v>June</v>
      </c>
      <c r="E1688" s="16">
        <f>Table1[[#This Row],[Order Quantity]]*Table1[[#This Row],[Unit Price]]</f>
        <v>90882.239999999991</v>
      </c>
      <c r="F1688">
        <v>82</v>
      </c>
      <c r="G1688" s="16">
        <v>1108.32</v>
      </c>
      <c r="H1688" t="s">
        <v>464</v>
      </c>
      <c r="I1688" t="s">
        <v>1141</v>
      </c>
      <c r="J1688" t="s">
        <v>23</v>
      </c>
      <c r="K1688" t="s">
        <v>11</v>
      </c>
    </row>
    <row r="1689" spans="1:11" x14ac:dyDescent="0.45">
      <c r="A1689">
        <v>7883</v>
      </c>
      <c r="B1689" s="15">
        <v>43855</v>
      </c>
      <c r="C1689" t="str">
        <f>TEXT(Table1[[#This Row],[Order Date]], "yyyy")</f>
        <v>2020</v>
      </c>
      <c r="D1689" t="str">
        <f>TEXT(Table1[[#This Row],[Order Date]], "mmmm")</f>
        <v>January</v>
      </c>
      <c r="E1689" s="16">
        <f>Table1[[#This Row],[Order Quantity]]*Table1[[#This Row],[Unit Price]]</f>
        <v>4703.4399999999996</v>
      </c>
      <c r="F1689">
        <v>4</v>
      </c>
      <c r="G1689" s="16">
        <v>1175.8599999999999</v>
      </c>
      <c r="H1689" t="s">
        <v>25</v>
      </c>
      <c r="I1689" t="s">
        <v>1142</v>
      </c>
      <c r="J1689" t="s">
        <v>20</v>
      </c>
      <c r="K1689" t="s">
        <v>17</v>
      </c>
    </row>
    <row r="1690" spans="1:11" x14ac:dyDescent="0.45">
      <c r="A1690">
        <v>7884</v>
      </c>
      <c r="B1690" s="15">
        <v>43865</v>
      </c>
      <c r="C1690" t="str">
        <f>TEXT(Table1[[#This Row],[Order Date]], "yyyy")</f>
        <v>2020</v>
      </c>
      <c r="D1690" t="str">
        <f>TEXT(Table1[[#This Row],[Order Date]], "mmmm")</f>
        <v>February</v>
      </c>
      <c r="E1690" s="16">
        <f>Table1[[#This Row],[Order Quantity]]*Table1[[#This Row],[Unit Price]]</f>
        <v>57767.61</v>
      </c>
      <c r="F1690">
        <v>61</v>
      </c>
      <c r="G1690" s="16">
        <v>947.01</v>
      </c>
      <c r="H1690" t="s">
        <v>464</v>
      </c>
      <c r="I1690" t="s">
        <v>972</v>
      </c>
      <c r="J1690" t="s">
        <v>20</v>
      </c>
      <c r="K1690" t="s">
        <v>17</v>
      </c>
    </row>
    <row r="1691" spans="1:11" x14ac:dyDescent="0.45">
      <c r="A1691">
        <v>7885</v>
      </c>
      <c r="B1691" s="15">
        <v>43891</v>
      </c>
      <c r="C1691" t="str">
        <f>TEXT(Table1[[#This Row],[Order Date]], "yyyy")</f>
        <v>2020</v>
      </c>
      <c r="D1691" t="str">
        <f>TEXT(Table1[[#This Row],[Order Date]], "mmmm")</f>
        <v>March</v>
      </c>
      <c r="E1691" s="16">
        <f>Table1[[#This Row],[Order Quantity]]*Table1[[#This Row],[Unit Price]]</f>
        <v>98284.2</v>
      </c>
      <c r="F1691">
        <v>98</v>
      </c>
      <c r="G1691" s="16">
        <v>1002.9</v>
      </c>
      <c r="H1691" t="s">
        <v>8</v>
      </c>
      <c r="I1691" t="s">
        <v>1143</v>
      </c>
      <c r="J1691" t="s">
        <v>23</v>
      </c>
      <c r="K1691" t="s">
        <v>17</v>
      </c>
    </row>
    <row r="1692" spans="1:11" x14ac:dyDescent="0.45">
      <c r="A1692">
        <v>7886</v>
      </c>
      <c r="B1692" s="15">
        <v>44011</v>
      </c>
      <c r="C1692" t="str">
        <f>TEXT(Table1[[#This Row],[Order Date]], "yyyy")</f>
        <v>2020</v>
      </c>
      <c r="D1692" t="str">
        <f>TEXT(Table1[[#This Row],[Order Date]], "mmmm")</f>
        <v>June</v>
      </c>
      <c r="E1692" s="16">
        <f>Table1[[#This Row],[Order Quantity]]*Table1[[#This Row],[Unit Price]]</f>
        <v>4287.99</v>
      </c>
      <c r="F1692">
        <v>3</v>
      </c>
      <c r="G1692" s="16">
        <v>1429.33</v>
      </c>
      <c r="H1692" t="s">
        <v>464</v>
      </c>
      <c r="I1692" t="s">
        <v>1144</v>
      </c>
      <c r="J1692" t="s">
        <v>10</v>
      </c>
      <c r="K1692" t="s">
        <v>11</v>
      </c>
    </row>
    <row r="1693" spans="1:11" x14ac:dyDescent="0.45">
      <c r="A1693">
        <v>7887</v>
      </c>
      <c r="B1693" s="15">
        <v>44117</v>
      </c>
      <c r="C1693" t="str">
        <f>TEXT(Table1[[#This Row],[Order Date]], "yyyy")</f>
        <v>2020</v>
      </c>
      <c r="D1693" t="str">
        <f>TEXT(Table1[[#This Row],[Order Date]], "mmmm")</f>
        <v>October</v>
      </c>
      <c r="E1693" s="16">
        <f>Table1[[#This Row],[Order Quantity]]*Table1[[#This Row],[Unit Price]]</f>
        <v>93263.039999999994</v>
      </c>
      <c r="F1693">
        <v>94</v>
      </c>
      <c r="G1693" s="16">
        <v>992.16</v>
      </c>
      <c r="H1693" t="s">
        <v>8</v>
      </c>
      <c r="I1693" t="s">
        <v>1145</v>
      </c>
      <c r="J1693" t="s">
        <v>23</v>
      </c>
      <c r="K1693" t="s">
        <v>11</v>
      </c>
    </row>
    <row r="1694" spans="1:11" x14ac:dyDescent="0.45">
      <c r="A1694">
        <v>7888</v>
      </c>
      <c r="B1694" s="15">
        <v>43876</v>
      </c>
      <c r="C1694" t="str">
        <f>TEXT(Table1[[#This Row],[Order Date]], "yyyy")</f>
        <v>2020</v>
      </c>
      <c r="D1694" t="str">
        <f>TEXT(Table1[[#This Row],[Order Date]], "mmmm")</f>
        <v>February</v>
      </c>
      <c r="E1694" s="16">
        <f>Table1[[#This Row],[Order Quantity]]*Table1[[#This Row],[Unit Price]]</f>
        <v>15334.560000000001</v>
      </c>
      <c r="F1694">
        <v>46</v>
      </c>
      <c r="G1694" s="16">
        <v>333.36</v>
      </c>
      <c r="H1694" t="s">
        <v>8</v>
      </c>
      <c r="I1694" t="s">
        <v>1146</v>
      </c>
      <c r="J1694" t="s">
        <v>23</v>
      </c>
      <c r="K1694" t="s">
        <v>11</v>
      </c>
    </row>
    <row r="1695" spans="1:11" x14ac:dyDescent="0.45">
      <c r="A1695">
        <v>7889</v>
      </c>
      <c r="B1695" s="15">
        <v>43843</v>
      </c>
      <c r="C1695" t="str">
        <f>TEXT(Table1[[#This Row],[Order Date]], "yyyy")</f>
        <v>2020</v>
      </c>
      <c r="D1695" t="str">
        <f>TEXT(Table1[[#This Row],[Order Date]], "mmmm")</f>
        <v>January</v>
      </c>
      <c r="E1695" s="16">
        <f>Table1[[#This Row],[Order Quantity]]*Table1[[#This Row],[Unit Price]]</f>
        <v>101995.51999999999</v>
      </c>
      <c r="F1695">
        <v>88</v>
      </c>
      <c r="G1695" s="16">
        <v>1159.04</v>
      </c>
      <c r="H1695" t="s">
        <v>464</v>
      </c>
      <c r="I1695" t="s">
        <v>1147</v>
      </c>
      <c r="J1695" t="s">
        <v>10</v>
      </c>
      <c r="K1695" t="s">
        <v>11</v>
      </c>
    </row>
    <row r="1696" spans="1:11" x14ac:dyDescent="0.45">
      <c r="A1696">
        <v>7890</v>
      </c>
      <c r="B1696" s="15">
        <v>43980</v>
      </c>
      <c r="C1696" t="str">
        <f>TEXT(Table1[[#This Row],[Order Date]], "yyyy")</f>
        <v>2020</v>
      </c>
      <c r="D1696" t="str">
        <f>TEXT(Table1[[#This Row],[Order Date]], "mmmm")</f>
        <v>May</v>
      </c>
      <c r="E1696" s="16">
        <f>Table1[[#This Row],[Order Quantity]]*Table1[[#This Row],[Unit Price]]</f>
        <v>108400.64</v>
      </c>
      <c r="F1696">
        <v>79</v>
      </c>
      <c r="G1696" s="16">
        <v>1372.16</v>
      </c>
      <c r="H1696" t="s">
        <v>464</v>
      </c>
      <c r="I1696" t="s">
        <v>1148</v>
      </c>
      <c r="J1696" t="s">
        <v>13</v>
      </c>
      <c r="K1696" t="s">
        <v>15</v>
      </c>
    </row>
    <row r="1697" spans="1:11" x14ac:dyDescent="0.45">
      <c r="A1697">
        <v>7891</v>
      </c>
      <c r="B1697" s="15">
        <v>44046</v>
      </c>
      <c r="C1697" t="str">
        <f>TEXT(Table1[[#This Row],[Order Date]], "yyyy")</f>
        <v>2020</v>
      </c>
      <c r="D1697" t="str">
        <f>TEXT(Table1[[#This Row],[Order Date]], "mmmm")</f>
        <v>August</v>
      </c>
      <c r="E1697" s="16">
        <f>Table1[[#This Row],[Order Quantity]]*Table1[[#This Row],[Unit Price]]</f>
        <v>17995.599999999999</v>
      </c>
      <c r="F1697">
        <v>40</v>
      </c>
      <c r="G1697" s="16">
        <v>449.89</v>
      </c>
      <c r="H1697" t="s">
        <v>25</v>
      </c>
      <c r="I1697" t="s">
        <v>1149</v>
      </c>
      <c r="J1697" t="s">
        <v>13</v>
      </c>
      <c r="K1697" t="s">
        <v>15</v>
      </c>
    </row>
    <row r="1698" spans="1:11" x14ac:dyDescent="0.45">
      <c r="A1698">
        <v>7892</v>
      </c>
      <c r="B1698" s="15">
        <v>43980</v>
      </c>
      <c r="C1698" t="str">
        <f>TEXT(Table1[[#This Row],[Order Date]], "yyyy")</f>
        <v>2020</v>
      </c>
      <c r="D1698" t="str">
        <f>TEXT(Table1[[#This Row],[Order Date]], "mmmm")</f>
        <v>May</v>
      </c>
      <c r="E1698" s="16">
        <f>Table1[[#This Row],[Order Quantity]]*Table1[[#This Row],[Unit Price]]</f>
        <v>77493</v>
      </c>
      <c r="F1698">
        <v>52</v>
      </c>
      <c r="G1698" s="16">
        <v>1490.25</v>
      </c>
      <c r="H1698" t="s">
        <v>25</v>
      </c>
      <c r="I1698" t="s">
        <v>1150</v>
      </c>
      <c r="J1698" t="s">
        <v>13</v>
      </c>
      <c r="K1698" t="s">
        <v>17</v>
      </c>
    </row>
    <row r="1699" spans="1:11" x14ac:dyDescent="0.45">
      <c r="A1699">
        <v>7893</v>
      </c>
      <c r="B1699" s="15">
        <v>43966</v>
      </c>
      <c r="C1699" t="str">
        <f>TEXT(Table1[[#This Row],[Order Date]], "yyyy")</f>
        <v>2020</v>
      </c>
      <c r="D1699" t="str">
        <f>TEXT(Table1[[#This Row],[Order Date]], "mmmm")</f>
        <v>May</v>
      </c>
      <c r="E1699" s="16">
        <f>Table1[[#This Row],[Order Quantity]]*Table1[[#This Row],[Unit Price]]</f>
        <v>12221.300000000001</v>
      </c>
      <c r="F1699">
        <v>14</v>
      </c>
      <c r="G1699" s="16">
        <v>872.95</v>
      </c>
      <c r="H1699" t="s">
        <v>464</v>
      </c>
      <c r="I1699" t="s">
        <v>1151</v>
      </c>
      <c r="J1699" t="s">
        <v>20</v>
      </c>
      <c r="K1699" t="s">
        <v>11</v>
      </c>
    </row>
    <row r="1700" spans="1:11" x14ac:dyDescent="0.45">
      <c r="A1700">
        <v>7894</v>
      </c>
      <c r="B1700" s="15">
        <v>43863</v>
      </c>
      <c r="C1700" t="str">
        <f>TEXT(Table1[[#This Row],[Order Date]], "yyyy")</f>
        <v>2020</v>
      </c>
      <c r="D1700" t="str">
        <f>TEXT(Table1[[#This Row],[Order Date]], "mmmm")</f>
        <v>February</v>
      </c>
      <c r="E1700" s="16">
        <f>Table1[[#This Row],[Order Quantity]]*Table1[[#This Row],[Unit Price]]</f>
        <v>43450.58</v>
      </c>
      <c r="F1700">
        <v>71</v>
      </c>
      <c r="G1700" s="16">
        <v>611.98</v>
      </c>
      <c r="H1700" t="s">
        <v>8</v>
      </c>
      <c r="I1700" t="s">
        <v>1152</v>
      </c>
      <c r="J1700" t="s">
        <v>20</v>
      </c>
      <c r="K1700" t="s">
        <v>11</v>
      </c>
    </row>
    <row r="1701" spans="1:11" x14ac:dyDescent="0.45">
      <c r="A1701">
        <v>7895</v>
      </c>
      <c r="B1701" s="15">
        <v>43977</v>
      </c>
      <c r="C1701" t="str">
        <f>TEXT(Table1[[#This Row],[Order Date]], "yyyy")</f>
        <v>2020</v>
      </c>
      <c r="D1701" t="str">
        <f>TEXT(Table1[[#This Row],[Order Date]], "mmmm")</f>
        <v>May</v>
      </c>
      <c r="E1701" s="16">
        <f>Table1[[#This Row],[Order Quantity]]*Table1[[#This Row],[Unit Price]]</f>
        <v>38137.440000000002</v>
      </c>
      <c r="F1701">
        <v>62</v>
      </c>
      <c r="G1701" s="16">
        <v>615.12</v>
      </c>
      <c r="H1701" t="s">
        <v>464</v>
      </c>
      <c r="I1701" t="s">
        <v>1153</v>
      </c>
      <c r="J1701" t="s">
        <v>20</v>
      </c>
      <c r="K1701" t="s">
        <v>15</v>
      </c>
    </row>
    <row r="1702" spans="1:11" x14ac:dyDescent="0.45">
      <c r="A1702">
        <v>7896</v>
      </c>
      <c r="B1702" s="15">
        <v>44183</v>
      </c>
      <c r="C1702" t="str">
        <f>TEXT(Table1[[#This Row],[Order Date]], "yyyy")</f>
        <v>2020</v>
      </c>
      <c r="D1702" t="str">
        <f>TEXT(Table1[[#This Row],[Order Date]], "mmmm")</f>
        <v>December</v>
      </c>
      <c r="E1702" s="16">
        <f>Table1[[#This Row],[Order Quantity]]*Table1[[#This Row],[Unit Price]]</f>
        <v>58358.880000000005</v>
      </c>
      <c r="F1702">
        <v>54</v>
      </c>
      <c r="G1702" s="16">
        <v>1080.72</v>
      </c>
      <c r="H1702" t="s">
        <v>25</v>
      </c>
      <c r="I1702" t="s">
        <v>1154</v>
      </c>
      <c r="J1702" t="s">
        <v>20</v>
      </c>
      <c r="K1702" t="s">
        <v>15</v>
      </c>
    </row>
    <row r="1703" spans="1:11" x14ac:dyDescent="0.45">
      <c r="A1703">
        <v>7897</v>
      </c>
      <c r="B1703" s="15">
        <v>44118</v>
      </c>
      <c r="C1703" t="str">
        <f>TEXT(Table1[[#This Row],[Order Date]], "yyyy")</f>
        <v>2020</v>
      </c>
      <c r="D1703" t="str">
        <f>TEXT(Table1[[#This Row],[Order Date]], "mmmm")</f>
        <v>October</v>
      </c>
      <c r="E1703" s="16">
        <f>Table1[[#This Row],[Order Quantity]]*Table1[[#This Row],[Unit Price]]</f>
        <v>6304.06</v>
      </c>
      <c r="F1703">
        <v>7</v>
      </c>
      <c r="G1703" s="16">
        <v>900.58</v>
      </c>
      <c r="H1703" t="s">
        <v>8</v>
      </c>
      <c r="I1703" t="s">
        <v>1155</v>
      </c>
      <c r="J1703" t="s">
        <v>10</v>
      </c>
      <c r="K1703" t="s">
        <v>17</v>
      </c>
    </row>
    <row r="1704" spans="1:11" x14ac:dyDescent="0.45">
      <c r="A1704">
        <v>7898</v>
      </c>
      <c r="B1704" s="15">
        <v>44122</v>
      </c>
      <c r="C1704" t="str">
        <f>TEXT(Table1[[#This Row],[Order Date]], "yyyy")</f>
        <v>2020</v>
      </c>
      <c r="D1704" t="str">
        <f>TEXT(Table1[[#This Row],[Order Date]], "mmmm")</f>
        <v>October</v>
      </c>
      <c r="E1704" s="16">
        <f>Table1[[#This Row],[Order Quantity]]*Table1[[#This Row],[Unit Price]]</f>
        <v>8300.76</v>
      </c>
      <c r="F1704">
        <v>52</v>
      </c>
      <c r="G1704" s="16">
        <v>159.63</v>
      </c>
      <c r="H1704" t="s">
        <v>464</v>
      </c>
      <c r="I1704" t="s">
        <v>1156</v>
      </c>
      <c r="J1704" t="s">
        <v>13</v>
      </c>
      <c r="K1704" t="s">
        <v>15</v>
      </c>
    </row>
    <row r="1705" spans="1:11" x14ac:dyDescent="0.45">
      <c r="A1705">
        <v>7899</v>
      </c>
      <c r="B1705" s="15">
        <v>44049</v>
      </c>
      <c r="C1705" t="str">
        <f>TEXT(Table1[[#This Row],[Order Date]], "yyyy")</f>
        <v>2020</v>
      </c>
      <c r="D1705" t="str">
        <f>TEXT(Table1[[#This Row],[Order Date]], "mmmm")</f>
        <v>August</v>
      </c>
      <c r="E1705" s="16">
        <f>Table1[[#This Row],[Order Quantity]]*Table1[[#This Row],[Unit Price]]</f>
        <v>14234.36</v>
      </c>
      <c r="F1705">
        <v>28</v>
      </c>
      <c r="G1705" s="16">
        <v>508.37</v>
      </c>
      <c r="H1705" t="s">
        <v>25</v>
      </c>
      <c r="I1705" t="s">
        <v>1157</v>
      </c>
      <c r="J1705" t="s">
        <v>10</v>
      </c>
      <c r="K1705" t="s">
        <v>15</v>
      </c>
    </row>
    <row r="1706" spans="1:11" x14ac:dyDescent="0.45">
      <c r="A1706">
        <v>7900</v>
      </c>
      <c r="B1706" s="15">
        <v>44049</v>
      </c>
      <c r="C1706" t="str">
        <f>TEXT(Table1[[#This Row],[Order Date]], "yyyy")</f>
        <v>2020</v>
      </c>
      <c r="D1706" t="str">
        <f>TEXT(Table1[[#This Row],[Order Date]], "mmmm")</f>
        <v>August</v>
      </c>
      <c r="E1706" s="16">
        <f>Table1[[#This Row],[Order Quantity]]*Table1[[#This Row],[Unit Price]]</f>
        <v>4287.9000000000005</v>
      </c>
      <c r="F1706">
        <v>30</v>
      </c>
      <c r="G1706" s="16">
        <v>142.93</v>
      </c>
      <c r="H1706" t="s">
        <v>25</v>
      </c>
      <c r="I1706" t="s">
        <v>1158</v>
      </c>
      <c r="J1706" t="s">
        <v>20</v>
      </c>
      <c r="K1706" t="s">
        <v>17</v>
      </c>
    </row>
    <row r="1707" spans="1:11" x14ac:dyDescent="0.45">
      <c r="A1707">
        <v>7901</v>
      </c>
      <c r="B1707" s="15">
        <v>44118</v>
      </c>
      <c r="C1707" t="str">
        <f>TEXT(Table1[[#This Row],[Order Date]], "yyyy")</f>
        <v>2020</v>
      </c>
      <c r="D1707" t="str">
        <f>TEXT(Table1[[#This Row],[Order Date]], "mmmm")</f>
        <v>October</v>
      </c>
      <c r="E1707" s="16">
        <f>Table1[[#This Row],[Order Quantity]]*Table1[[#This Row],[Unit Price]]</f>
        <v>3921.6000000000004</v>
      </c>
      <c r="F1707">
        <v>40</v>
      </c>
      <c r="G1707" s="16">
        <v>98.04</v>
      </c>
      <c r="H1707" t="s">
        <v>25</v>
      </c>
      <c r="I1707" t="s">
        <v>1159</v>
      </c>
      <c r="J1707" t="s">
        <v>20</v>
      </c>
      <c r="K1707" t="s">
        <v>17</v>
      </c>
    </row>
    <row r="1708" spans="1:11" x14ac:dyDescent="0.45">
      <c r="A1708">
        <v>7902</v>
      </c>
      <c r="B1708" s="15">
        <v>44073</v>
      </c>
      <c r="C1708" t="str">
        <f>TEXT(Table1[[#This Row],[Order Date]], "yyyy")</f>
        <v>2020</v>
      </c>
      <c r="D1708" t="str">
        <f>TEXT(Table1[[#This Row],[Order Date]], "mmmm")</f>
        <v>August</v>
      </c>
      <c r="E1708" s="16">
        <f>Table1[[#This Row],[Order Quantity]]*Table1[[#This Row],[Unit Price]]</f>
        <v>65042.959999999992</v>
      </c>
      <c r="F1708">
        <v>62</v>
      </c>
      <c r="G1708" s="16">
        <v>1049.08</v>
      </c>
      <c r="H1708" t="s">
        <v>25</v>
      </c>
      <c r="I1708" t="s">
        <v>1160</v>
      </c>
      <c r="J1708" t="s">
        <v>20</v>
      </c>
      <c r="K1708" t="s">
        <v>15</v>
      </c>
    </row>
    <row r="1709" spans="1:11" x14ac:dyDescent="0.45">
      <c r="A1709">
        <v>7903</v>
      </c>
      <c r="B1709" s="15">
        <v>44086</v>
      </c>
      <c r="C1709" t="str">
        <f>TEXT(Table1[[#This Row],[Order Date]], "yyyy")</f>
        <v>2020</v>
      </c>
      <c r="D1709" t="str">
        <f>TEXT(Table1[[#This Row],[Order Date]], "mmmm")</f>
        <v>September</v>
      </c>
      <c r="E1709" s="16">
        <f>Table1[[#This Row],[Order Quantity]]*Table1[[#This Row],[Unit Price]]</f>
        <v>34157.199999999997</v>
      </c>
      <c r="F1709">
        <v>70</v>
      </c>
      <c r="G1709" s="16">
        <v>487.96</v>
      </c>
      <c r="H1709" t="s">
        <v>464</v>
      </c>
      <c r="I1709" t="s">
        <v>1161</v>
      </c>
      <c r="J1709" t="s">
        <v>10</v>
      </c>
      <c r="K1709" t="s">
        <v>17</v>
      </c>
    </row>
    <row r="1710" spans="1:11" x14ac:dyDescent="0.45">
      <c r="A1710">
        <v>7904</v>
      </c>
      <c r="B1710" s="15">
        <v>43982</v>
      </c>
      <c r="C1710" t="str">
        <f>TEXT(Table1[[#This Row],[Order Date]], "yyyy")</f>
        <v>2020</v>
      </c>
      <c r="D1710" t="str">
        <f>TEXT(Table1[[#This Row],[Order Date]], "mmmm")</f>
        <v>May</v>
      </c>
      <c r="E1710" s="16">
        <f>Table1[[#This Row],[Order Quantity]]*Table1[[#This Row],[Unit Price]]</f>
        <v>21493.29</v>
      </c>
      <c r="F1710">
        <v>39</v>
      </c>
      <c r="G1710" s="16">
        <v>551.11</v>
      </c>
      <c r="H1710" t="s">
        <v>464</v>
      </c>
      <c r="I1710" t="s">
        <v>1162</v>
      </c>
      <c r="J1710" t="s">
        <v>13</v>
      </c>
      <c r="K1710" t="s">
        <v>11</v>
      </c>
    </row>
    <row r="1711" spans="1:11" x14ac:dyDescent="0.45">
      <c r="A1711">
        <v>7905</v>
      </c>
      <c r="B1711" s="15">
        <v>43944</v>
      </c>
      <c r="C1711" t="str">
        <f>TEXT(Table1[[#This Row],[Order Date]], "yyyy")</f>
        <v>2020</v>
      </c>
      <c r="D1711" t="str">
        <f>TEXT(Table1[[#This Row],[Order Date]], "mmmm")</f>
        <v>April</v>
      </c>
      <c r="E1711" s="16">
        <f>Table1[[#This Row],[Order Quantity]]*Table1[[#This Row],[Unit Price]]</f>
        <v>107493.75</v>
      </c>
      <c r="F1711">
        <v>75</v>
      </c>
      <c r="G1711" s="16">
        <v>1433.25</v>
      </c>
      <c r="H1711" t="s">
        <v>25</v>
      </c>
      <c r="I1711" t="s">
        <v>1163</v>
      </c>
      <c r="J1711" t="s">
        <v>13</v>
      </c>
      <c r="K1711" t="s">
        <v>11</v>
      </c>
    </row>
    <row r="1712" spans="1:11" x14ac:dyDescent="0.45">
      <c r="A1712">
        <v>7906</v>
      </c>
      <c r="B1712" s="15">
        <v>43856</v>
      </c>
      <c r="C1712" t="str">
        <f>TEXT(Table1[[#This Row],[Order Date]], "yyyy")</f>
        <v>2020</v>
      </c>
      <c r="D1712" t="str">
        <f>TEXT(Table1[[#This Row],[Order Date]], "mmmm")</f>
        <v>January</v>
      </c>
      <c r="E1712" s="16">
        <f>Table1[[#This Row],[Order Quantity]]*Table1[[#This Row],[Unit Price]]</f>
        <v>22450.050000000003</v>
      </c>
      <c r="F1712">
        <v>63</v>
      </c>
      <c r="G1712" s="16">
        <v>356.35</v>
      </c>
      <c r="H1712" t="s">
        <v>464</v>
      </c>
      <c r="I1712" t="s">
        <v>1164</v>
      </c>
      <c r="J1712" t="s">
        <v>23</v>
      </c>
      <c r="K1712" t="s">
        <v>11</v>
      </c>
    </row>
    <row r="1713" spans="1:11" x14ac:dyDescent="0.45">
      <c r="A1713">
        <v>7907</v>
      </c>
      <c r="B1713" s="15">
        <v>44201</v>
      </c>
      <c r="C1713" t="str">
        <f>TEXT(Table1[[#This Row],[Order Date]], "yyyy")</f>
        <v>2021</v>
      </c>
      <c r="D1713" t="str">
        <f>TEXT(Table1[[#This Row],[Order Date]], "mmmm")</f>
        <v>January</v>
      </c>
      <c r="E1713" s="16">
        <f>Table1[[#This Row],[Order Quantity]]*Table1[[#This Row],[Unit Price]]</f>
        <v>29614.62</v>
      </c>
      <c r="F1713">
        <v>21</v>
      </c>
      <c r="G1713" s="16">
        <v>1410.22</v>
      </c>
      <c r="H1713" t="s">
        <v>25</v>
      </c>
      <c r="I1713" t="s">
        <v>1165</v>
      </c>
      <c r="J1713" t="s">
        <v>20</v>
      </c>
      <c r="K1713" t="s">
        <v>15</v>
      </c>
    </row>
    <row r="1714" spans="1:11" x14ac:dyDescent="0.45">
      <c r="A1714">
        <v>7908</v>
      </c>
      <c r="B1714" s="15">
        <v>44188</v>
      </c>
      <c r="C1714" t="str">
        <f>TEXT(Table1[[#This Row],[Order Date]], "yyyy")</f>
        <v>2020</v>
      </c>
      <c r="D1714" t="str">
        <f>TEXT(Table1[[#This Row],[Order Date]], "mmmm")</f>
        <v>December</v>
      </c>
      <c r="E1714" s="16">
        <f>Table1[[#This Row],[Order Quantity]]*Table1[[#This Row],[Unit Price]]</f>
        <v>24056.160000000003</v>
      </c>
      <c r="F1714">
        <v>92</v>
      </c>
      <c r="G1714" s="16">
        <v>261.48</v>
      </c>
      <c r="H1714" t="s">
        <v>8</v>
      </c>
      <c r="I1714" t="s">
        <v>1166</v>
      </c>
      <c r="J1714" t="s">
        <v>10</v>
      </c>
      <c r="K1714" t="s">
        <v>11</v>
      </c>
    </row>
    <row r="1715" spans="1:11" x14ac:dyDescent="0.45">
      <c r="A1715">
        <v>7909</v>
      </c>
      <c r="B1715" s="15">
        <v>43955</v>
      </c>
      <c r="C1715" t="str">
        <f>TEXT(Table1[[#This Row],[Order Date]], "yyyy")</f>
        <v>2020</v>
      </c>
      <c r="D1715" t="str">
        <f>TEXT(Table1[[#This Row],[Order Date]], "mmmm")</f>
        <v>May</v>
      </c>
      <c r="E1715" s="16">
        <f>Table1[[#This Row],[Order Quantity]]*Table1[[#This Row],[Unit Price]]</f>
        <v>42934.759999999995</v>
      </c>
      <c r="F1715">
        <v>44</v>
      </c>
      <c r="G1715" s="16">
        <v>975.79</v>
      </c>
      <c r="H1715" t="s">
        <v>8</v>
      </c>
      <c r="I1715" t="s">
        <v>1167</v>
      </c>
      <c r="J1715" t="s">
        <v>10</v>
      </c>
      <c r="K1715" t="s">
        <v>15</v>
      </c>
    </row>
    <row r="1716" spans="1:11" x14ac:dyDescent="0.45">
      <c r="A1716">
        <v>7910</v>
      </c>
      <c r="B1716" s="15">
        <v>43845</v>
      </c>
      <c r="C1716" t="str">
        <f>TEXT(Table1[[#This Row],[Order Date]], "yyyy")</f>
        <v>2020</v>
      </c>
      <c r="D1716" t="str">
        <f>TEXT(Table1[[#This Row],[Order Date]], "mmmm")</f>
        <v>January</v>
      </c>
      <c r="E1716" s="16">
        <f>Table1[[#This Row],[Order Quantity]]*Table1[[#This Row],[Unit Price]]</f>
        <v>63925.520000000004</v>
      </c>
      <c r="F1716">
        <v>43</v>
      </c>
      <c r="G1716" s="16">
        <v>1486.64</v>
      </c>
      <c r="H1716" t="s">
        <v>8</v>
      </c>
      <c r="I1716" t="s">
        <v>1168</v>
      </c>
      <c r="J1716" t="s">
        <v>10</v>
      </c>
      <c r="K1716" t="s">
        <v>11</v>
      </c>
    </row>
    <row r="1717" spans="1:11" x14ac:dyDescent="0.45">
      <c r="A1717">
        <v>7911</v>
      </c>
      <c r="B1717" s="15">
        <v>43964</v>
      </c>
      <c r="C1717" t="str">
        <f>TEXT(Table1[[#This Row],[Order Date]], "yyyy")</f>
        <v>2020</v>
      </c>
      <c r="D1717" t="str">
        <f>TEXT(Table1[[#This Row],[Order Date]], "mmmm")</f>
        <v>May</v>
      </c>
      <c r="E1717" s="16">
        <f>Table1[[#This Row],[Order Quantity]]*Table1[[#This Row],[Unit Price]]</f>
        <v>32429.279999999999</v>
      </c>
      <c r="F1717">
        <v>39</v>
      </c>
      <c r="G1717" s="16">
        <v>831.52</v>
      </c>
      <c r="H1717" t="s">
        <v>25</v>
      </c>
      <c r="I1717" t="s">
        <v>1169</v>
      </c>
      <c r="J1717" t="s">
        <v>23</v>
      </c>
      <c r="K1717" t="s">
        <v>17</v>
      </c>
    </row>
    <row r="1718" spans="1:11" x14ac:dyDescent="0.45">
      <c r="A1718">
        <v>7912</v>
      </c>
      <c r="B1718" s="15">
        <v>44078</v>
      </c>
      <c r="C1718" t="str">
        <f>TEXT(Table1[[#This Row],[Order Date]], "yyyy")</f>
        <v>2020</v>
      </c>
      <c r="D1718" t="str">
        <f>TEXT(Table1[[#This Row],[Order Date]], "mmmm")</f>
        <v>September</v>
      </c>
      <c r="E1718" s="16">
        <f>Table1[[#This Row],[Order Quantity]]*Table1[[#This Row],[Unit Price]]</f>
        <v>34218.99</v>
      </c>
      <c r="F1718">
        <v>39</v>
      </c>
      <c r="G1718" s="16">
        <v>877.41</v>
      </c>
      <c r="H1718" t="s">
        <v>8</v>
      </c>
      <c r="I1718" t="s">
        <v>1170</v>
      </c>
      <c r="J1718" t="s">
        <v>20</v>
      </c>
      <c r="K1718" t="s">
        <v>11</v>
      </c>
    </row>
    <row r="1719" spans="1:11" x14ac:dyDescent="0.45">
      <c r="A1719">
        <v>7913</v>
      </c>
      <c r="B1719" s="15">
        <v>44170</v>
      </c>
      <c r="C1719" t="str">
        <f>TEXT(Table1[[#This Row],[Order Date]], "yyyy")</f>
        <v>2020</v>
      </c>
      <c r="D1719" t="str">
        <f>TEXT(Table1[[#This Row],[Order Date]], "mmmm")</f>
        <v>December</v>
      </c>
      <c r="E1719" s="16">
        <f>Table1[[#This Row],[Order Quantity]]*Table1[[#This Row],[Unit Price]]</f>
        <v>2111.5500000000002</v>
      </c>
      <c r="F1719">
        <v>15</v>
      </c>
      <c r="G1719" s="16">
        <v>140.77000000000001</v>
      </c>
      <c r="H1719" t="s">
        <v>8</v>
      </c>
      <c r="I1719" t="s">
        <v>1171</v>
      </c>
      <c r="J1719" t="s">
        <v>10</v>
      </c>
      <c r="K1719" t="s">
        <v>11</v>
      </c>
    </row>
    <row r="1720" spans="1:11" x14ac:dyDescent="0.45">
      <c r="A1720">
        <v>7914</v>
      </c>
      <c r="B1720" s="15">
        <v>44107</v>
      </c>
      <c r="C1720" t="str">
        <f>TEXT(Table1[[#This Row],[Order Date]], "yyyy")</f>
        <v>2020</v>
      </c>
      <c r="D1720" t="str">
        <f>TEXT(Table1[[#This Row],[Order Date]], "mmmm")</f>
        <v>October</v>
      </c>
      <c r="E1720" s="16">
        <f>Table1[[#This Row],[Order Quantity]]*Table1[[#This Row],[Unit Price]]</f>
        <v>23982.899999999998</v>
      </c>
      <c r="F1720">
        <v>30</v>
      </c>
      <c r="G1720" s="16">
        <v>799.43</v>
      </c>
      <c r="H1720" t="s">
        <v>8</v>
      </c>
      <c r="I1720" t="s">
        <v>1172</v>
      </c>
      <c r="J1720" t="s">
        <v>10</v>
      </c>
      <c r="K1720" t="s">
        <v>17</v>
      </c>
    </row>
    <row r="1721" spans="1:11" x14ac:dyDescent="0.45">
      <c r="A1721">
        <v>7915</v>
      </c>
      <c r="B1721" s="15">
        <v>44029</v>
      </c>
      <c r="C1721" t="str">
        <f>TEXT(Table1[[#This Row],[Order Date]], "yyyy")</f>
        <v>2020</v>
      </c>
      <c r="D1721" t="str">
        <f>TEXT(Table1[[#This Row],[Order Date]], "mmmm")</f>
        <v>July</v>
      </c>
      <c r="E1721" s="16">
        <f>Table1[[#This Row],[Order Quantity]]*Table1[[#This Row],[Unit Price]]</f>
        <v>50529.78</v>
      </c>
      <c r="F1721">
        <v>42</v>
      </c>
      <c r="G1721" s="16">
        <v>1203.0899999999999</v>
      </c>
      <c r="H1721" t="s">
        <v>25</v>
      </c>
      <c r="I1721" t="s">
        <v>1173</v>
      </c>
      <c r="J1721" t="s">
        <v>20</v>
      </c>
      <c r="K1721" t="s">
        <v>15</v>
      </c>
    </row>
    <row r="1722" spans="1:11" x14ac:dyDescent="0.45">
      <c r="A1722">
        <v>7916</v>
      </c>
      <c r="B1722" s="15">
        <v>43989</v>
      </c>
      <c r="C1722" t="str">
        <f>TEXT(Table1[[#This Row],[Order Date]], "yyyy")</f>
        <v>2020</v>
      </c>
      <c r="D1722" t="str">
        <f>TEXT(Table1[[#This Row],[Order Date]], "mmmm")</f>
        <v>June</v>
      </c>
      <c r="E1722" s="16">
        <f>Table1[[#This Row],[Order Quantity]]*Table1[[#This Row],[Unit Price]]</f>
        <v>3358.08</v>
      </c>
      <c r="F1722">
        <v>9</v>
      </c>
      <c r="G1722" s="16">
        <v>373.12</v>
      </c>
      <c r="H1722" t="s">
        <v>464</v>
      </c>
      <c r="I1722" t="s">
        <v>1174</v>
      </c>
      <c r="J1722" t="s">
        <v>10</v>
      </c>
      <c r="K1722" t="s">
        <v>15</v>
      </c>
    </row>
    <row r="1723" spans="1:11" x14ac:dyDescent="0.45">
      <c r="A1723">
        <v>7917</v>
      </c>
      <c r="B1723" s="15">
        <v>43865</v>
      </c>
      <c r="C1723" t="str">
        <f>TEXT(Table1[[#This Row],[Order Date]], "yyyy")</f>
        <v>2020</v>
      </c>
      <c r="D1723" t="str">
        <f>TEXT(Table1[[#This Row],[Order Date]], "mmmm")</f>
        <v>February</v>
      </c>
      <c r="E1723" s="16">
        <f>Table1[[#This Row],[Order Quantity]]*Table1[[#This Row],[Unit Price]]</f>
        <v>55576.22</v>
      </c>
      <c r="F1723">
        <v>74</v>
      </c>
      <c r="G1723" s="16">
        <v>751.03</v>
      </c>
      <c r="H1723" t="s">
        <v>8</v>
      </c>
      <c r="I1723" t="s">
        <v>1175</v>
      </c>
      <c r="J1723" t="s">
        <v>20</v>
      </c>
      <c r="K1723" t="s">
        <v>15</v>
      </c>
    </row>
    <row r="1724" spans="1:11" x14ac:dyDescent="0.45">
      <c r="A1724">
        <v>7918</v>
      </c>
      <c r="B1724" s="15">
        <v>43969</v>
      </c>
      <c r="C1724" t="str">
        <f>TEXT(Table1[[#This Row],[Order Date]], "yyyy")</f>
        <v>2020</v>
      </c>
      <c r="D1724" t="str">
        <f>TEXT(Table1[[#This Row],[Order Date]], "mmmm")</f>
        <v>May</v>
      </c>
      <c r="E1724" s="16">
        <f>Table1[[#This Row],[Order Quantity]]*Table1[[#This Row],[Unit Price]]</f>
        <v>40605.840000000004</v>
      </c>
      <c r="F1724">
        <v>54</v>
      </c>
      <c r="G1724" s="16">
        <v>751.96</v>
      </c>
      <c r="H1724" t="s">
        <v>25</v>
      </c>
      <c r="I1724" t="s">
        <v>1176</v>
      </c>
      <c r="J1724" t="s">
        <v>10</v>
      </c>
      <c r="K1724" t="s">
        <v>11</v>
      </c>
    </row>
    <row r="1725" spans="1:11" x14ac:dyDescent="0.45">
      <c r="A1725">
        <v>7919</v>
      </c>
      <c r="B1725" s="15">
        <v>44181</v>
      </c>
      <c r="C1725" t="str">
        <f>TEXT(Table1[[#This Row],[Order Date]], "yyyy")</f>
        <v>2020</v>
      </c>
      <c r="D1725" t="str">
        <f>TEXT(Table1[[#This Row],[Order Date]], "mmmm")</f>
        <v>December</v>
      </c>
      <c r="E1725" s="16">
        <f>Table1[[#This Row],[Order Quantity]]*Table1[[#This Row],[Unit Price]]</f>
        <v>2600.36</v>
      </c>
      <c r="F1725">
        <v>4</v>
      </c>
      <c r="G1725" s="16">
        <v>650.09</v>
      </c>
      <c r="H1725" t="s">
        <v>464</v>
      </c>
      <c r="I1725" t="s">
        <v>1177</v>
      </c>
      <c r="J1725" t="s">
        <v>20</v>
      </c>
      <c r="K1725" t="s">
        <v>15</v>
      </c>
    </row>
    <row r="1726" spans="1:11" x14ac:dyDescent="0.45">
      <c r="A1726">
        <v>7920</v>
      </c>
      <c r="B1726" s="15">
        <v>43978</v>
      </c>
      <c r="C1726" t="str">
        <f>TEXT(Table1[[#This Row],[Order Date]], "yyyy")</f>
        <v>2020</v>
      </c>
      <c r="D1726" t="str">
        <f>TEXT(Table1[[#This Row],[Order Date]], "mmmm")</f>
        <v>May</v>
      </c>
      <c r="E1726" s="16">
        <f>Table1[[#This Row],[Order Quantity]]*Table1[[#This Row],[Unit Price]]</f>
        <v>13685.18</v>
      </c>
      <c r="F1726">
        <v>86</v>
      </c>
      <c r="G1726" s="16">
        <v>159.13</v>
      </c>
      <c r="H1726" t="s">
        <v>8</v>
      </c>
      <c r="I1726" t="s">
        <v>1178</v>
      </c>
      <c r="J1726" t="s">
        <v>20</v>
      </c>
      <c r="K1726" t="s">
        <v>11</v>
      </c>
    </row>
    <row r="1727" spans="1:11" x14ac:dyDescent="0.45">
      <c r="A1727">
        <v>7921</v>
      </c>
      <c r="B1727" s="15">
        <v>44022</v>
      </c>
      <c r="C1727" t="str">
        <f>TEXT(Table1[[#This Row],[Order Date]], "yyyy")</f>
        <v>2020</v>
      </c>
      <c r="D1727" t="str">
        <f>TEXT(Table1[[#This Row],[Order Date]], "mmmm")</f>
        <v>July</v>
      </c>
      <c r="E1727" s="16">
        <f>Table1[[#This Row],[Order Quantity]]*Table1[[#This Row],[Unit Price]]</f>
        <v>3625.86</v>
      </c>
      <c r="F1727">
        <v>14</v>
      </c>
      <c r="G1727" s="16">
        <v>258.99</v>
      </c>
      <c r="H1727" t="s">
        <v>464</v>
      </c>
      <c r="I1727" t="s">
        <v>1179</v>
      </c>
      <c r="J1727" t="s">
        <v>20</v>
      </c>
      <c r="K1727" t="s">
        <v>17</v>
      </c>
    </row>
    <row r="1728" spans="1:11" x14ac:dyDescent="0.45">
      <c r="A1728">
        <v>7922</v>
      </c>
      <c r="B1728" s="15">
        <v>43879</v>
      </c>
      <c r="C1728" t="str">
        <f>TEXT(Table1[[#This Row],[Order Date]], "yyyy")</f>
        <v>2020</v>
      </c>
      <c r="D1728" t="str">
        <f>TEXT(Table1[[#This Row],[Order Date]], "mmmm")</f>
        <v>February</v>
      </c>
      <c r="E1728" s="16">
        <f>Table1[[#This Row],[Order Quantity]]*Table1[[#This Row],[Unit Price]]</f>
        <v>36260.400000000001</v>
      </c>
      <c r="F1728">
        <v>44</v>
      </c>
      <c r="G1728" s="16">
        <v>824.1</v>
      </c>
      <c r="H1728" t="s">
        <v>8</v>
      </c>
      <c r="I1728" t="s">
        <v>1180</v>
      </c>
      <c r="J1728" t="s">
        <v>13</v>
      </c>
      <c r="K1728" t="s">
        <v>11</v>
      </c>
    </row>
    <row r="1729" spans="1:11" x14ac:dyDescent="0.45">
      <c r="A1729">
        <v>7923</v>
      </c>
      <c r="B1729" s="15">
        <v>44008</v>
      </c>
      <c r="C1729" t="str">
        <f>TEXT(Table1[[#This Row],[Order Date]], "yyyy")</f>
        <v>2020</v>
      </c>
      <c r="D1729" t="str">
        <f>TEXT(Table1[[#This Row],[Order Date]], "mmmm")</f>
        <v>June</v>
      </c>
      <c r="E1729" s="16">
        <f>Table1[[#This Row],[Order Quantity]]*Table1[[#This Row],[Unit Price]]</f>
        <v>92155.44</v>
      </c>
      <c r="F1729">
        <v>78</v>
      </c>
      <c r="G1729" s="16">
        <v>1181.48</v>
      </c>
      <c r="H1729" t="s">
        <v>464</v>
      </c>
      <c r="I1729" t="s">
        <v>1181</v>
      </c>
      <c r="J1729" t="s">
        <v>20</v>
      </c>
      <c r="K1729" t="s">
        <v>17</v>
      </c>
    </row>
    <row r="1730" spans="1:11" x14ac:dyDescent="0.45">
      <c r="A1730">
        <v>7924</v>
      </c>
      <c r="B1730" s="15">
        <v>43864</v>
      </c>
      <c r="C1730" t="str">
        <f>TEXT(Table1[[#This Row],[Order Date]], "yyyy")</f>
        <v>2020</v>
      </c>
      <c r="D1730" t="str">
        <f>TEXT(Table1[[#This Row],[Order Date]], "mmmm")</f>
        <v>February</v>
      </c>
      <c r="E1730" s="16">
        <f>Table1[[#This Row],[Order Quantity]]*Table1[[#This Row],[Unit Price]]</f>
        <v>69337.73</v>
      </c>
      <c r="F1730">
        <v>77</v>
      </c>
      <c r="G1730" s="16">
        <v>900.49</v>
      </c>
      <c r="H1730" t="s">
        <v>464</v>
      </c>
      <c r="I1730" t="s">
        <v>1182</v>
      </c>
      <c r="J1730" t="s">
        <v>13</v>
      </c>
      <c r="K1730" t="s">
        <v>15</v>
      </c>
    </row>
    <row r="1731" spans="1:11" x14ac:dyDescent="0.45">
      <c r="A1731">
        <v>7925</v>
      </c>
      <c r="B1731" s="15">
        <v>44152</v>
      </c>
      <c r="C1731" t="str">
        <f>TEXT(Table1[[#This Row],[Order Date]], "yyyy")</f>
        <v>2020</v>
      </c>
      <c r="D1731" t="str">
        <f>TEXT(Table1[[#This Row],[Order Date]], "mmmm")</f>
        <v>November</v>
      </c>
      <c r="E1731" s="16">
        <f>Table1[[#This Row],[Order Quantity]]*Table1[[#This Row],[Unit Price]]</f>
        <v>25602</v>
      </c>
      <c r="F1731">
        <v>68</v>
      </c>
      <c r="G1731" s="16">
        <v>376.5</v>
      </c>
      <c r="H1731" t="s">
        <v>25</v>
      </c>
      <c r="I1731" t="s">
        <v>1183</v>
      </c>
      <c r="J1731" t="s">
        <v>10</v>
      </c>
      <c r="K1731" t="s">
        <v>11</v>
      </c>
    </row>
    <row r="1732" spans="1:11" x14ac:dyDescent="0.45">
      <c r="A1732">
        <v>7926</v>
      </c>
      <c r="B1732" s="15">
        <v>43846</v>
      </c>
      <c r="C1732" t="str">
        <f>TEXT(Table1[[#This Row],[Order Date]], "yyyy")</f>
        <v>2020</v>
      </c>
      <c r="D1732" t="str">
        <f>TEXT(Table1[[#This Row],[Order Date]], "mmmm")</f>
        <v>January</v>
      </c>
      <c r="E1732" s="16">
        <f>Table1[[#This Row],[Order Quantity]]*Table1[[#This Row],[Unit Price]]</f>
        <v>4404.92</v>
      </c>
      <c r="F1732">
        <v>26</v>
      </c>
      <c r="G1732" s="16">
        <v>169.42</v>
      </c>
      <c r="H1732" t="s">
        <v>25</v>
      </c>
      <c r="I1732" t="s">
        <v>1184</v>
      </c>
      <c r="J1732" t="s">
        <v>20</v>
      </c>
      <c r="K1732" t="s">
        <v>17</v>
      </c>
    </row>
    <row r="1733" spans="1:11" x14ac:dyDescent="0.45">
      <c r="A1733">
        <v>7927</v>
      </c>
      <c r="B1733" s="15">
        <v>43894</v>
      </c>
      <c r="C1733" t="str">
        <f>TEXT(Table1[[#This Row],[Order Date]], "yyyy")</f>
        <v>2020</v>
      </c>
      <c r="D1733" t="str">
        <f>TEXT(Table1[[#This Row],[Order Date]], "mmmm")</f>
        <v>March</v>
      </c>
      <c r="E1733" s="16">
        <f>Table1[[#This Row],[Order Quantity]]*Table1[[#This Row],[Unit Price]]</f>
        <v>52997.490000000005</v>
      </c>
      <c r="F1733">
        <v>39</v>
      </c>
      <c r="G1733" s="16">
        <v>1358.91</v>
      </c>
      <c r="H1733" t="s">
        <v>464</v>
      </c>
      <c r="I1733" t="s">
        <v>1185</v>
      </c>
      <c r="J1733" t="s">
        <v>20</v>
      </c>
      <c r="K1733" t="s">
        <v>11</v>
      </c>
    </row>
    <row r="1734" spans="1:11" x14ac:dyDescent="0.45">
      <c r="A1734">
        <v>7928</v>
      </c>
      <c r="B1734" s="15">
        <v>43841</v>
      </c>
      <c r="C1734" t="str">
        <f>TEXT(Table1[[#This Row],[Order Date]], "yyyy")</f>
        <v>2020</v>
      </c>
      <c r="D1734" t="str">
        <f>TEXT(Table1[[#This Row],[Order Date]], "mmmm")</f>
        <v>January</v>
      </c>
      <c r="E1734" s="16">
        <f>Table1[[#This Row],[Order Quantity]]*Table1[[#This Row],[Unit Price]]</f>
        <v>100994.28</v>
      </c>
      <c r="F1734">
        <v>68</v>
      </c>
      <c r="G1734" s="16">
        <v>1485.21</v>
      </c>
      <c r="H1734" t="s">
        <v>25</v>
      </c>
      <c r="I1734" t="s">
        <v>1186</v>
      </c>
      <c r="J1734" t="s">
        <v>10</v>
      </c>
      <c r="K1734" t="s">
        <v>15</v>
      </c>
    </row>
    <row r="1735" spans="1:11" x14ac:dyDescent="0.45">
      <c r="A1735">
        <v>7929</v>
      </c>
      <c r="B1735" s="15">
        <v>44117</v>
      </c>
      <c r="C1735" t="str">
        <f>TEXT(Table1[[#This Row],[Order Date]], "yyyy")</f>
        <v>2020</v>
      </c>
      <c r="D1735" t="str">
        <f>TEXT(Table1[[#This Row],[Order Date]], "mmmm")</f>
        <v>October</v>
      </c>
      <c r="E1735" s="16">
        <f>Table1[[#This Row],[Order Quantity]]*Table1[[#This Row],[Unit Price]]</f>
        <v>5878.29</v>
      </c>
      <c r="F1735">
        <v>33</v>
      </c>
      <c r="G1735" s="16">
        <v>178.13</v>
      </c>
      <c r="H1735" t="s">
        <v>8</v>
      </c>
      <c r="I1735" t="s">
        <v>1187</v>
      </c>
      <c r="J1735" t="s">
        <v>13</v>
      </c>
      <c r="K1735" t="s">
        <v>11</v>
      </c>
    </row>
    <row r="1736" spans="1:11" x14ac:dyDescent="0.45">
      <c r="A1736">
        <v>7930</v>
      </c>
      <c r="B1736" s="15">
        <v>43907</v>
      </c>
      <c r="C1736" t="str">
        <f>TEXT(Table1[[#This Row],[Order Date]], "yyyy")</f>
        <v>2020</v>
      </c>
      <c r="D1736" t="str">
        <f>TEXT(Table1[[#This Row],[Order Date]], "mmmm")</f>
        <v>March</v>
      </c>
      <c r="E1736" s="16">
        <f>Table1[[#This Row],[Order Quantity]]*Table1[[#This Row],[Unit Price]]</f>
        <v>28890.479999999996</v>
      </c>
      <c r="F1736">
        <v>97</v>
      </c>
      <c r="G1736" s="16">
        <v>297.83999999999997</v>
      </c>
      <c r="H1736" t="s">
        <v>464</v>
      </c>
      <c r="I1736" t="s">
        <v>1188</v>
      </c>
      <c r="J1736" t="s">
        <v>20</v>
      </c>
      <c r="K1736" t="s">
        <v>15</v>
      </c>
    </row>
    <row r="1737" spans="1:11" x14ac:dyDescent="0.45">
      <c r="A1737">
        <v>7931</v>
      </c>
      <c r="B1737" s="15">
        <v>43885</v>
      </c>
      <c r="C1737" t="str">
        <f>TEXT(Table1[[#This Row],[Order Date]], "yyyy")</f>
        <v>2020</v>
      </c>
      <c r="D1737" t="str">
        <f>TEXT(Table1[[#This Row],[Order Date]], "mmmm")</f>
        <v>February</v>
      </c>
      <c r="E1737" s="16">
        <f>Table1[[#This Row],[Order Quantity]]*Table1[[#This Row],[Unit Price]]</f>
        <v>17777.2</v>
      </c>
      <c r="F1737">
        <v>35</v>
      </c>
      <c r="G1737" s="16">
        <v>507.92</v>
      </c>
      <c r="H1737" t="s">
        <v>8</v>
      </c>
      <c r="I1737" t="s">
        <v>1189</v>
      </c>
      <c r="J1737" t="s">
        <v>13</v>
      </c>
      <c r="K1737" t="s">
        <v>17</v>
      </c>
    </row>
    <row r="1738" spans="1:11" x14ac:dyDescent="0.45">
      <c r="A1738">
        <v>7932</v>
      </c>
      <c r="B1738" s="15">
        <v>44102</v>
      </c>
      <c r="C1738" t="str">
        <f>TEXT(Table1[[#This Row],[Order Date]], "yyyy")</f>
        <v>2020</v>
      </c>
      <c r="D1738" t="str">
        <f>TEXT(Table1[[#This Row],[Order Date]], "mmmm")</f>
        <v>September</v>
      </c>
      <c r="E1738" s="16">
        <f>Table1[[#This Row],[Order Quantity]]*Table1[[#This Row],[Unit Price]]</f>
        <v>12529.02</v>
      </c>
      <c r="F1738">
        <v>69</v>
      </c>
      <c r="G1738" s="16">
        <v>181.58</v>
      </c>
      <c r="H1738" t="s">
        <v>464</v>
      </c>
      <c r="I1738" t="s">
        <v>1190</v>
      </c>
      <c r="J1738" t="s">
        <v>13</v>
      </c>
      <c r="K1738" t="s">
        <v>17</v>
      </c>
    </row>
    <row r="1739" spans="1:11" x14ac:dyDescent="0.45">
      <c r="A1739">
        <v>7933</v>
      </c>
      <c r="B1739" s="15">
        <v>43841</v>
      </c>
      <c r="C1739" t="str">
        <f>TEXT(Table1[[#This Row],[Order Date]], "yyyy")</f>
        <v>2020</v>
      </c>
      <c r="D1739" t="str">
        <f>TEXT(Table1[[#This Row],[Order Date]], "mmmm")</f>
        <v>January</v>
      </c>
      <c r="E1739" s="16">
        <f>Table1[[#This Row],[Order Quantity]]*Table1[[#This Row],[Unit Price]]</f>
        <v>36860.46</v>
      </c>
      <c r="F1739">
        <v>43</v>
      </c>
      <c r="G1739" s="16">
        <v>857.22</v>
      </c>
      <c r="H1739" t="s">
        <v>464</v>
      </c>
      <c r="I1739" t="s">
        <v>1191</v>
      </c>
      <c r="J1739" t="s">
        <v>10</v>
      </c>
      <c r="K1739" t="s">
        <v>17</v>
      </c>
    </row>
    <row r="1740" spans="1:11" x14ac:dyDescent="0.45">
      <c r="A1740">
        <v>7934</v>
      </c>
      <c r="B1740" s="15">
        <v>43951</v>
      </c>
      <c r="C1740" t="str">
        <f>TEXT(Table1[[#This Row],[Order Date]], "yyyy")</f>
        <v>2020</v>
      </c>
      <c r="D1740" t="str">
        <f>TEXT(Table1[[#This Row],[Order Date]], "mmmm")</f>
        <v>April</v>
      </c>
      <c r="E1740" s="16">
        <f>Table1[[#This Row],[Order Quantity]]*Table1[[#This Row],[Unit Price]]</f>
        <v>53996.639999999999</v>
      </c>
      <c r="F1740">
        <v>92</v>
      </c>
      <c r="G1740" s="16">
        <v>586.91999999999996</v>
      </c>
      <c r="H1740" t="s">
        <v>25</v>
      </c>
      <c r="I1740" t="s">
        <v>1192</v>
      </c>
      <c r="J1740" t="s">
        <v>13</v>
      </c>
      <c r="K1740" t="s">
        <v>17</v>
      </c>
    </row>
    <row r="1741" spans="1:11" x14ac:dyDescent="0.45">
      <c r="A1741">
        <v>7935</v>
      </c>
      <c r="B1741" s="15">
        <v>43982</v>
      </c>
      <c r="C1741" t="str">
        <f>TEXT(Table1[[#This Row],[Order Date]], "yyyy")</f>
        <v>2020</v>
      </c>
      <c r="D1741" t="str">
        <f>TEXT(Table1[[#This Row],[Order Date]], "mmmm")</f>
        <v>May</v>
      </c>
      <c r="E1741" s="16">
        <f>Table1[[#This Row],[Order Quantity]]*Table1[[#This Row],[Unit Price]]</f>
        <v>90754.3</v>
      </c>
      <c r="F1741">
        <v>91</v>
      </c>
      <c r="G1741" s="16">
        <v>997.3</v>
      </c>
      <c r="H1741" t="s">
        <v>464</v>
      </c>
      <c r="I1741" t="s">
        <v>1193</v>
      </c>
      <c r="J1741" t="s">
        <v>10</v>
      </c>
      <c r="K1741" t="s">
        <v>17</v>
      </c>
    </row>
    <row r="1742" spans="1:11" x14ac:dyDescent="0.45">
      <c r="A1742">
        <v>7936</v>
      </c>
      <c r="B1742" s="15">
        <v>43972</v>
      </c>
      <c r="C1742" t="str">
        <f>TEXT(Table1[[#This Row],[Order Date]], "yyyy")</f>
        <v>2020</v>
      </c>
      <c r="D1742" t="str">
        <f>TEXT(Table1[[#This Row],[Order Date]], "mmmm")</f>
        <v>May</v>
      </c>
      <c r="E1742" s="16">
        <f>Table1[[#This Row],[Order Quantity]]*Table1[[#This Row],[Unit Price]]</f>
        <v>51735.839999999997</v>
      </c>
      <c r="F1742">
        <v>78</v>
      </c>
      <c r="G1742" s="16">
        <v>663.28</v>
      </c>
      <c r="H1742" t="s">
        <v>464</v>
      </c>
      <c r="I1742" t="s">
        <v>1194</v>
      </c>
      <c r="J1742" t="s">
        <v>20</v>
      </c>
      <c r="K1742" t="s">
        <v>11</v>
      </c>
    </row>
    <row r="1743" spans="1:11" x14ac:dyDescent="0.45">
      <c r="A1743">
        <v>7937</v>
      </c>
      <c r="B1743" s="15">
        <v>43929</v>
      </c>
      <c r="C1743" t="str">
        <f>TEXT(Table1[[#This Row],[Order Date]], "yyyy")</f>
        <v>2020</v>
      </c>
      <c r="D1743" t="str">
        <f>TEXT(Table1[[#This Row],[Order Date]], "mmmm")</f>
        <v>April</v>
      </c>
      <c r="E1743" s="16">
        <f>Table1[[#This Row],[Order Quantity]]*Table1[[#This Row],[Unit Price]]</f>
        <v>49244.799999999996</v>
      </c>
      <c r="F1743">
        <v>40</v>
      </c>
      <c r="G1743" s="16">
        <v>1231.1199999999999</v>
      </c>
      <c r="H1743" t="s">
        <v>25</v>
      </c>
      <c r="I1743" t="s">
        <v>1195</v>
      </c>
      <c r="J1743" t="s">
        <v>10</v>
      </c>
      <c r="K1743" t="s">
        <v>15</v>
      </c>
    </row>
    <row r="1744" spans="1:11" x14ac:dyDescent="0.45">
      <c r="A1744">
        <v>7938</v>
      </c>
      <c r="B1744" s="15">
        <v>44090</v>
      </c>
      <c r="C1744" t="str">
        <f>TEXT(Table1[[#This Row],[Order Date]], "yyyy")</f>
        <v>2020</v>
      </c>
      <c r="D1744" t="str">
        <f>TEXT(Table1[[#This Row],[Order Date]], "mmmm")</f>
        <v>September</v>
      </c>
      <c r="E1744" s="16">
        <f>Table1[[#This Row],[Order Quantity]]*Table1[[#This Row],[Unit Price]]</f>
        <v>15476.13</v>
      </c>
      <c r="F1744">
        <v>93</v>
      </c>
      <c r="G1744" s="16">
        <v>166.41</v>
      </c>
      <c r="H1744" t="s">
        <v>464</v>
      </c>
      <c r="I1744" t="s">
        <v>1196</v>
      </c>
      <c r="J1744" t="s">
        <v>13</v>
      </c>
      <c r="K1744" t="s">
        <v>15</v>
      </c>
    </row>
    <row r="1745" spans="1:11" x14ac:dyDescent="0.45">
      <c r="A1745">
        <v>7939</v>
      </c>
      <c r="B1745" s="15">
        <v>44199</v>
      </c>
      <c r="C1745" t="str">
        <f>TEXT(Table1[[#This Row],[Order Date]], "yyyy")</f>
        <v>2021</v>
      </c>
      <c r="D1745" t="str">
        <f>TEXT(Table1[[#This Row],[Order Date]], "mmmm")</f>
        <v>January</v>
      </c>
      <c r="E1745" s="16">
        <f>Table1[[#This Row],[Order Quantity]]*Table1[[#This Row],[Unit Price]]</f>
        <v>17969.82</v>
      </c>
      <c r="F1745">
        <v>19</v>
      </c>
      <c r="G1745" s="16">
        <v>945.78</v>
      </c>
      <c r="H1745" t="s">
        <v>8</v>
      </c>
      <c r="I1745" t="s">
        <v>1197</v>
      </c>
      <c r="J1745" t="s">
        <v>13</v>
      </c>
      <c r="K1745" t="s">
        <v>11</v>
      </c>
    </row>
    <row r="1746" spans="1:11" x14ac:dyDescent="0.45">
      <c r="A1746">
        <v>7940</v>
      </c>
      <c r="B1746" s="15">
        <v>44160</v>
      </c>
      <c r="C1746" t="str">
        <f>TEXT(Table1[[#This Row],[Order Date]], "yyyy")</f>
        <v>2020</v>
      </c>
      <c r="D1746" t="str">
        <f>TEXT(Table1[[#This Row],[Order Date]], "mmmm")</f>
        <v>November</v>
      </c>
      <c r="E1746" s="16">
        <f>Table1[[#This Row],[Order Quantity]]*Table1[[#This Row],[Unit Price]]</f>
        <v>56543.040000000001</v>
      </c>
      <c r="F1746">
        <v>48</v>
      </c>
      <c r="G1746" s="16">
        <v>1177.98</v>
      </c>
      <c r="H1746" t="s">
        <v>8</v>
      </c>
      <c r="I1746" t="s">
        <v>1198</v>
      </c>
      <c r="J1746" t="s">
        <v>10</v>
      </c>
      <c r="K1746" t="s">
        <v>17</v>
      </c>
    </row>
    <row r="1747" spans="1:11" x14ac:dyDescent="0.45">
      <c r="A1747">
        <v>7941</v>
      </c>
      <c r="B1747" s="15">
        <v>44059</v>
      </c>
      <c r="C1747" t="str">
        <f>TEXT(Table1[[#This Row],[Order Date]], "yyyy")</f>
        <v>2020</v>
      </c>
      <c r="D1747" t="str">
        <f>TEXT(Table1[[#This Row],[Order Date]], "mmmm")</f>
        <v>August</v>
      </c>
      <c r="E1747" s="16">
        <f>Table1[[#This Row],[Order Quantity]]*Table1[[#This Row],[Unit Price]]</f>
        <v>28944.65</v>
      </c>
      <c r="F1747">
        <v>35</v>
      </c>
      <c r="G1747" s="16">
        <v>826.99</v>
      </c>
      <c r="H1747" t="s">
        <v>8</v>
      </c>
      <c r="I1747" t="s">
        <v>1199</v>
      </c>
      <c r="J1747" t="s">
        <v>13</v>
      </c>
      <c r="K1747" t="s">
        <v>15</v>
      </c>
    </row>
    <row r="1748" spans="1:11" x14ac:dyDescent="0.45">
      <c r="A1748">
        <v>7942</v>
      </c>
      <c r="B1748" s="15">
        <v>44141</v>
      </c>
      <c r="C1748" t="str">
        <f>TEXT(Table1[[#This Row],[Order Date]], "yyyy")</f>
        <v>2020</v>
      </c>
      <c r="D1748" t="str">
        <f>TEXT(Table1[[#This Row],[Order Date]], "mmmm")</f>
        <v>November</v>
      </c>
      <c r="E1748" s="16">
        <f>Table1[[#This Row],[Order Quantity]]*Table1[[#This Row],[Unit Price]]</f>
        <v>50113.08</v>
      </c>
      <c r="F1748">
        <v>54</v>
      </c>
      <c r="G1748" s="16">
        <v>928.02</v>
      </c>
      <c r="H1748" t="s">
        <v>8</v>
      </c>
      <c r="I1748" t="s">
        <v>1200</v>
      </c>
      <c r="J1748" t="s">
        <v>23</v>
      </c>
      <c r="K1748" t="s">
        <v>11</v>
      </c>
    </row>
    <row r="1749" spans="1:11" x14ac:dyDescent="0.45">
      <c r="A1749">
        <v>7943</v>
      </c>
      <c r="B1749" s="15">
        <v>43983</v>
      </c>
      <c r="C1749" t="str">
        <f>TEXT(Table1[[#This Row],[Order Date]], "yyyy")</f>
        <v>2020</v>
      </c>
      <c r="D1749" t="str">
        <f>TEXT(Table1[[#This Row],[Order Date]], "mmmm")</f>
        <v>June</v>
      </c>
      <c r="E1749" s="16">
        <f>Table1[[#This Row],[Order Quantity]]*Table1[[#This Row],[Unit Price]]</f>
        <v>44622.759999999995</v>
      </c>
      <c r="F1749">
        <v>82</v>
      </c>
      <c r="G1749" s="16">
        <v>544.17999999999995</v>
      </c>
      <c r="H1749" t="s">
        <v>25</v>
      </c>
      <c r="I1749" t="s">
        <v>1201</v>
      </c>
      <c r="J1749" t="s">
        <v>20</v>
      </c>
      <c r="K1749" t="s">
        <v>11</v>
      </c>
    </row>
    <row r="1750" spans="1:11" x14ac:dyDescent="0.45">
      <c r="A1750">
        <v>7944</v>
      </c>
      <c r="B1750" s="15">
        <v>43848</v>
      </c>
      <c r="C1750" t="str">
        <f>TEXT(Table1[[#This Row],[Order Date]], "yyyy")</f>
        <v>2020</v>
      </c>
      <c r="D1750" t="str">
        <f>TEXT(Table1[[#This Row],[Order Date]], "mmmm")</f>
        <v>January</v>
      </c>
      <c r="E1750" s="16">
        <f>Table1[[#This Row],[Order Quantity]]*Table1[[#This Row],[Unit Price]]</f>
        <v>20038.059999999998</v>
      </c>
      <c r="F1750">
        <v>14</v>
      </c>
      <c r="G1750" s="16">
        <v>1431.29</v>
      </c>
      <c r="H1750" t="s">
        <v>464</v>
      </c>
      <c r="I1750" t="s">
        <v>1202</v>
      </c>
      <c r="J1750" t="s">
        <v>20</v>
      </c>
      <c r="K1750" t="s">
        <v>17</v>
      </c>
    </row>
    <row r="1751" spans="1:11" x14ac:dyDescent="0.45">
      <c r="A1751">
        <v>7945</v>
      </c>
      <c r="B1751" s="15">
        <v>43975</v>
      </c>
      <c r="C1751" t="str">
        <f>TEXT(Table1[[#This Row],[Order Date]], "yyyy")</f>
        <v>2020</v>
      </c>
      <c r="D1751" t="str">
        <f>TEXT(Table1[[#This Row],[Order Date]], "mmmm")</f>
        <v>May</v>
      </c>
      <c r="E1751" s="16">
        <f>Table1[[#This Row],[Order Quantity]]*Table1[[#This Row],[Unit Price]]</f>
        <v>80256.800000000003</v>
      </c>
      <c r="F1751">
        <v>65</v>
      </c>
      <c r="G1751" s="16">
        <v>1234.72</v>
      </c>
      <c r="H1751" t="s">
        <v>8</v>
      </c>
      <c r="I1751" t="s">
        <v>1203</v>
      </c>
      <c r="J1751" t="s">
        <v>13</v>
      </c>
      <c r="K1751" t="s">
        <v>15</v>
      </c>
    </row>
    <row r="1752" spans="1:11" x14ac:dyDescent="0.45">
      <c r="A1752">
        <v>7946</v>
      </c>
      <c r="B1752" s="15">
        <v>44178</v>
      </c>
      <c r="C1752" t="str">
        <f>TEXT(Table1[[#This Row],[Order Date]], "yyyy")</f>
        <v>2020</v>
      </c>
      <c r="D1752" t="str">
        <f>TEXT(Table1[[#This Row],[Order Date]], "mmmm")</f>
        <v>December</v>
      </c>
      <c r="E1752" s="16">
        <f>Table1[[#This Row],[Order Quantity]]*Table1[[#This Row],[Unit Price]]</f>
        <v>75905.600000000006</v>
      </c>
      <c r="F1752">
        <v>80</v>
      </c>
      <c r="G1752" s="16">
        <v>948.82</v>
      </c>
      <c r="H1752" t="s">
        <v>25</v>
      </c>
      <c r="I1752" t="s">
        <v>1204</v>
      </c>
      <c r="J1752" t="s">
        <v>10</v>
      </c>
      <c r="K1752" t="s">
        <v>17</v>
      </c>
    </row>
    <row r="1753" spans="1:11" x14ac:dyDescent="0.45">
      <c r="A1753">
        <v>7947</v>
      </c>
      <c r="B1753" s="15">
        <v>44180</v>
      </c>
      <c r="C1753" t="str">
        <f>TEXT(Table1[[#This Row],[Order Date]], "yyyy")</f>
        <v>2020</v>
      </c>
      <c r="D1753" t="str">
        <f>TEXT(Table1[[#This Row],[Order Date]], "mmmm")</f>
        <v>December</v>
      </c>
      <c r="E1753" s="16">
        <f>Table1[[#This Row],[Order Quantity]]*Table1[[#This Row],[Unit Price]]</f>
        <v>128033.1</v>
      </c>
      <c r="F1753">
        <v>93</v>
      </c>
      <c r="G1753" s="16">
        <v>1376.7</v>
      </c>
      <c r="H1753" t="s">
        <v>8</v>
      </c>
      <c r="I1753" t="s">
        <v>1205</v>
      </c>
      <c r="J1753" t="s">
        <v>10</v>
      </c>
      <c r="K1753" t="s">
        <v>11</v>
      </c>
    </row>
    <row r="1754" spans="1:11" x14ac:dyDescent="0.45">
      <c r="A1754">
        <v>7948</v>
      </c>
      <c r="B1754" s="15">
        <v>44065</v>
      </c>
      <c r="C1754" t="str">
        <f>TEXT(Table1[[#This Row],[Order Date]], "yyyy")</f>
        <v>2020</v>
      </c>
      <c r="D1754" t="str">
        <f>TEXT(Table1[[#This Row],[Order Date]], "mmmm")</f>
        <v>August</v>
      </c>
      <c r="E1754" s="16">
        <f>Table1[[#This Row],[Order Quantity]]*Table1[[#This Row],[Unit Price]]</f>
        <v>33577.96</v>
      </c>
      <c r="F1754">
        <v>26</v>
      </c>
      <c r="G1754" s="16">
        <v>1291.46</v>
      </c>
      <c r="H1754" t="s">
        <v>8</v>
      </c>
      <c r="I1754" t="s">
        <v>1206</v>
      </c>
      <c r="J1754" t="s">
        <v>20</v>
      </c>
      <c r="K1754" t="s">
        <v>15</v>
      </c>
    </row>
    <row r="1755" spans="1:11" x14ac:dyDescent="0.45">
      <c r="A1755">
        <v>7949</v>
      </c>
      <c r="B1755" s="15">
        <v>43946</v>
      </c>
      <c r="C1755" t="str">
        <f>TEXT(Table1[[#This Row],[Order Date]], "yyyy")</f>
        <v>2020</v>
      </c>
      <c r="D1755" t="str">
        <f>TEXT(Table1[[#This Row],[Order Date]], "mmmm")</f>
        <v>April</v>
      </c>
      <c r="E1755" s="16">
        <f>Table1[[#This Row],[Order Quantity]]*Table1[[#This Row],[Unit Price]]</f>
        <v>22882</v>
      </c>
      <c r="F1755">
        <v>50</v>
      </c>
      <c r="G1755" s="16">
        <v>457.64</v>
      </c>
      <c r="H1755" t="s">
        <v>25</v>
      </c>
      <c r="I1755" t="s">
        <v>1207</v>
      </c>
      <c r="J1755" t="s">
        <v>23</v>
      </c>
      <c r="K1755" t="s">
        <v>17</v>
      </c>
    </row>
    <row r="1756" spans="1:11" x14ac:dyDescent="0.45">
      <c r="A1756">
        <v>7950</v>
      </c>
      <c r="B1756" s="15">
        <v>43909</v>
      </c>
      <c r="C1756" t="str">
        <f>TEXT(Table1[[#This Row],[Order Date]], "yyyy")</f>
        <v>2020</v>
      </c>
      <c r="D1756" t="str">
        <f>TEXT(Table1[[#This Row],[Order Date]], "mmmm")</f>
        <v>March</v>
      </c>
      <c r="E1756" s="16">
        <f>Table1[[#This Row],[Order Quantity]]*Table1[[#This Row],[Unit Price]]</f>
        <v>48118.84</v>
      </c>
      <c r="F1756">
        <v>68</v>
      </c>
      <c r="G1756" s="16">
        <v>707.63</v>
      </c>
      <c r="H1756" t="s">
        <v>464</v>
      </c>
      <c r="I1756" t="s">
        <v>1208</v>
      </c>
      <c r="J1756" t="s">
        <v>23</v>
      </c>
      <c r="K1756" t="s">
        <v>11</v>
      </c>
    </row>
    <row r="1757" spans="1:11" x14ac:dyDescent="0.45">
      <c r="A1757">
        <v>7951</v>
      </c>
      <c r="B1757" s="15">
        <v>44136</v>
      </c>
      <c r="C1757" t="str">
        <f>TEXT(Table1[[#This Row],[Order Date]], "yyyy")</f>
        <v>2020</v>
      </c>
      <c r="D1757" t="str">
        <f>TEXT(Table1[[#This Row],[Order Date]], "mmmm")</f>
        <v>November</v>
      </c>
      <c r="E1757" s="16">
        <f>Table1[[#This Row],[Order Quantity]]*Table1[[#This Row],[Unit Price]]</f>
        <v>88315.040000000008</v>
      </c>
      <c r="F1757">
        <v>88</v>
      </c>
      <c r="G1757" s="16">
        <v>1003.58</v>
      </c>
      <c r="H1757" t="s">
        <v>464</v>
      </c>
      <c r="I1757" t="s">
        <v>1209</v>
      </c>
      <c r="J1757" t="s">
        <v>10</v>
      </c>
      <c r="K1757" t="s">
        <v>15</v>
      </c>
    </row>
    <row r="1758" spans="1:11" x14ac:dyDescent="0.45">
      <c r="A1758">
        <v>7952</v>
      </c>
      <c r="B1758" s="15">
        <v>43946</v>
      </c>
      <c r="C1758" t="str">
        <f>TEXT(Table1[[#This Row],[Order Date]], "yyyy")</f>
        <v>2020</v>
      </c>
      <c r="D1758" t="str">
        <f>TEXT(Table1[[#This Row],[Order Date]], "mmmm")</f>
        <v>April</v>
      </c>
      <c r="E1758" s="16">
        <f>Table1[[#This Row],[Order Quantity]]*Table1[[#This Row],[Unit Price]]</f>
        <v>17691.050000000003</v>
      </c>
      <c r="F1758">
        <v>17</v>
      </c>
      <c r="G1758" s="16">
        <v>1040.6500000000001</v>
      </c>
      <c r="H1758" t="s">
        <v>464</v>
      </c>
      <c r="I1758" t="s">
        <v>1210</v>
      </c>
      <c r="J1758" t="s">
        <v>10</v>
      </c>
      <c r="K1758" t="s">
        <v>17</v>
      </c>
    </row>
    <row r="1759" spans="1:11" x14ac:dyDescent="0.45">
      <c r="A1759">
        <v>7953</v>
      </c>
      <c r="B1759" s="15">
        <v>44119</v>
      </c>
      <c r="C1759" t="str">
        <f>TEXT(Table1[[#This Row],[Order Date]], "yyyy")</f>
        <v>2020</v>
      </c>
      <c r="D1759" t="str">
        <f>TEXT(Table1[[#This Row],[Order Date]], "mmmm")</f>
        <v>October</v>
      </c>
      <c r="E1759" s="16">
        <f>Table1[[#This Row],[Order Quantity]]*Table1[[#This Row],[Unit Price]]</f>
        <v>67488.399999999994</v>
      </c>
      <c r="F1759">
        <v>70</v>
      </c>
      <c r="G1759" s="16">
        <v>964.12</v>
      </c>
      <c r="H1759" t="s">
        <v>8</v>
      </c>
      <c r="I1759" t="s">
        <v>1211</v>
      </c>
      <c r="J1759" t="s">
        <v>13</v>
      </c>
      <c r="K1759" t="s">
        <v>11</v>
      </c>
    </row>
    <row r="1760" spans="1:11" x14ac:dyDescent="0.45">
      <c r="A1760">
        <v>7954</v>
      </c>
      <c r="B1760" s="15">
        <v>44025</v>
      </c>
      <c r="C1760" t="str">
        <f>TEXT(Table1[[#This Row],[Order Date]], "yyyy")</f>
        <v>2020</v>
      </c>
      <c r="D1760" t="str">
        <f>TEXT(Table1[[#This Row],[Order Date]], "mmmm")</f>
        <v>July</v>
      </c>
      <c r="E1760" s="16">
        <f>Table1[[#This Row],[Order Quantity]]*Table1[[#This Row],[Unit Price]]</f>
        <v>2080.7800000000002</v>
      </c>
      <c r="F1760">
        <v>13</v>
      </c>
      <c r="G1760" s="16">
        <v>160.06</v>
      </c>
      <c r="H1760" t="s">
        <v>464</v>
      </c>
      <c r="I1760" t="s">
        <v>1212</v>
      </c>
      <c r="J1760" t="s">
        <v>13</v>
      </c>
      <c r="K1760" t="s">
        <v>11</v>
      </c>
    </row>
    <row r="1761" spans="1:11" x14ac:dyDescent="0.45">
      <c r="A1761">
        <v>7955</v>
      </c>
      <c r="B1761" s="15">
        <v>43986</v>
      </c>
      <c r="C1761" t="str">
        <f>TEXT(Table1[[#This Row],[Order Date]], "yyyy")</f>
        <v>2020</v>
      </c>
      <c r="D1761" t="str">
        <f>TEXT(Table1[[#This Row],[Order Date]], "mmmm")</f>
        <v>June</v>
      </c>
      <c r="E1761" s="16">
        <f>Table1[[#This Row],[Order Quantity]]*Table1[[#This Row],[Unit Price]]</f>
        <v>58101</v>
      </c>
      <c r="F1761">
        <v>60</v>
      </c>
      <c r="G1761" s="16">
        <v>968.35</v>
      </c>
      <c r="H1761" t="s">
        <v>464</v>
      </c>
      <c r="I1761" t="s">
        <v>1213</v>
      </c>
      <c r="J1761" t="s">
        <v>23</v>
      </c>
      <c r="K1761" t="s">
        <v>11</v>
      </c>
    </row>
    <row r="1762" spans="1:11" x14ac:dyDescent="0.45">
      <c r="A1762">
        <v>7956</v>
      </c>
      <c r="B1762" s="15">
        <v>43957</v>
      </c>
      <c r="C1762" t="str">
        <f>TEXT(Table1[[#This Row],[Order Date]], "yyyy")</f>
        <v>2020</v>
      </c>
      <c r="D1762" t="str">
        <f>TEXT(Table1[[#This Row],[Order Date]], "mmmm")</f>
        <v>May</v>
      </c>
      <c r="E1762" s="16">
        <f>Table1[[#This Row],[Order Quantity]]*Table1[[#This Row],[Unit Price]]</f>
        <v>15995.88</v>
      </c>
      <c r="F1762">
        <v>36</v>
      </c>
      <c r="G1762" s="16">
        <v>444.33</v>
      </c>
      <c r="H1762" t="s">
        <v>25</v>
      </c>
      <c r="I1762" t="s">
        <v>1214</v>
      </c>
      <c r="J1762" t="s">
        <v>23</v>
      </c>
      <c r="K1762" t="s">
        <v>15</v>
      </c>
    </row>
    <row r="1763" spans="1:11" x14ac:dyDescent="0.45">
      <c r="A1763">
        <v>7957</v>
      </c>
      <c r="B1763" s="15">
        <v>43840</v>
      </c>
      <c r="C1763" t="str">
        <f>TEXT(Table1[[#This Row],[Order Date]], "yyyy")</f>
        <v>2020</v>
      </c>
      <c r="D1763" t="str">
        <f>TEXT(Table1[[#This Row],[Order Date]], "mmmm")</f>
        <v>January</v>
      </c>
      <c r="E1763" s="16">
        <f>Table1[[#This Row],[Order Quantity]]*Table1[[#This Row],[Unit Price]]</f>
        <v>96831.84</v>
      </c>
      <c r="F1763">
        <v>84</v>
      </c>
      <c r="G1763" s="16">
        <v>1152.76</v>
      </c>
      <c r="H1763" t="s">
        <v>464</v>
      </c>
      <c r="I1763" t="s">
        <v>1215</v>
      </c>
      <c r="J1763" t="s">
        <v>10</v>
      </c>
      <c r="K1763" t="s">
        <v>15</v>
      </c>
    </row>
    <row r="1764" spans="1:11" x14ac:dyDescent="0.45">
      <c r="A1764">
        <v>7958</v>
      </c>
      <c r="B1764" s="15">
        <v>43939</v>
      </c>
      <c r="C1764" t="str">
        <f>TEXT(Table1[[#This Row],[Order Date]], "yyyy")</f>
        <v>2020</v>
      </c>
      <c r="D1764" t="str">
        <f>TEXT(Table1[[#This Row],[Order Date]], "mmmm")</f>
        <v>April</v>
      </c>
      <c r="E1764" s="16">
        <f>Table1[[#This Row],[Order Quantity]]*Table1[[#This Row],[Unit Price]]</f>
        <v>25738.75</v>
      </c>
      <c r="F1764">
        <v>25</v>
      </c>
      <c r="G1764" s="16">
        <v>1029.55</v>
      </c>
      <c r="H1764" t="s">
        <v>25</v>
      </c>
      <c r="I1764" t="s">
        <v>1216</v>
      </c>
      <c r="J1764" t="s">
        <v>23</v>
      </c>
      <c r="K1764" t="s">
        <v>17</v>
      </c>
    </row>
    <row r="1765" spans="1:11" x14ac:dyDescent="0.45">
      <c r="A1765">
        <v>7959</v>
      </c>
      <c r="B1765" s="15">
        <v>43997</v>
      </c>
      <c r="C1765" t="str">
        <f>TEXT(Table1[[#This Row],[Order Date]], "yyyy")</f>
        <v>2020</v>
      </c>
      <c r="D1765" t="str">
        <f>TEXT(Table1[[#This Row],[Order Date]], "mmmm")</f>
        <v>June</v>
      </c>
      <c r="E1765" s="16">
        <f>Table1[[#This Row],[Order Quantity]]*Table1[[#This Row],[Unit Price]]</f>
        <v>32195.200000000001</v>
      </c>
      <c r="F1765">
        <v>40</v>
      </c>
      <c r="G1765" s="16">
        <v>804.88</v>
      </c>
      <c r="H1765" t="s">
        <v>464</v>
      </c>
      <c r="I1765" t="s">
        <v>1217</v>
      </c>
      <c r="J1765" t="s">
        <v>10</v>
      </c>
      <c r="K1765" t="s">
        <v>15</v>
      </c>
    </row>
    <row r="1766" spans="1:11" x14ac:dyDescent="0.45">
      <c r="A1766">
        <v>7960</v>
      </c>
      <c r="B1766" s="15">
        <v>44006</v>
      </c>
      <c r="C1766" t="str">
        <f>TEXT(Table1[[#This Row],[Order Date]], "yyyy")</f>
        <v>2020</v>
      </c>
      <c r="D1766" t="str">
        <f>TEXT(Table1[[#This Row],[Order Date]], "mmmm")</f>
        <v>June</v>
      </c>
      <c r="E1766" s="16">
        <f>Table1[[#This Row],[Order Quantity]]*Table1[[#This Row],[Unit Price]]</f>
        <v>17260.95</v>
      </c>
      <c r="F1766">
        <v>35</v>
      </c>
      <c r="G1766" s="16">
        <v>493.17</v>
      </c>
      <c r="H1766" t="s">
        <v>464</v>
      </c>
      <c r="I1766" t="s">
        <v>1218</v>
      </c>
      <c r="J1766" t="s">
        <v>20</v>
      </c>
      <c r="K1766" t="s">
        <v>15</v>
      </c>
    </row>
    <row r="1767" spans="1:11" x14ac:dyDescent="0.45">
      <c r="A1767">
        <v>7961</v>
      </c>
      <c r="B1767" s="15">
        <v>44094</v>
      </c>
      <c r="C1767" t="str">
        <f>TEXT(Table1[[#This Row],[Order Date]], "yyyy")</f>
        <v>2020</v>
      </c>
      <c r="D1767" t="str">
        <f>TEXT(Table1[[#This Row],[Order Date]], "mmmm")</f>
        <v>September</v>
      </c>
      <c r="E1767" s="16">
        <f>Table1[[#This Row],[Order Quantity]]*Table1[[#This Row],[Unit Price]]</f>
        <v>47761.200000000004</v>
      </c>
      <c r="F1767">
        <v>72</v>
      </c>
      <c r="G1767" s="16">
        <v>663.35</v>
      </c>
      <c r="H1767" t="s">
        <v>25</v>
      </c>
      <c r="I1767" t="s">
        <v>1219</v>
      </c>
      <c r="J1767" t="s">
        <v>10</v>
      </c>
      <c r="K1767" t="s">
        <v>17</v>
      </c>
    </row>
    <row r="1768" spans="1:11" x14ac:dyDescent="0.45">
      <c r="A1768">
        <v>7962</v>
      </c>
      <c r="B1768" s="15">
        <v>43914</v>
      </c>
      <c r="C1768" t="str">
        <f>TEXT(Table1[[#This Row],[Order Date]], "yyyy")</f>
        <v>2020</v>
      </c>
      <c r="D1768" t="str">
        <f>TEXT(Table1[[#This Row],[Order Date]], "mmmm")</f>
        <v>March</v>
      </c>
      <c r="E1768" s="16">
        <f>Table1[[#This Row],[Order Quantity]]*Table1[[#This Row],[Unit Price]]</f>
        <v>1781.7599999999998</v>
      </c>
      <c r="F1768">
        <v>24</v>
      </c>
      <c r="G1768" s="16">
        <v>74.239999999999995</v>
      </c>
      <c r="H1768" t="s">
        <v>25</v>
      </c>
      <c r="I1768" t="s">
        <v>1220</v>
      </c>
      <c r="J1768" t="s">
        <v>13</v>
      </c>
      <c r="K1768" t="s">
        <v>11</v>
      </c>
    </row>
    <row r="1769" spans="1:11" x14ac:dyDescent="0.45">
      <c r="A1769">
        <v>7963</v>
      </c>
      <c r="B1769" s="15">
        <v>43842</v>
      </c>
      <c r="C1769" t="str">
        <f>TEXT(Table1[[#This Row],[Order Date]], "yyyy")</f>
        <v>2020</v>
      </c>
      <c r="D1769" t="str">
        <f>TEXT(Table1[[#This Row],[Order Date]], "mmmm")</f>
        <v>January</v>
      </c>
      <c r="E1769" s="16">
        <f>Table1[[#This Row],[Order Quantity]]*Table1[[#This Row],[Unit Price]]</f>
        <v>6647.33</v>
      </c>
      <c r="F1769">
        <v>31</v>
      </c>
      <c r="G1769" s="16">
        <v>214.43</v>
      </c>
      <c r="H1769" t="s">
        <v>464</v>
      </c>
      <c r="I1769" t="s">
        <v>1221</v>
      </c>
      <c r="J1769" t="s">
        <v>23</v>
      </c>
      <c r="K1769" t="s">
        <v>15</v>
      </c>
    </row>
    <row r="1770" spans="1:11" x14ac:dyDescent="0.45">
      <c r="A1770">
        <v>7964</v>
      </c>
      <c r="B1770" s="15">
        <v>43929</v>
      </c>
      <c r="C1770" t="str">
        <f>TEXT(Table1[[#This Row],[Order Date]], "yyyy")</f>
        <v>2020</v>
      </c>
      <c r="D1770" t="str">
        <f>TEXT(Table1[[#This Row],[Order Date]], "mmmm")</f>
        <v>April</v>
      </c>
      <c r="E1770" s="16">
        <f>Table1[[#This Row],[Order Quantity]]*Table1[[#This Row],[Unit Price]]</f>
        <v>10780.56</v>
      </c>
      <c r="F1770">
        <v>36</v>
      </c>
      <c r="G1770" s="16">
        <v>299.45999999999998</v>
      </c>
      <c r="H1770" t="s">
        <v>8</v>
      </c>
      <c r="I1770" t="s">
        <v>1222</v>
      </c>
      <c r="J1770" t="s">
        <v>13</v>
      </c>
      <c r="K1770" t="s">
        <v>15</v>
      </c>
    </row>
    <row r="1771" spans="1:11" x14ac:dyDescent="0.45">
      <c r="A1771">
        <v>7965</v>
      </c>
      <c r="B1771" s="15">
        <v>44110</v>
      </c>
      <c r="C1771" t="str">
        <f>TEXT(Table1[[#This Row],[Order Date]], "yyyy")</f>
        <v>2020</v>
      </c>
      <c r="D1771" t="str">
        <f>TEXT(Table1[[#This Row],[Order Date]], "mmmm")</f>
        <v>October</v>
      </c>
      <c r="E1771" s="16">
        <f>Table1[[#This Row],[Order Quantity]]*Table1[[#This Row],[Unit Price]]</f>
        <v>21951.82</v>
      </c>
      <c r="F1771">
        <v>22</v>
      </c>
      <c r="G1771" s="16">
        <v>997.81</v>
      </c>
      <c r="H1771" t="s">
        <v>25</v>
      </c>
      <c r="I1771" t="s">
        <v>1223</v>
      </c>
      <c r="J1771" t="s">
        <v>13</v>
      </c>
      <c r="K1771" t="s">
        <v>17</v>
      </c>
    </row>
    <row r="1772" spans="1:11" x14ac:dyDescent="0.45">
      <c r="A1772">
        <v>7966</v>
      </c>
      <c r="B1772" s="15">
        <v>43888</v>
      </c>
      <c r="C1772" t="str">
        <f>TEXT(Table1[[#This Row],[Order Date]], "yyyy")</f>
        <v>2020</v>
      </c>
      <c r="D1772" t="str">
        <f>TEXT(Table1[[#This Row],[Order Date]], "mmmm")</f>
        <v>February</v>
      </c>
      <c r="E1772" s="16">
        <f>Table1[[#This Row],[Order Quantity]]*Table1[[#This Row],[Unit Price]]</f>
        <v>29366.92</v>
      </c>
      <c r="F1772">
        <v>44</v>
      </c>
      <c r="G1772" s="16">
        <v>667.43</v>
      </c>
      <c r="H1772" t="s">
        <v>464</v>
      </c>
      <c r="I1772" t="s">
        <v>1224</v>
      </c>
      <c r="J1772" t="s">
        <v>13</v>
      </c>
      <c r="K1772" t="s">
        <v>15</v>
      </c>
    </row>
    <row r="1773" spans="1:11" x14ac:dyDescent="0.45">
      <c r="A1773">
        <v>7967</v>
      </c>
      <c r="B1773" s="15">
        <v>43897</v>
      </c>
      <c r="C1773" t="str">
        <f>TEXT(Table1[[#This Row],[Order Date]], "yyyy")</f>
        <v>2020</v>
      </c>
      <c r="D1773" t="str">
        <f>TEXT(Table1[[#This Row],[Order Date]], "mmmm")</f>
        <v>March</v>
      </c>
      <c r="E1773" s="16">
        <f>Table1[[#This Row],[Order Quantity]]*Table1[[#This Row],[Unit Price]]</f>
        <v>96433.279999999999</v>
      </c>
      <c r="F1773">
        <v>89</v>
      </c>
      <c r="G1773" s="16">
        <v>1083.52</v>
      </c>
      <c r="H1773" t="s">
        <v>464</v>
      </c>
      <c r="I1773" t="s">
        <v>1225</v>
      </c>
      <c r="J1773" t="s">
        <v>13</v>
      </c>
      <c r="K1773" t="s">
        <v>17</v>
      </c>
    </row>
    <row r="1774" spans="1:11" x14ac:dyDescent="0.45">
      <c r="A1774">
        <v>7968</v>
      </c>
      <c r="B1774" s="15">
        <v>43956</v>
      </c>
      <c r="C1774" t="str">
        <f>TEXT(Table1[[#This Row],[Order Date]], "yyyy")</f>
        <v>2020</v>
      </c>
      <c r="D1774" t="str">
        <f>TEXT(Table1[[#This Row],[Order Date]], "mmmm")</f>
        <v>May</v>
      </c>
      <c r="E1774" s="16">
        <f>Table1[[#This Row],[Order Quantity]]*Table1[[#This Row],[Unit Price]]</f>
        <v>41097.380000000005</v>
      </c>
      <c r="F1774">
        <v>79</v>
      </c>
      <c r="G1774" s="16">
        <v>520.22</v>
      </c>
      <c r="H1774" t="s">
        <v>25</v>
      </c>
      <c r="I1774" t="s">
        <v>1226</v>
      </c>
      <c r="J1774" t="s">
        <v>13</v>
      </c>
      <c r="K1774" t="s">
        <v>11</v>
      </c>
    </row>
    <row r="1775" spans="1:11" x14ac:dyDescent="0.45">
      <c r="A1775">
        <v>7969</v>
      </c>
      <c r="B1775" s="15">
        <v>43869</v>
      </c>
      <c r="C1775" t="str">
        <f>TEXT(Table1[[#This Row],[Order Date]], "yyyy")</f>
        <v>2020</v>
      </c>
      <c r="D1775" t="str">
        <f>TEXT(Table1[[#This Row],[Order Date]], "mmmm")</f>
        <v>February</v>
      </c>
      <c r="E1775" s="16">
        <f>Table1[[#This Row],[Order Quantity]]*Table1[[#This Row],[Unit Price]]</f>
        <v>30376.62</v>
      </c>
      <c r="F1775">
        <v>81</v>
      </c>
      <c r="G1775" s="16">
        <v>375.02</v>
      </c>
      <c r="H1775" t="s">
        <v>464</v>
      </c>
      <c r="I1775" t="s">
        <v>1227</v>
      </c>
      <c r="J1775" t="s">
        <v>10</v>
      </c>
      <c r="K1775" t="s">
        <v>15</v>
      </c>
    </row>
    <row r="1776" spans="1:11" x14ac:dyDescent="0.45">
      <c r="A1776">
        <v>7970</v>
      </c>
      <c r="B1776" s="15">
        <v>43882</v>
      </c>
      <c r="C1776" t="str">
        <f>TEXT(Table1[[#This Row],[Order Date]], "yyyy")</f>
        <v>2020</v>
      </c>
      <c r="D1776" t="str">
        <f>TEXT(Table1[[#This Row],[Order Date]], "mmmm")</f>
        <v>February</v>
      </c>
      <c r="E1776" s="16">
        <f>Table1[[#This Row],[Order Quantity]]*Table1[[#This Row],[Unit Price]]</f>
        <v>48605.57</v>
      </c>
      <c r="F1776">
        <v>89</v>
      </c>
      <c r="G1776" s="16">
        <v>546.13</v>
      </c>
      <c r="H1776" t="s">
        <v>464</v>
      </c>
      <c r="I1776" t="s">
        <v>1228</v>
      </c>
      <c r="J1776" t="s">
        <v>10</v>
      </c>
      <c r="K1776" t="s">
        <v>15</v>
      </c>
    </row>
    <row r="1777" spans="1:11" x14ac:dyDescent="0.45">
      <c r="A1777">
        <v>7971</v>
      </c>
      <c r="B1777" s="15">
        <v>44032</v>
      </c>
      <c r="C1777" t="str">
        <f>TEXT(Table1[[#This Row],[Order Date]], "yyyy")</f>
        <v>2020</v>
      </c>
      <c r="D1777" t="str">
        <f>TEXT(Table1[[#This Row],[Order Date]], "mmmm")</f>
        <v>July</v>
      </c>
      <c r="E1777" s="16">
        <f>Table1[[#This Row],[Order Quantity]]*Table1[[#This Row],[Unit Price]]</f>
        <v>2460.4</v>
      </c>
      <c r="F1777">
        <v>5</v>
      </c>
      <c r="G1777" s="16">
        <v>492.08</v>
      </c>
      <c r="H1777" t="s">
        <v>25</v>
      </c>
      <c r="I1777" t="s">
        <v>1229</v>
      </c>
      <c r="J1777" t="s">
        <v>23</v>
      </c>
      <c r="K1777" t="s">
        <v>15</v>
      </c>
    </row>
    <row r="1778" spans="1:11" x14ac:dyDescent="0.45">
      <c r="A1778">
        <v>7972</v>
      </c>
      <c r="B1778" s="15">
        <v>43992</v>
      </c>
      <c r="C1778" t="str">
        <f>TEXT(Table1[[#This Row],[Order Date]], "yyyy")</f>
        <v>2020</v>
      </c>
      <c r="D1778" t="str">
        <f>TEXT(Table1[[#This Row],[Order Date]], "mmmm")</f>
        <v>June</v>
      </c>
      <c r="E1778" s="16">
        <f>Table1[[#This Row],[Order Quantity]]*Table1[[#This Row],[Unit Price]]</f>
        <v>27762.239999999998</v>
      </c>
      <c r="F1778">
        <v>48</v>
      </c>
      <c r="G1778" s="16">
        <v>578.38</v>
      </c>
      <c r="H1778" t="s">
        <v>464</v>
      </c>
      <c r="I1778" t="s">
        <v>1230</v>
      </c>
      <c r="J1778" t="s">
        <v>13</v>
      </c>
      <c r="K1778" t="s">
        <v>15</v>
      </c>
    </row>
    <row r="1779" spans="1:11" x14ac:dyDescent="0.45">
      <c r="A1779">
        <v>7973</v>
      </c>
      <c r="B1779" s="15">
        <v>44079</v>
      </c>
      <c r="C1779" t="str">
        <f>TEXT(Table1[[#This Row],[Order Date]], "yyyy")</f>
        <v>2020</v>
      </c>
      <c r="D1779" t="str">
        <f>TEXT(Table1[[#This Row],[Order Date]], "mmmm")</f>
        <v>September</v>
      </c>
      <c r="E1779" s="16">
        <f>Table1[[#This Row],[Order Quantity]]*Table1[[#This Row],[Unit Price]]</f>
        <v>3927.16</v>
      </c>
      <c r="F1779">
        <v>4</v>
      </c>
      <c r="G1779" s="16">
        <v>981.79</v>
      </c>
      <c r="H1779" t="s">
        <v>464</v>
      </c>
      <c r="I1779" t="s">
        <v>1231</v>
      </c>
      <c r="J1779" t="s">
        <v>20</v>
      </c>
      <c r="K1779" t="s">
        <v>15</v>
      </c>
    </row>
    <row r="1780" spans="1:11" x14ac:dyDescent="0.45">
      <c r="A1780">
        <v>7974</v>
      </c>
      <c r="B1780" s="15">
        <v>44118</v>
      </c>
      <c r="C1780" t="str">
        <f>TEXT(Table1[[#This Row],[Order Date]], "yyyy")</f>
        <v>2020</v>
      </c>
      <c r="D1780" t="str">
        <f>TEXT(Table1[[#This Row],[Order Date]], "mmmm")</f>
        <v>October</v>
      </c>
      <c r="E1780" s="16">
        <f>Table1[[#This Row],[Order Quantity]]*Table1[[#This Row],[Unit Price]]</f>
        <v>17521.199999999997</v>
      </c>
      <c r="F1780">
        <v>30</v>
      </c>
      <c r="G1780" s="16">
        <v>584.04</v>
      </c>
      <c r="H1780" t="s">
        <v>8</v>
      </c>
      <c r="I1780" t="s">
        <v>1232</v>
      </c>
      <c r="J1780" t="s">
        <v>20</v>
      </c>
      <c r="K1780" t="s">
        <v>17</v>
      </c>
    </row>
    <row r="1781" spans="1:11" x14ac:dyDescent="0.45">
      <c r="A1781">
        <v>7975</v>
      </c>
      <c r="B1781" s="15">
        <v>44007</v>
      </c>
      <c r="C1781" t="str">
        <f>TEXT(Table1[[#This Row],[Order Date]], "yyyy")</f>
        <v>2020</v>
      </c>
      <c r="D1781" t="str">
        <f>TEXT(Table1[[#This Row],[Order Date]], "mmmm")</f>
        <v>June</v>
      </c>
      <c r="E1781" s="16">
        <f>Table1[[#This Row],[Order Quantity]]*Table1[[#This Row],[Unit Price]]</f>
        <v>78157</v>
      </c>
      <c r="F1781">
        <v>100</v>
      </c>
      <c r="G1781" s="16">
        <v>781.57</v>
      </c>
      <c r="H1781" t="s">
        <v>8</v>
      </c>
      <c r="I1781" t="s">
        <v>1233</v>
      </c>
      <c r="J1781" t="s">
        <v>10</v>
      </c>
      <c r="K1781" t="s">
        <v>17</v>
      </c>
    </row>
    <row r="1782" spans="1:11" x14ac:dyDescent="0.45">
      <c r="A1782">
        <v>7976</v>
      </c>
      <c r="B1782" s="15">
        <v>43838</v>
      </c>
      <c r="C1782" t="str">
        <f>TEXT(Table1[[#This Row],[Order Date]], "yyyy")</f>
        <v>2020</v>
      </c>
      <c r="D1782" t="str">
        <f>TEXT(Table1[[#This Row],[Order Date]], "mmmm")</f>
        <v>January</v>
      </c>
      <c r="E1782" s="16">
        <f>Table1[[#This Row],[Order Quantity]]*Table1[[#This Row],[Unit Price]]</f>
        <v>73166.64</v>
      </c>
      <c r="F1782">
        <v>51</v>
      </c>
      <c r="G1782" s="16">
        <v>1434.64</v>
      </c>
      <c r="H1782" t="s">
        <v>25</v>
      </c>
      <c r="I1782" t="s">
        <v>1234</v>
      </c>
      <c r="J1782" t="s">
        <v>13</v>
      </c>
      <c r="K1782" t="s">
        <v>15</v>
      </c>
    </row>
    <row r="1783" spans="1:11" x14ac:dyDescent="0.45">
      <c r="A1783">
        <v>7977</v>
      </c>
      <c r="B1783" s="15">
        <v>43866</v>
      </c>
      <c r="C1783" t="str">
        <f>TEXT(Table1[[#This Row],[Order Date]], "yyyy")</f>
        <v>2020</v>
      </c>
      <c r="D1783" t="str">
        <f>TEXT(Table1[[#This Row],[Order Date]], "mmmm")</f>
        <v>February</v>
      </c>
      <c r="E1783" s="16">
        <f>Table1[[#This Row],[Order Quantity]]*Table1[[#This Row],[Unit Price]]</f>
        <v>4076.2500000000005</v>
      </c>
      <c r="F1783">
        <v>25</v>
      </c>
      <c r="G1783" s="16">
        <v>163.05000000000001</v>
      </c>
      <c r="H1783" t="s">
        <v>464</v>
      </c>
      <c r="I1783" t="s">
        <v>1235</v>
      </c>
      <c r="J1783" t="s">
        <v>23</v>
      </c>
      <c r="K1783" t="s">
        <v>15</v>
      </c>
    </row>
    <row r="1784" spans="1:11" x14ac:dyDescent="0.45">
      <c r="A1784">
        <v>7978</v>
      </c>
      <c r="B1784" s="15">
        <v>43873</v>
      </c>
      <c r="C1784" t="str">
        <f>TEXT(Table1[[#This Row],[Order Date]], "yyyy")</f>
        <v>2020</v>
      </c>
      <c r="D1784" t="str">
        <f>TEXT(Table1[[#This Row],[Order Date]], "mmmm")</f>
        <v>February</v>
      </c>
      <c r="E1784" s="16">
        <f>Table1[[#This Row],[Order Quantity]]*Table1[[#This Row],[Unit Price]]</f>
        <v>31041.5</v>
      </c>
      <c r="F1784">
        <v>70</v>
      </c>
      <c r="G1784" s="16">
        <v>443.45</v>
      </c>
      <c r="H1784" t="s">
        <v>25</v>
      </c>
      <c r="I1784" t="s">
        <v>1236</v>
      </c>
      <c r="J1784" t="s">
        <v>23</v>
      </c>
      <c r="K1784" t="s">
        <v>17</v>
      </c>
    </row>
    <row r="1785" spans="1:11" x14ac:dyDescent="0.45">
      <c r="A1785">
        <v>7979</v>
      </c>
      <c r="B1785" s="15">
        <v>44200</v>
      </c>
      <c r="C1785" t="str">
        <f>TEXT(Table1[[#This Row],[Order Date]], "yyyy")</f>
        <v>2021</v>
      </c>
      <c r="D1785" t="str">
        <f>TEXT(Table1[[#This Row],[Order Date]], "mmmm")</f>
        <v>January</v>
      </c>
      <c r="E1785" s="16">
        <f>Table1[[#This Row],[Order Quantity]]*Table1[[#This Row],[Unit Price]]</f>
        <v>59627.200000000004</v>
      </c>
      <c r="F1785">
        <v>80</v>
      </c>
      <c r="G1785" s="16">
        <v>745.34</v>
      </c>
      <c r="H1785" t="s">
        <v>8</v>
      </c>
      <c r="I1785" t="s">
        <v>1237</v>
      </c>
      <c r="J1785" t="s">
        <v>10</v>
      </c>
      <c r="K1785" t="s">
        <v>15</v>
      </c>
    </row>
    <row r="1786" spans="1:11" x14ac:dyDescent="0.45">
      <c r="A1786">
        <v>7980</v>
      </c>
      <c r="B1786" s="15">
        <v>44048</v>
      </c>
      <c r="C1786" t="str">
        <f>TEXT(Table1[[#This Row],[Order Date]], "yyyy")</f>
        <v>2020</v>
      </c>
      <c r="D1786" t="str">
        <f>TEXT(Table1[[#This Row],[Order Date]], "mmmm")</f>
        <v>August</v>
      </c>
      <c r="E1786" s="16">
        <f>Table1[[#This Row],[Order Quantity]]*Table1[[#This Row],[Unit Price]]</f>
        <v>55201.03</v>
      </c>
      <c r="F1786">
        <v>47</v>
      </c>
      <c r="G1786" s="16">
        <v>1174.49</v>
      </c>
      <c r="H1786" t="s">
        <v>8</v>
      </c>
      <c r="I1786" t="s">
        <v>1238</v>
      </c>
      <c r="J1786" t="s">
        <v>20</v>
      </c>
      <c r="K1786" t="s">
        <v>11</v>
      </c>
    </row>
    <row r="1787" spans="1:11" x14ac:dyDescent="0.45">
      <c r="A1787">
        <v>7981</v>
      </c>
      <c r="B1787" s="15">
        <v>44193</v>
      </c>
      <c r="C1787" t="str">
        <f>TEXT(Table1[[#This Row],[Order Date]], "yyyy")</f>
        <v>2020</v>
      </c>
      <c r="D1787" t="str">
        <f>TEXT(Table1[[#This Row],[Order Date]], "mmmm")</f>
        <v>December</v>
      </c>
      <c r="E1787" s="16">
        <f>Table1[[#This Row],[Order Quantity]]*Table1[[#This Row],[Unit Price]]</f>
        <v>47407.07</v>
      </c>
      <c r="F1787">
        <v>43</v>
      </c>
      <c r="G1787" s="16">
        <v>1102.49</v>
      </c>
      <c r="H1787" t="s">
        <v>464</v>
      </c>
      <c r="I1787" t="s">
        <v>1239</v>
      </c>
      <c r="J1787" t="s">
        <v>20</v>
      </c>
      <c r="K1787" t="s">
        <v>17</v>
      </c>
    </row>
    <row r="1788" spans="1:11" x14ac:dyDescent="0.45">
      <c r="A1788">
        <v>7982</v>
      </c>
      <c r="B1788" s="15">
        <v>44152</v>
      </c>
      <c r="C1788" t="str">
        <f>TEXT(Table1[[#This Row],[Order Date]], "yyyy")</f>
        <v>2020</v>
      </c>
      <c r="D1788" t="str">
        <f>TEXT(Table1[[#This Row],[Order Date]], "mmmm")</f>
        <v>November</v>
      </c>
      <c r="E1788" s="16">
        <f>Table1[[#This Row],[Order Quantity]]*Table1[[#This Row],[Unit Price]]</f>
        <v>4423.8</v>
      </c>
      <c r="F1788">
        <v>15</v>
      </c>
      <c r="G1788" s="16">
        <v>294.92</v>
      </c>
      <c r="H1788" t="s">
        <v>25</v>
      </c>
      <c r="I1788" t="s">
        <v>1240</v>
      </c>
      <c r="J1788" t="s">
        <v>20</v>
      </c>
      <c r="K1788" t="s">
        <v>11</v>
      </c>
    </row>
    <row r="1789" spans="1:11" x14ac:dyDescent="0.45">
      <c r="A1789">
        <v>7983</v>
      </c>
      <c r="B1789" s="15">
        <v>44086</v>
      </c>
      <c r="C1789" t="str">
        <f>TEXT(Table1[[#This Row],[Order Date]], "yyyy")</f>
        <v>2020</v>
      </c>
      <c r="D1789" t="str">
        <f>TEXT(Table1[[#This Row],[Order Date]], "mmmm")</f>
        <v>September</v>
      </c>
      <c r="E1789" s="16">
        <f>Table1[[#This Row],[Order Quantity]]*Table1[[#This Row],[Unit Price]]</f>
        <v>92340.939999999988</v>
      </c>
      <c r="F1789">
        <v>62</v>
      </c>
      <c r="G1789" s="16">
        <v>1489.37</v>
      </c>
      <c r="H1789" t="s">
        <v>464</v>
      </c>
      <c r="I1789" t="s">
        <v>1241</v>
      </c>
      <c r="J1789" t="s">
        <v>20</v>
      </c>
      <c r="K1789" t="s">
        <v>11</v>
      </c>
    </row>
    <row r="1790" spans="1:11" x14ac:dyDescent="0.45">
      <c r="A1790">
        <v>7984</v>
      </c>
      <c r="B1790" s="15">
        <v>44153</v>
      </c>
      <c r="C1790" t="str">
        <f>TEXT(Table1[[#This Row],[Order Date]], "yyyy")</f>
        <v>2020</v>
      </c>
      <c r="D1790" t="str">
        <f>TEXT(Table1[[#This Row],[Order Date]], "mmmm")</f>
        <v>November</v>
      </c>
      <c r="E1790" s="16">
        <f>Table1[[#This Row],[Order Quantity]]*Table1[[#This Row],[Unit Price]]</f>
        <v>922.18</v>
      </c>
      <c r="F1790">
        <v>2</v>
      </c>
      <c r="G1790" s="16">
        <v>461.09</v>
      </c>
      <c r="H1790" t="s">
        <v>464</v>
      </c>
      <c r="I1790" t="s">
        <v>1242</v>
      </c>
      <c r="J1790" t="s">
        <v>10</v>
      </c>
      <c r="K1790" t="s">
        <v>17</v>
      </c>
    </row>
    <row r="1791" spans="1:11" x14ac:dyDescent="0.45">
      <c r="A1791">
        <v>7985</v>
      </c>
      <c r="B1791" s="15">
        <v>43882</v>
      </c>
      <c r="C1791" t="str">
        <f>TEXT(Table1[[#This Row],[Order Date]], "yyyy")</f>
        <v>2020</v>
      </c>
      <c r="D1791" t="str">
        <f>TEXT(Table1[[#This Row],[Order Date]], "mmmm")</f>
        <v>February</v>
      </c>
      <c r="E1791" s="16">
        <f>Table1[[#This Row],[Order Quantity]]*Table1[[#This Row],[Unit Price]]</f>
        <v>12219.5</v>
      </c>
      <c r="F1791">
        <v>25</v>
      </c>
      <c r="G1791" s="16">
        <v>488.78</v>
      </c>
      <c r="H1791" t="s">
        <v>8</v>
      </c>
      <c r="I1791" t="s">
        <v>1243</v>
      </c>
      <c r="J1791" t="s">
        <v>13</v>
      </c>
      <c r="K1791" t="s">
        <v>11</v>
      </c>
    </row>
    <row r="1792" spans="1:11" x14ac:dyDescent="0.45">
      <c r="A1792">
        <v>7986</v>
      </c>
      <c r="B1792" s="15">
        <v>43855</v>
      </c>
      <c r="C1792" t="str">
        <f>TEXT(Table1[[#This Row],[Order Date]], "yyyy")</f>
        <v>2020</v>
      </c>
      <c r="D1792" t="str">
        <f>TEXT(Table1[[#This Row],[Order Date]], "mmmm")</f>
        <v>January</v>
      </c>
      <c r="E1792" s="16">
        <f>Table1[[#This Row],[Order Quantity]]*Table1[[#This Row],[Unit Price]]</f>
        <v>19810.439999999999</v>
      </c>
      <c r="F1792">
        <v>34</v>
      </c>
      <c r="G1792" s="16">
        <v>582.66</v>
      </c>
      <c r="H1792" t="s">
        <v>8</v>
      </c>
      <c r="I1792" t="s">
        <v>1244</v>
      </c>
      <c r="J1792" t="s">
        <v>10</v>
      </c>
      <c r="K1792" t="s">
        <v>17</v>
      </c>
    </row>
    <row r="1793" spans="1:11" x14ac:dyDescent="0.45">
      <c r="A1793">
        <v>7987</v>
      </c>
      <c r="B1793" s="15">
        <v>43916</v>
      </c>
      <c r="C1793" t="str">
        <f>TEXT(Table1[[#This Row],[Order Date]], "yyyy")</f>
        <v>2020</v>
      </c>
      <c r="D1793" t="str">
        <f>TEXT(Table1[[#This Row],[Order Date]], "mmmm")</f>
        <v>March</v>
      </c>
      <c r="E1793" s="16">
        <f>Table1[[#This Row],[Order Quantity]]*Table1[[#This Row],[Unit Price]]</f>
        <v>40346.049999999996</v>
      </c>
      <c r="F1793">
        <v>41</v>
      </c>
      <c r="G1793" s="16">
        <v>984.05</v>
      </c>
      <c r="H1793" t="s">
        <v>25</v>
      </c>
      <c r="I1793" t="s">
        <v>1245</v>
      </c>
      <c r="J1793" t="s">
        <v>20</v>
      </c>
      <c r="K1793" t="s">
        <v>15</v>
      </c>
    </row>
    <row r="1794" spans="1:11" x14ac:dyDescent="0.45">
      <c r="A1794">
        <v>7988</v>
      </c>
      <c r="B1794" s="15">
        <v>43929</v>
      </c>
      <c r="C1794" t="str">
        <f>TEXT(Table1[[#This Row],[Order Date]], "yyyy")</f>
        <v>2020</v>
      </c>
      <c r="D1794" t="str">
        <f>TEXT(Table1[[#This Row],[Order Date]], "mmmm")</f>
        <v>April</v>
      </c>
      <c r="E1794" s="16">
        <f>Table1[[#This Row],[Order Quantity]]*Table1[[#This Row],[Unit Price]]</f>
        <v>98697</v>
      </c>
      <c r="F1794">
        <v>75</v>
      </c>
      <c r="G1794" s="16">
        <v>1315.96</v>
      </c>
      <c r="H1794" t="s">
        <v>8</v>
      </c>
      <c r="I1794" t="s">
        <v>1246</v>
      </c>
      <c r="J1794" t="s">
        <v>13</v>
      </c>
      <c r="K1794" t="s">
        <v>17</v>
      </c>
    </row>
    <row r="1795" spans="1:11" x14ac:dyDescent="0.45">
      <c r="A1795">
        <v>7989</v>
      </c>
      <c r="B1795" s="15">
        <v>44077</v>
      </c>
      <c r="C1795" t="str">
        <f>TEXT(Table1[[#This Row],[Order Date]], "yyyy")</f>
        <v>2020</v>
      </c>
      <c r="D1795" t="str">
        <f>TEXT(Table1[[#This Row],[Order Date]], "mmmm")</f>
        <v>September</v>
      </c>
      <c r="E1795" s="16">
        <f>Table1[[#This Row],[Order Quantity]]*Table1[[#This Row],[Unit Price]]</f>
        <v>100559.07</v>
      </c>
      <c r="F1795">
        <v>81</v>
      </c>
      <c r="G1795" s="16">
        <v>1241.47</v>
      </c>
      <c r="H1795" t="s">
        <v>25</v>
      </c>
      <c r="I1795" t="s">
        <v>1247</v>
      </c>
      <c r="J1795" t="s">
        <v>20</v>
      </c>
      <c r="K1795" t="s">
        <v>15</v>
      </c>
    </row>
    <row r="1796" spans="1:11" x14ac:dyDescent="0.45">
      <c r="A1796">
        <v>7990</v>
      </c>
      <c r="B1796" s="15">
        <v>43960</v>
      </c>
      <c r="C1796" t="str">
        <f>TEXT(Table1[[#This Row],[Order Date]], "yyyy")</f>
        <v>2020</v>
      </c>
      <c r="D1796" t="str">
        <f>TEXT(Table1[[#This Row],[Order Date]], "mmmm")</f>
        <v>May</v>
      </c>
      <c r="E1796" s="16">
        <f>Table1[[#This Row],[Order Quantity]]*Table1[[#This Row],[Unit Price]]</f>
        <v>5614.8</v>
      </c>
      <c r="F1796">
        <v>5</v>
      </c>
      <c r="G1796" s="16">
        <v>1122.96</v>
      </c>
      <c r="H1796" t="s">
        <v>8</v>
      </c>
      <c r="I1796" t="s">
        <v>1248</v>
      </c>
      <c r="J1796" t="s">
        <v>13</v>
      </c>
      <c r="K1796" t="s">
        <v>15</v>
      </c>
    </row>
    <row r="1797" spans="1:11" x14ac:dyDescent="0.45">
      <c r="A1797">
        <v>7991</v>
      </c>
      <c r="B1797" s="15">
        <v>44002</v>
      </c>
      <c r="C1797" t="str">
        <f>TEXT(Table1[[#This Row],[Order Date]], "yyyy")</f>
        <v>2020</v>
      </c>
      <c r="D1797" t="str">
        <f>TEXT(Table1[[#This Row],[Order Date]], "mmmm")</f>
        <v>June</v>
      </c>
      <c r="E1797" s="16">
        <f>Table1[[#This Row],[Order Quantity]]*Table1[[#This Row],[Unit Price]]</f>
        <v>62627.839999999997</v>
      </c>
      <c r="F1797">
        <v>88</v>
      </c>
      <c r="G1797" s="16">
        <v>711.68</v>
      </c>
      <c r="H1797" t="s">
        <v>8</v>
      </c>
      <c r="I1797" t="s">
        <v>1249</v>
      </c>
      <c r="J1797" t="s">
        <v>20</v>
      </c>
      <c r="K1797" t="s">
        <v>11</v>
      </c>
    </row>
    <row r="1798" spans="1:11" x14ac:dyDescent="0.45">
      <c r="A1798">
        <v>7992</v>
      </c>
      <c r="B1798" s="15">
        <v>44121</v>
      </c>
      <c r="C1798" t="str">
        <f>TEXT(Table1[[#This Row],[Order Date]], "yyyy")</f>
        <v>2020</v>
      </c>
      <c r="D1798" t="str">
        <f>TEXT(Table1[[#This Row],[Order Date]], "mmmm")</f>
        <v>October</v>
      </c>
      <c r="E1798" s="16">
        <f>Table1[[#This Row],[Order Quantity]]*Table1[[#This Row],[Unit Price]]</f>
        <v>4209.24</v>
      </c>
      <c r="F1798">
        <v>42</v>
      </c>
      <c r="G1798" s="16">
        <v>100.22</v>
      </c>
      <c r="H1798" t="s">
        <v>8</v>
      </c>
      <c r="I1798" t="s">
        <v>1250</v>
      </c>
      <c r="J1798" t="s">
        <v>10</v>
      </c>
      <c r="K1798" t="s">
        <v>17</v>
      </c>
    </row>
    <row r="1799" spans="1:11" x14ac:dyDescent="0.45">
      <c r="A1799">
        <v>7993</v>
      </c>
      <c r="B1799" s="15">
        <v>44036</v>
      </c>
      <c r="C1799" t="str">
        <f>TEXT(Table1[[#This Row],[Order Date]], "yyyy")</f>
        <v>2020</v>
      </c>
      <c r="D1799" t="str">
        <f>TEXT(Table1[[#This Row],[Order Date]], "mmmm")</f>
        <v>July</v>
      </c>
      <c r="E1799" s="16">
        <f>Table1[[#This Row],[Order Quantity]]*Table1[[#This Row],[Unit Price]]</f>
        <v>6572.67</v>
      </c>
      <c r="F1799">
        <v>57</v>
      </c>
      <c r="G1799" s="16">
        <v>115.31</v>
      </c>
      <c r="H1799" t="s">
        <v>464</v>
      </c>
      <c r="I1799" t="s">
        <v>1251</v>
      </c>
      <c r="J1799" t="s">
        <v>20</v>
      </c>
      <c r="K1799" t="s">
        <v>17</v>
      </c>
    </row>
    <row r="1800" spans="1:11" x14ac:dyDescent="0.45">
      <c r="A1800">
        <v>7994</v>
      </c>
      <c r="B1800" s="15">
        <v>44113</v>
      </c>
      <c r="C1800" t="str">
        <f>TEXT(Table1[[#This Row],[Order Date]], "yyyy")</f>
        <v>2020</v>
      </c>
      <c r="D1800" t="str">
        <f>TEXT(Table1[[#This Row],[Order Date]], "mmmm")</f>
        <v>October</v>
      </c>
      <c r="E1800" s="16">
        <f>Table1[[#This Row],[Order Quantity]]*Table1[[#This Row],[Unit Price]]</f>
        <v>88799.92</v>
      </c>
      <c r="F1800">
        <v>88</v>
      </c>
      <c r="G1800" s="16">
        <v>1009.09</v>
      </c>
      <c r="H1800" t="s">
        <v>8</v>
      </c>
      <c r="I1800" t="s">
        <v>1252</v>
      </c>
      <c r="J1800" t="s">
        <v>23</v>
      </c>
      <c r="K1800" t="s">
        <v>11</v>
      </c>
    </row>
    <row r="1801" spans="1:11" x14ac:dyDescent="0.45">
      <c r="A1801">
        <v>7995</v>
      </c>
      <c r="B1801" s="15">
        <v>44114</v>
      </c>
      <c r="C1801" t="str">
        <f>TEXT(Table1[[#This Row],[Order Date]], "yyyy")</f>
        <v>2020</v>
      </c>
      <c r="D1801" t="str">
        <f>TEXT(Table1[[#This Row],[Order Date]], "mmmm")</f>
        <v>October</v>
      </c>
      <c r="E1801" s="16">
        <f>Table1[[#This Row],[Order Quantity]]*Table1[[#This Row],[Unit Price]]</f>
        <v>30455.040000000001</v>
      </c>
      <c r="F1801">
        <v>24</v>
      </c>
      <c r="G1801" s="16">
        <v>1268.96</v>
      </c>
      <c r="H1801" t="s">
        <v>25</v>
      </c>
      <c r="I1801" t="s">
        <v>1253</v>
      </c>
      <c r="J1801" t="s">
        <v>13</v>
      </c>
      <c r="K1801" t="s">
        <v>15</v>
      </c>
    </row>
    <row r="1802" spans="1:11" x14ac:dyDescent="0.45">
      <c r="A1802">
        <v>7996</v>
      </c>
      <c r="B1802" s="15">
        <v>44134</v>
      </c>
      <c r="C1802" t="str">
        <f>TEXT(Table1[[#This Row],[Order Date]], "yyyy")</f>
        <v>2020</v>
      </c>
      <c r="D1802" t="str">
        <f>TEXT(Table1[[#This Row],[Order Date]], "mmmm")</f>
        <v>October</v>
      </c>
      <c r="E1802" s="16">
        <f>Table1[[#This Row],[Order Quantity]]*Table1[[#This Row],[Unit Price]]</f>
        <v>80915.520000000004</v>
      </c>
      <c r="F1802">
        <v>84</v>
      </c>
      <c r="G1802" s="16">
        <v>963.28</v>
      </c>
      <c r="H1802" t="s">
        <v>25</v>
      </c>
      <c r="I1802" t="s">
        <v>1254</v>
      </c>
      <c r="J1802" t="s">
        <v>13</v>
      </c>
      <c r="K1802" t="s">
        <v>11</v>
      </c>
    </row>
    <row r="1803" spans="1:11" x14ac:dyDescent="0.45">
      <c r="A1803">
        <v>7997</v>
      </c>
      <c r="B1803" s="15">
        <v>43909</v>
      </c>
      <c r="C1803" t="str">
        <f>TEXT(Table1[[#This Row],[Order Date]], "yyyy")</f>
        <v>2020</v>
      </c>
      <c r="D1803" t="str">
        <f>TEXT(Table1[[#This Row],[Order Date]], "mmmm")</f>
        <v>March</v>
      </c>
      <c r="E1803" s="16">
        <f>Table1[[#This Row],[Order Quantity]]*Table1[[#This Row],[Unit Price]]</f>
        <v>6194.4000000000005</v>
      </c>
      <c r="F1803">
        <v>5</v>
      </c>
      <c r="G1803" s="16">
        <v>1238.8800000000001</v>
      </c>
      <c r="H1803" t="s">
        <v>25</v>
      </c>
      <c r="I1803" t="s">
        <v>1255</v>
      </c>
      <c r="J1803" t="s">
        <v>10</v>
      </c>
      <c r="K1803" t="s">
        <v>15</v>
      </c>
    </row>
    <row r="1804" spans="1:11" x14ac:dyDescent="0.45">
      <c r="A1804">
        <v>7998</v>
      </c>
      <c r="B1804" s="15">
        <v>43839</v>
      </c>
      <c r="C1804" t="str">
        <f>TEXT(Table1[[#This Row],[Order Date]], "yyyy")</f>
        <v>2020</v>
      </c>
      <c r="D1804" t="str">
        <f>TEXT(Table1[[#This Row],[Order Date]], "mmmm")</f>
        <v>January</v>
      </c>
      <c r="E1804" s="16">
        <f>Table1[[#This Row],[Order Quantity]]*Table1[[#This Row],[Unit Price]]</f>
        <v>37792.57</v>
      </c>
      <c r="F1804">
        <v>41</v>
      </c>
      <c r="G1804" s="16">
        <v>921.77</v>
      </c>
      <c r="H1804" t="s">
        <v>25</v>
      </c>
      <c r="I1804" t="s">
        <v>1256</v>
      </c>
      <c r="J1804" t="s">
        <v>13</v>
      </c>
      <c r="K1804" t="s">
        <v>17</v>
      </c>
    </row>
    <row r="1805" spans="1:11" x14ac:dyDescent="0.45">
      <c r="A1805">
        <v>7999</v>
      </c>
      <c r="B1805" s="15">
        <v>44029</v>
      </c>
      <c r="C1805" t="str">
        <f>TEXT(Table1[[#This Row],[Order Date]], "yyyy")</f>
        <v>2020</v>
      </c>
      <c r="D1805" t="str">
        <f>TEXT(Table1[[#This Row],[Order Date]], "mmmm")</f>
        <v>July</v>
      </c>
      <c r="E1805" s="16">
        <f>Table1[[#This Row],[Order Quantity]]*Table1[[#This Row],[Unit Price]]</f>
        <v>119075.4</v>
      </c>
      <c r="F1805">
        <v>90</v>
      </c>
      <c r="G1805" s="16">
        <v>1323.06</v>
      </c>
      <c r="H1805" t="s">
        <v>464</v>
      </c>
      <c r="I1805" t="s">
        <v>1257</v>
      </c>
      <c r="J1805" t="s">
        <v>23</v>
      </c>
      <c r="K1805" t="s">
        <v>17</v>
      </c>
    </row>
    <row r="1806" spans="1:11" x14ac:dyDescent="0.45">
      <c r="A1806">
        <v>8000</v>
      </c>
      <c r="B1806" s="15">
        <v>44141</v>
      </c>
      <c r="C1806" t="str">
        <f>TEXT(Table1[[#This Row],[Order Date]], "yyyy")</f>
        <v>2020</v>
      </c>
      <c r="D1806" t="str">
        <f>TEXT(Table1[[#This Row],[Order Date]], "mmmm")</f>
        <v>November</v>
      </c>
      <c r="E1806" s="16">
        <f>Table1[[#This Row],[Order Quantity]]*Table1[[#This Row],[Unit Price]]</f>
        <v>1882.1399999999999</v>
      </c>
      <c r="F1806">
        <v>3</v>
      </c>
      <c r="G1806" s="16">
        <v>627.38</v>
      </c>
      <c r="H1806" t="s">
        <v>464</v>
      </c>
      <c r="I1806" t="s">
        <v>1258</v>
      </c>
      <c r="J1806" t="s">
        <v>13</v>
      </c>
      <c r="K1806" t="s">
        <v>17</v>
      </c>
    </row>
    <row r="1807" spans="1:11" x14ac:dyDescent="0.45">
      <c r="A1807">
        <v>8001</v>
      </c>
      <c r="B1807" s="15">
        <v>44150</v>
      </c>
      <c r="C1807" t="str">
        <f>TEXT(Table1[[#This Row],[Order Date]], "yyyy")</f>
        <v>2020</v>
      </c>
      <c r="D1807" t="str">
        <f>TEXT(Table1[[#This Row],[Order Date]], "mmmm")</f>
        <v>November</v>
      </c>
      <c r="E1807" s="16">
        <f>Table1[[#This Row],[Order Quantity]]*Table1[[#This Row],[Unit Price]]</f>
        <v>39263.54</v>
      </c>
      <c r="F1807">
        <v>34</v>
      </c>
      <c r="G1807" s="16">
        <v>1154.81</v>
      </c>
      <c r="H1807" t="s">
        <v>8</v>
      </c>
      <c r="I1807" t="s">
        <v>1259</v>
      </c>
      <c r="J1807" t="s">
        <v>20</v>
      </c>
      <c r="K1807" t="s">
        <v>15</v>
      </c>
    </row>
    <row r="1808" spans="1:11" x14ac:dyDescent="0.45">
      <c r="A1808">
        <v>8002</v>
      </c>
      <c r="B1808" s="15">
        <v>44081</v>
      </c>
      <c r="C1808" t="str">
        <f>TEXT(Table1[[#This Row],[Order Date]], "yyyy")</f>
        <v>2020</v>
      </c>
      <c r="D1808" t="str">
        <f>TEXT(Table1[[#This Row],[Order Date]], "mmmm")</f>
        <v>September</v>
      </c>
      <c r="E1808" s="16">
        <f>Table1[[#This Row],[Order Quantity]]*Table1[[#This Row],[Unit Price]]</f>
        <v>485.01</v>
      </c>
      <c r="F1808">
        <v>9</v>
      </c>
      <c r="G1808" s="16">
        <v>53.89</v>
      </c>
      <c r="H1808" t="s">
        <v>25</v>
      </c>
      <c r="I1808" t="s">
        <v>1260</v>
      </c>
      <c r="J1808" t="s">
        <v>20</v>
      </c>
      <c r="K1808" t="s">
        <v>17</v>
      </c>
    </row>
    <row r="1809" spans="1:11" x14ac:dyDescent="0.45">
      <c r="A1809">
        <v>8003</v>
      </c>
      <c r="B1809" s="15">
        <v>43892</v>
      </c>
      <c r="C1809" t="str">
        <f>TEXT(Table1[[#This Row],[Order Date]], "yyyy")</f>
        <v>2020</v>
      </c>
      <c r="D1809" t="str">
        <f>TEXT(Table1[[#This Row],[Order Date]], "mmmm")</f>
        <v>March</v>
      </c>
      <c r="E1809" s="16">
        <f>Table1[[#This Row],[Order Quantity]]*Table1[[#This Row],[Unit Price]]</f>
        <v>90419.849999999991</v>
      </c>
      <c r="F1809">
        <v>67</v>
      </c>
      <c r="G1809" s="16">
        <v>1349.55</v>
      </c>
      <c r="H1809" t="s">
        <v>464</v>
      </c>
      <c r="I1809" t="s">
        <v>1261</v>
      </c>
      <c r="J1809" t="s">
        <v>23</v>
      </c>
      <c r="K1809" t="s">
        <v>15</v>
      </c>
    </row>
    <row r="1810" spans="1:11" x14ac:dyDescent="0.45">
      <c r="A1810">
        <v>8004</v>
      </c>
      <c r="B1810" s="15">
        <v>44009</v>
      </c>
      <c r="C1810" t="str">
        <f>TEXT(Table1[[#This Row],[Order Date]], "yyyy")</f>
        <v>2020</v>
      </c>
      <c r="D1810" t="str">
        <f>TEXT(Table1[[#This Row],[Order Date]], "mmmm")</f>
        <v>June</v>
      </c>
      <c r="E1810" s="16">
        <f>Table1[[#This Row],[Order Quantity]]*Table1[[#This Row],[Unit Price]]</f>
        <v>65820.479999999996</v>
      </c>
      <c r="F1810">
        <v>96</v>
      </c>
      <c r="G1810" s="16">
        <v>685.63</v>
      </c>
      <c r="H1810" t="s">
        <v>8</v>
      </c>
      <c r="I1810" t="s">
        <v>1262</v>
      </c>
      <c r="J1810" t="s">
        <v>10</v>
      </c>
      <c r="K1810" t="s">
        <v>17</v>
      </c>
    </row>
    <row r="1811" spans="1:11" x14ac:dyDescent="0.45">
      <c r="A1811">
        <v>8005</v>
      </c>
      <c r="B1811" s="15">
        <v>44052</v>
      </c>
      <c r="C1811" t="str">
        <f>TEXT(Table1[[#This Row],[Order Date]], "yyyy")</f>
        <v>2020</v>
      </c>
      <c r="D1811" t="str">
        <f>TEXT(Table1[[#This Row],[Order Date]], "mmmm")</f>
        <v>August</v>
      </c>
      <c r="E1811" s="16">
        <f>Table1[[#This Row],[Order Quantity]]*Table1[[#This Row],[Unit Price]]</f>
        <v>3680.7499999999995</v>
      </c>
      <c r="F1811">
        <v>25</v>
      </c>
      <c r="G1811" s="16">
        <v>147.22999999999999</v>
      </c>
      <c r="H1811" t="s">
        <v>8</v>
      </c>
      <c r="I1811" t="s">
        <v>1263</v>
      </c>
      <c r="J1811" t="s">
        <v>10</v>
      </c>
      <c r="K1811" t="s">
        <v>11</v>
      </c>
    </row>
    <row r="1812" spans="1:11" x14ac:dyDescent="0.45">
      <c r="A1812">
        <v>8006</v>
      </c>
      <c r="B1812" s="15">
        <v>44190</v>
      </c>
      <c r="C1812" t="str">
        <f>TEXT(Table1[[#This Row],[Order Date]], "yyyy")</f>
        <v>2020</v>
      </c>
      <c r="D1812" t="str">
        <f>TEXT(Table1[[#This Row],[Order Date]], "mmmm")</f>
        <v>December</v>
      </c>
      <c r="E1812" s="16">
        <f>Table1[[#This Row],[Order Quantity]]*Table1[[#This Row],[Unit Price]]</f>
        <v>21495.75</v>
      </c>
      <c r="F1812">
        <v>15</v>
      </c>
      <c r="G1812" s="16">
        <v>1433.05</v>
      </c>
      <c r="H1812" t="s">
        <v>464</v>
      </c>
      <c r="I1812" t="s">
        <v>1264</v>
      </c>
      <c r="J1812" t="s">
        <v>13</v>
      </c>
      <c r="K1812" t="s">
        <v>17</v>
      </c>
    </row>
    <row r="1813" spans="1:11" x14ac:dyDescent="0.45">
      <c r="A1813">
        <v>8007</v>
      </c>
      <c r="B1813" s="15">
        <v>44164</v>
      </c>
      <c r="C1813" t="str">
        <f>TEXT(Table1[[#This Row],[Order Date]], "yyyy")</f>
        <v>2020</v>
      </c>
      <c r="D1813" t="str">
        <f>TEXT(Table1[[#This Row],[Order Date]], "mmmm")</f>
        <v>November</v>
      </c>
      <c r="E1813" s="16">
        <f>Table1[[#This Row],[Order Quantity]]*Table1[[#This Row],[Unit Price]]</f>
        <v>69361.039999999994</v>
      </c>
      <c r="F1813">
        <v>56</v>
      </c>
      <c r="G1813" s="16">
        <v>1238.5899999999999</v>
      </c>
      <c r="H1813" t="s">
        <v>464</v>
      </c>
      <c r="I1813" t="s">
        <v>1265</v>
      </c>
      <c r="J1813" t="s">
        <v>23</v>
      </c>
      <c r="K1813" t="s">
        <v>11</v>
      </c>
    </row>
    <row r="1814" spans="1:11" x14ac:dyDescent="0.45">
      <c r="A1814">
        <v>8008</v>
      </c>
      <c r="B1814" s="15">
        <v>44010</v>
      </c>
      <c r="C1814" t="str">
        <f>TEXT(Table1[[#This Row],[Order Date]], "yyyy")</f>
        <v>2020</v>
      </c>
      <c r="D1814" t="str">
        <f>TEXT(Table1[[#This Row],[Order Date]], "mmmm")</f>
        <v>June</v>
      </c>
      <c r="E1814" s="16">
        <f>Table1[[#This Row],[Order Quantity]]*Table1[[#This Row],[Unit Price]]</f>
        <v>22260.3</v>
      </c>
      <c r="F1814">
        <v>15</v>
      </c>
      <c r="G1814" s="16">
        <v>1484.02</v>
      </c>
      <c r="H1814" t="s">
        <v>8</v>
      </c>
      <c r="I1814" t="s">
        <v>1266</v>
      </c>
      <c r="J1814" t="s">
        <v>23</v>
      </c>
      <c r="K1814" t="s">
        <v>17</v>
      </c>
    </row>
    <row r="1815" spans="1:11" x14ac:dyDescent="0.45">
      <c r="A1815">
        <v>8009</v>
      </c>
      <c r="B1815" s="15">
        <v>43971</v>
      </c>
      <c r="C1815" t="str">
        <f>TEXT(Table1[[#This Row],[Order Date]], "yyyy")</f>
        <v>2020</v>
      </c>
      <c r="D1815" t="str">
        <f>TEXT(Table1[[#This Row],[Order Date]], "mmmm")</f>
        <v>May</v>
      </c>
      <c r="E1815" s="16">
        <f>Table1[[#This Row],[Order Quantity]]*Table1[[#This Row],[Unit Price]]</f>
        <v>75666.510000000009</v>
      </c>
      <c r="F1815">
        <v>53</v>
      </c>
      <c r="G1815" s="16">
        <v>1427.67</v>
      </c>
      <c r="H1815" t="s">
        <v>25</v>
      </c>
      <c r="I1815" t="s">
        <v>1267</v>
      </c>
      <c r="J1815" t="s">
        <v>20</v>
      </c>
      <c r="K1815" t="s">
        <v>17</v>
      </c>
    </row>
    <row r="1816" spans="1:11" x14ac:dyDescent="0.45">
      <c r="A1816">
        <v>8010</v>
      </c>
      <c r="B1816" s="15">
        <v>43994</v>
      </c>
      <c r="C1816" t="str">
        <f>TEXT(Table1[[#This Row],[Order Date]], "yyyy")</f>
        <v>2020</v>
      </c>
      <c r="D1816" t="str">
        <f>TEXT(Table1[[#This Row],[Order Date]], "mmmm")</f>
        <v>June</v>
      </c>
      <c r="E1816" s="16">
        <f>Table1[[#This Row],[Order Quantity]]*Table1[[#This Row],[Unit Price]]</f>
        <v>23901.66</v>
      </c>
      <c r="F1816">
        <v>34</v>
      </c>
      <c r="G1816" s="16">
        <v>702.99</v>
      </c>
      <c r="H1816" t="s">
        <v>464</v>
      </c>
      <c r="I1816" t="s">
        <v>1268</v>
      </c>
      <c r="J1816" t="s">
        <v>13</v>
      </c>
      <c r="K1816" t="s">
        <v>17</v>
      </c>
    </row>
    <row r="1817" spans="1:11" x14ac:dyDescent="0.45">
      <c r="A1817">
        <v>8011</v>
      </c>
      <c r="B1817" s="15">
        <v>43908</v>
      </c>
      <c r="C1817" t="str">
        <f>TEXT(Table1[[#This Row],[Order Date]], "yyyy")</f>
        <v>2020</v>
      </c>
      <c r="D1817" t="str">
        <f>TEXT(Table1[[#This Row],[Order Date]], "mmmm")</f>
        <v>March</v>
      </c>
      <c r="E1817" s="16">
        <f>Table1[[#This Row],[Order Quantity]]*Table1[[#This Row],[Unit Price]]</f>
        <v>13240.529999999999</v>
      </c>
      <c r="F1817">
        <v>27</v>
      </c>
      <c r="G1817" s="16">
        <v>490.39</v>
      </c>
      <c r="H1817" t="s">
        <v>464</v>
      </c>
      <c r="I1817" t="s">
        <v>1269</v>
      </c>
      <c r="J1817" t="s">
        <v>20</v>
      </c>
      <c r="K1817" t="s">
        <v>11</v>
      </c>
    </row>
    <row r="1818" spans="1:11" x14ac:dyDescent="0.45">
      <c r="A1818">
        <v>8012</v>
      </c>
      <c r="B1818" s="15">
        <v>43937</v>
      </c>
      <c r="C1818" t="str">
        <f>TEXT(Table1[[#This Row],[Order Date]], "yyyy")</f>
        <v>2020</v>
      </c>
      <c r="D1818" t="str">
        <f>TEXT(Table1[[#This Row],[Order Date]], "mmmm")</f>
        <v>April</v>
      </c>
      <c r="E1818" s="16">
        <f>Table1[[#This Row],[Order Quantity]]*Table1[[#This Row],[Unit Price]]</f>
        <v>58923.6</v>
      </c>
      <c r="F1818">
        <v>60</v>
      </c>
      <c r="G1818" s="16">
        <v>982.06</v>
      </c>
      <c r="H1818" t="s">
        <v>464</v>
      </c>
      <c r="I1818" t="s">
        <v>1270</v>
      </c>
      <c r="J1818" t="s">
        <v>13</v>
      </c>
      <c r="K1818" t="s">
        <v>15</v>
      </c>
    </row>
    <row r="1819" spans="1:11" x14ac:dyDescent="0.45">
      <c r="A1819">
        <v>8013</v>
      </c>
      <c r="B1819" s="15">
        <v>44144</v>
      </c>
      <c r="C1819" t="str">
        <f>TEXT(Table1[[#This Row],[Order Date]], "yyyy")</f>
        <v>2020</v>
      </c>
      <c r="D1819" t="str">
        <f>TEXT(Table1[[#This Row],[Order Date]], "mmmm")</f>
        <v>November</v>
      </c>
      <c r="E1819" s="16">
        <f>Table1[[#This Row],[Order Quantity]]*Table1[[#This Row],[Unit Price]]</f>
        <v>13109.8</v>
      </c>
      <c r="F1819">
        <v>44</v>
      </c>
      <c r="G1819" s="16">
        <v>297.95</v>
      </c>
      <c r="H1819" t="s">
        <v>8</v>
      </c>
      <c r="I1819" t="s">
        <v>1271</v>
      </c>
      <c r="J1819" t="s">
        <v>23</v>
      </c>
      <c r="K1819" t="s">
        <v>11</v>
      </c>
    </row>
    <row r="1820" spans="1:11" x14ac:dyDescent="0.45">
      <c r="A1820">
        <v>8014</v>
      </c>
      <c r="B1820" s="15">
        <v>44199</v>
      </c>
      <c r="C1820" t="str">
        <f>TEXT(Table1[[#This Row],[Order Date]], "yyyy")</f>
        <v>2021</v>
      </c>
      <c r="D1820" t="str">
        <f>TEXT(Table1[[#This Row],[Order Date]], "mmmm")</f>
        <v>January</v>
      </c>
      <c r="E1820" s="16">
        <f>Table1[[#This Row],[Order Quantity]]*Table1[[#This Row],[Unit Price]]</f>
        <v>17288.16</v>
      </c>
      <c r="F1820">
        <v>12</v>
      </c>
      <c r="G1820" s="16">
        <v>1440.68</v>
      </c>
      <c r="H1820" t="s">
        <v>8</v>
      </c>
      <c r="I1820" t="s">
        <v>1272</v>
      </c>
      <c r="J1820" t="s">
        <v>23</v>
      </c>
      <c r="K1820" t="s">
        <v>17</v>
      </c>
    </row>
    <row r="1821" spans="1:11" x14ac:dyDescent="0.45">
      <c r="A1821">
        <v>8015</v>
      </c>
      <c r="B1821" s="15">
        <v>43874</v>
      </c>
      <c r="C1821" t="str">
        <f>TEXT(Table1[[#This Row],[Order Date]], "yyyy")</f>
        <v>2020</v>
      </c>
      <c r="D1821" t="str">
        <f>TEXT(Table1[[#This Row],[Order Date]], "mmmm")</f>
        <v>February</v>
      </c>
      <c r="E1821" s="16">
        <f>Table1[[#This Row],[Order Quantity]]*Table1[[#This Row],[Unit Price]]</f>
        <v>61461</v>
      </c>
      <c r="F1821">
        <v>100</v>
      </c>
      <c r="G1821" s="16">
        <v>614.61</v>
      </c>
      <c r="H1821" t="s">
        <v>8</v>
      </c>
      <c r="I1821" t="s">
        <v>1273</v>
      </c>
      <c r="J1821" t="s">
        <v>23</v>
      </c>
      <c r="K1821" t="s">
        <v>15</v>
      </c>
    </row>
    <row r="1822" spans="1:11" x14ac:dyDescent="0.45">
      <c r="A1822">
        <v>8016</v>
      </c>
      <c r="B1822" s="15">
        <v>44133</v>
      </c>
      <c r="C1822" t="str">
        <f>TEXT(Table1[[#This Row],[Order Date]], "yyyy")</f>
        <v>2020</v>
      </c>
      <c r="D1822" t="str">
        <f>TEXT(Table1[[#This Row],[Order Date]], "mmmm")</f>
        <v>October</v>
      </c>
      <c r="E1822" s="16">
        <f>Table1[[#This Row],[Order Quantity]]*Table1[[#This Row],[Unit Price]]</f>
        <v>51844.759999999995</v>
      </c>
      <c r="F1822">
        <v>47</v>
      </c>
      <c r="G1822" s="16">
        <v>1103.08</v>
      </c>
      <c r="H1822" t="s">
        <v>464</v>
      </c>
      <c r="I1822" t="s">
        <v>1274</v>
      </c>
      <c r="J1822" t="s">
        <v>13</v>
      </c>
      <c r="K1822" t="s">
        <v>11</v>
      </c>
    </row>
    <row r="1823" spans="1:11" x14ac:dyDescent="0.45">
      <c r="A1823">
        <v>8017</v>
      </c>
      <c r="B1823" s="15">
        <v>43897</v>
      </c>
      <c r="C1823" t="str">
        <f>TEXT(Table1[[#This Row],[Order Date]], "yyyy")</f>
        <v>2020</v>
      </c>
      <c r="D1823" t="str">
        <f>TEXT(Table1[[#This Row],[Order Date]], "mmmm")</f>
        <v>March</v>
      </c>
      <c r="E1823" s="16">
        <f>Table1[[#This Row],[Order Quantity]]*Table1[[#This Row],[Unit Price]]</f>
        <v>7826.7</v>
      </c>
      <c r="F1823">
        <v>30</v>
      </c>
      <c r="G1823" s="16">
        <v>260.89</v>
      </c>
      <c r="H1823" t="s">
        <v>8</v>
      </c>
      <c r="I1823" t="s">
        <v>1275</v>
      </c>
      <c r="J1823" t="s">
        <v>10</v>
      </c>
      <c r="K1823" t="s">
        <v>11</v>
      </c>
    </row>
    <row r="1824" spans="1:11" x14ac:dyDescent="0.45">
      <c r="A1824">
        <v>8018</v>
      </c>
      <c r="B1824" s="15">
        <v>44113</v>
      </c>
      <c r="C1824" t="str">
        <f>TEXT(Table1[[#This Row],[Order Date]], "yyyy")</f>
        <v>2020</v>
      </c>
      <c r="D1824" t="str">
        <f>TEXT(Table1[[#This Row],[Order Date]], "mmmm")</f>
        <v>October</v>
      </c>
      <c r="E1824" s="16">
        <f>Table1[[#This Row],[Order Quantity]]*Table1[[#This Row],[Unit Price]]</f>
        <v>71817.2</v>
      </c>
      <c r="F1824">
        <v>91</v>
      </c>
      <c r="G1824" s="16">
        <v>789.2</v>
      </c>
      <c r="H1824" t="s">
        <v>464</v>
      </c>
      <c r="I1824" t="s">
        <v>1276</v>
      </c>
      <c r="J1824" t="s">
        <v>20</v>
      </c>
      <c r="K1824" t="s">
        <v>11</v>
      </c>
    </row>
    <row r="1825" spans="1:11" x14ac:dyDescent="0.45">
      <c r="A1825">
        <v>8019</v>
      </c>
      <c r="B1825" s="15">
        <v>43983</v>
      </c>
      <c r="C1825" t="str">
        <f>TEXT(Table1[[#This Row],[Order Date]], "yyyy")</f>
        <v>2020</v>
      </c>
      <c r="D1825" t="str">
        <f>TEXT(Table1[[#This Row],[Order Date]], "mmmm")</f>
        <v>June</v>
      </c>
      <c r="E1825" s="16">
        <f>Table1[[#This Row],[Order Quantity]]*Table1[[#This Row],[Unit Price]]</f>
        <v>23803.84</v>
      </c>
      <c r="F1825">
        <v>32</v>
      </c>
      <c r="G1825" s="16">
        <v>743.87</v>
      </c>
      <c r="H1825" t="s">
        <v>25</v>
      </c>
      <c r="I1825" t="s">
        <v>1277</v>
      </c>
      <c r="J1825" t="s">
        <v>10</v>
      </c>
      <c r="K1825" t="s">
        <v>15</v>
      </c>
    </row>
    <row r="1826" spans="1:11" x14ac:dyDescent="0.45">
      <c r="A1826">
        <v>8020</v>
      </c>
      <c r="B1826" s="15">
        <v>44131</v>
      </c>
      <c r="C1826" t="str">
        <f>TEXT(Table1[[#This Row],[Order Date]], "yyyy")</f>
        <v>2020</v>
      </c>
      <c r="D1826" t="str">
        <f>TEXT(Table1[[#This Row],[Order Date]], "mmmm")</f>
        <v>October</v>
      </c>
      <c r="E1826" s="16">
        <f>Table1[[#This Row],[Order Quantity]]*Table1[[#This Row],[Unit Price]]</f>
        <v>29815.39</v>
      </c>
      <c r="F1826">
        <v>47</v>
      </c>
      <c r="G1826" s="16">
        <v>634.37</v>
      </c>
      <c r="H1826" t="s">
        <v>464</v>
      </c>
      <c r="I1826" t="s">
        <v>1278</v>
      </c>
      <c r="J1826" t="s">
        <v>10</v>
      </c>
      <c r="K1826" t="s">
        <v>17</v>
      </c>
    </row>
    <row r="1827" spans="1:11" x14ac:dyDescent="0.45">
      <c r="A1827">
        <v>8021</v>
      </c>
      <c r="B1827" s="15">
        <v>44176</v>
      </c>
      <c r="C1827" t="str">
        <f>TEXT(Table1[[#This Row],[Order Date]], "yyyy")</f>
        <v>2020</v>
      </c>
      <c r="D1827" t="str">
        <f>TEXT(Table1[[#This Row],[Order Date]], "mmmm")</f>
        <v>December</v>
      </c>
      <c r="E1827" s="16">
        <f>Table1[[#This Row],[Order Quantity]]*Table1[[#This Row],[Unit Price]]</f>
        <v>5383.12</v>
      </c>
      <c r="F1827">
        <v>4</v>
      </c>
      <c r="G1827" s="16">
        <v>1345.78</v>
      </c>
      <c r="H1827" t="s">
        <v>25</v>
      </c>
      <c r="I1827" t="s">
        <v>1279</v>
      </c>
      <c r="J1827" t="s">
        <v>10</v>
      </c>
      <c r="K1827" t="s">
        <v>15</v>
      </c>
    </row>
    <row r="1828" spans="1:11" x14ac:dyDescent="0.45">
      <c r="A1828">
        <v>8022</v>
      </c>
      <c r="B1828" s="15">
        <v>44170</v>
      </c>
      <c r="C1828" t="str">
        <f>TEXT(Table1[[#This Row],[Order Date]], "yyyy")</f>
        <v>2020</v>
      </c>
      <c r="D1828" t="str">
        <f>TEXT(Table1[[#This Row],[Order Date]], "mmmm")</f>
        <v>December</v>
      </c>
      <c r="E1828" s="16">
        <f>Table1[[#This Row],[Order Quantity]]*Table1[[#This Row],[Unit Price]]</f>
        <v>2779.38</v>
      </c>
      <c r="F1828">
        <v>18</v>
      </c>
      <c r="G1828" s="16">
        <v>154.41</v>
      </c>
      <c r="H1828" t="s">
        <v>464</v>
      </c>
      <c r="I1828" t="s">
        <v>1280</v>
      </c>
      <c r="J1828" t="s">
        <v>10</v>
      </c>
      <c r="K1828" t="s">
        <v>11</v>
      </c>
    </row>
    <row r="1829" spans="1:11" x14ac:dyDescent="0.45">
      <c r="A1829">
        <v>8023</v>
      </c>
      <c r="B1829" s="15">
        <v>44104</v>
      </c>
      <c r="C1829" t="str">
        <f>TEXT(Table1[[#This Row],[Order Date]], "yyyy")</f>
        <v>2020</v>
      </c>
      <c r="D1829" t="str">
        <f>TEXT(Table1[[#This Row],[Order Date]], "mmmm")</f>
        <v>September</v>
      </c>
      <c r="E1829" s="16">
        <f>Table1[[#This Row],[Order Quantity]]*Table1[[#This Row],[Unit Price]]</f>
        <v>3293.84</v>
      </c>
      <c r="F1829">
        <v>44</v>
      </c>
      <c r="G1829" s="16">
        <v>74.86</v>
      </c>
      <c r="H1829" t="s">
        <v>25</v>
      </c>
      <c r="I1829" t="s">
        <v>1281</v>
      </c>
      <c r="J1829" t="s">
        <v>13</v>
      </c>
      <c r="K1829" t="s">
        <v>11</v>
      </c>
    </row>
    <row r="1830" spans="1:11" x14ac:dyDescent="0.45">
      <c r="A1830">
        <v>8024</v>
      </c>
      <c r="B1830" s="15">
        <v>43937</v>
      </c>
      <c r="C1830" t="str">
        <f>TEXT(Table1[[#This Row],[Order Date]], "yyyy")</f>
        <v>2020</v>
      </c>
      <c r="D1830" t="str">
        <f>TEXT(Table1[[#This Row],[Order Date]], "mmmm")</f>
        <v>April</v>
      </c>
      <c r="E1830" s="16">
        <f>Table1[[#This Row],[Order Quantity]]*Table1[[#This Row],[Unit Price]]</f>
        <v>113747.04000000001</v>
      </c>
      <c r="F1830">
        <v>86</v>
      </c>
      <c r="G1830" s="16">
        <v>1322.64</v>
      </c>
      <c r="H1830" t="s">
        <v>464</v>
      </c>
      <c r="I1830" t="s">
        <v>1282</v>
      </c>
      <c r="J1830" t="s">
        <v>20</v>
      </c>
      <c r="K1830" t="s">
        <v>15</v>
      </c>
    </row>
    <row r="1831" spans="1:11" x14ac:dyDescent="0.45">
      <c r="A1831">
        <v>8025</v>
      </c>
      <c r="B1831" s="15">
        <v>43918</v>
      </c>
      <c r="C1831" t="str">
        <f>TEXT(Table1[[#This Row],[Order Date]], "yyyy")</f>
        <v>2020</v>
      </c>
      <c r="D1831" t="str">
        <f>TEXT(Table1[[#This Row],[Order Date]], "mmmm")</f>
        <v>March</v>
      </c>
      <c r="E1831" s="16">
        <f>Table1[[#This Row],[Order Quantity]]*Table1[[#This Row],[Unit Price]]</f>
        <v>13187.57</v>
      </c>
      <c r="F1831">
        <v>11</v>
      </c>
      <c r="G1831" s="16">
        <v>1198.8699999999999</v>
      </c>
      <c r="H1831" t="s">
        <v>8</v>
      </c>
      <c r="I1831" t="s">
        <v>1283</v>
      </c>
      <c r="J1831" t="s">
        <v>10</v>
      </c>
      <c r="K1831" t="s">
        <v>15</v>
      </c>
    </row>
    <row r="1832" spans="1:11" x14ac:dyDescent="0.45">
      <c r="A1832">
        <v>8026</v>
      </c>
      <c r="B1832" s="15">
        <v>44195</v>
      </c>
      <c r="C1832" t="str">
        <f>TEXT(Table1[[#This Row],[Order Date]], "yyyy")</f>
        <v>2020</v>
      </c>
      <c r="D1832" t="str">
        <f>TEXT(Table1[[#This Row],[Order Date]], "mmmm")</f>
        <v>December</v>
      </c>
      <c r="E1832" s="16">
        <f>Table1[[#This Row],[Order Quantity]]*Table1[[#This Row],[Unit Price]]</f>
        <v>34242.32</v>
      </c>
      <c r="F1832">
        <v>94</v>
      </c>
      <c r="G1832" s="16">
        <v>364.28</v>
      </c>
      <c r="H1832" t="s">
        <v>464</v>
      </c>
      <c r="I1832" t="s">
        <v>1284</v>
      </c>
      <c r="J1832" t="s">
        <v>10</v>
      </c>
      <c r="K1832" t="s">
        <v>17</v>
      </c>
    </row>
    <row r="1833" spans="1:11" x14ac:dyDescent="0.45">
      <c r="A1833">
        <v>8027</v>
      </c>
      <c r="B1833" s="15">
        <v>44001</v>
      </c>
      <c r="C1833" t="str">
        <f>TEXT(Table1[[#This Row],[Order Date]], "yyyy")</f>
        <v>2020</v>
      </c>
      <c r="D1833" t="str">
        <f>TEXT(Table1[[#This Row],[Order Date]], "mmmm")</f>
        <v>June</v>
      </c>
      <c r="E1833" s="16">
        <f>Table1[[#This Row],[Order Quantity]]*Table1[[#This Row],[Unit Price]]</f>
        <v>4833.01</v>
      </c>
      <c r="F1833">
        <v>91</v>
      </c>
      <c r="G1833" s="16">
        <v>53.11</v>
      </c>
      <c r="H1833" t="s">
        <v>8</v>
      </c>
      <c r="I1833" t="s">
        <v>1285</v>
      </c>
      <c r="J1833" t="s">
        <v>13</v>
      </c>
      <c r="K1833" t="s">
        <v>17</v>
      </c>
    </row>
    <row r="1834" spans="1:11" x14ac:dyDescent="0.45">
      <c r="A1834">
        <v>8028</v>
      </c>
      <c r="B1834" s="15">
        <v>44110</v>
      </c>
      <c r="C1834" t="str">
        <f>TEXT(Table1[[#This Row],[Order Date]], "yyyy")</f>
        <v>2020</v>
      </c>
      <c r="D1834" t="str">
        <f>TEXT(Table1[[#This Row],[Order Date]], "mmmm")</f>
        <v>October</v>
      </c>
      <c r="E1834" s="16">
        <f>Table1[[#This Row],[Order Quantity]]*Table1[[#This Row],[Unit Price]]</f>
        <v>33788.770000000004</v>
      </c>
      <c r="F1834">
        <v>37</v>
      </c>
      <c r="G1834" s="16">
        <v>913.21</v>
      </c>
      <c r="H1834" t="s">
        <v>25</v>
      </c>
      <c r="I1834" t="s">
        <v>1286</v>
      </c>
      <c r="J1834" t="s">
        <v>23</v>
      </c>
      <c r="K1834" t="s">
        <v>11</v>
      </c>
    </row>
    <row r="1835" spans="1:11" x14ac:dyDescent="0.45">
      <c r="A1835">
        <v>8029</v>
      </c>
      <c r="B1835" s="15">
        <v>44185</v>
      </c>
      <c r="C1835" t="str">
        <f>TEXT(Table1[[#This Row],[Order Date]], "yyyy")</f>
        <v>2020</v>
      </c>
      <c r="D1835" t="str">
        <f>TEXT(Table1[[#This Row],[Order Date]], "mmmm")</f>
        <v>December</v>
      </c>
      <c r="E1835" s="16">
        <f>Table1[[#This Row],[Order Quantity]]*Table1[[#This Row],[Unit Price]]</f>
        <v>25105.41</v>
      </c>
      <c r="F1835">
        <v>99</v>
      </c>
      <c r="G1835" s="16">
        <v>253.59</v>
      </c>
      <c r="H1835" t="s">
        <v>25</v>
      </c>
      <c r="I1835" t="s">
        <v>1287</v>
      </c>
      <c r="J1835" t="s">
        <v>20</v>
      </c>
      <c r="K1835" t="s">
        <v>17</v>
      </c>
    </row>
    <row r="1836" spans="1:11" x14ac:dyDescent="0.45">
      <c r="A1836">
        <v>8030</v>
      </c>
      <c r="B1836" s="15">
        <v>44026</v>
      </c>
      <c r="C1836" t="str">
        <f>TEXT(Table1[[#This Row],[Order Date]], "yyyy")</f>
        <v>2020</v>
      </c>
      <c r="D1836" t="str">
        <f>TEXT(Table1[[#This Row],[Order Date]], "mmmm")</f>
        <v>July</v>
      </c>
      <c r="E1836" s="16">
        <f>Table1[[#This Row],[Order Quantity]]*Table1[[#This Row],[Unit Price]]</f>
        <v>103323.9</v>
      </c>
      <c r="F1836">
        <v>95</v>
      </c>
      <c r="G1836" s="16">
        <v>1087.6199999999999</v>
      </c>
      <c r="H1836" t="s">
        <v>25</v>
      </c>
      <c r="I1836" t="s">
        <v>1288</v>
      </c>
      <c r="J1836" t="s">
        <v>10</v>
      </c>
      <c r="K1836" t="s">
        <v>11</v>
      </c>
    </row>
    <row r="1837" spans="1:11" x14ac:dyDescent="0.45">
      <c r="A1837">
        <v>8031</v>
      </c>
      <c r="B1837" s="15">
        <v>44017</v>
      </c>
      <c r="C1837" t="str">
        <f>TEXT(Table1[[#This Row],[Order Date]], "yyyy")</f>
        <v>2020</v>
      </c>
      <c r="D1837" t="str">
        <f>TEXT(Table1[[#This Row],[Order Date]], "mmmm")</f>
        <v>July</v>
      </c>
      <c r="E1837" s="16">
        <f>Table1[[#This Row],[Order Quantity]]*Table1[[#This Row],[Unit Price]]</f>
        <v>32277.420000000002</v>
      </c>
      <c r="F1837">
        <v>27</v>
      </c>
      <c r="G1837" s="16">
        <v>1195.46</v>
      </c>
      <c r="H1837" t="s">
        <v>25</v>
      </c>
      <c r="I1837" t="s">
        <v>1289</v>
      </c>
      <c r="J1837" t="s">
        <v>10</v>
      </c>
      <c r="K1837" t="s">
        <v>17</v>
      </c>
    </row>
    <row r="1838" spans="1:11" x14ac:dyDescent="0.45">
      <c r="A1838">
        <v>8032</v>
      </c>
      <c r="B1838" s="15">
        <v>43933</v>
      </c>
      <c r="C1838" t="str">
        <f>TEXT(Table1[[#This Row],[Order Date]], "yyyy")</f>
        <v>2020</v>
      </c>
      <c r="D1838" t="str">
        <f>TEXT(Table1[[#This Row],[Order Date]], "mmmm")</f>
        <v>April</v>
      </c>
      <c r="E1838" s="16">
        <f>Table1[[#This Row],[Order Quantity]]*Table1[[#This Row],[Unit Price]]</f>
        <v>57507.199999999997</v>
      </c>
      <c r="F1838">
        <v>64</v>
      </c>
      <c r="G1838" s="16">
        <v>898.55</v>
      </c>
      <c r="H1838" t="s">
        <v>464</v>
      </c>
      <c r="I1838" t="s">
        <v>1290</v>
      </c>
      <c r="J1838" t="s">
        <v>20</v>
      </c>
      <c r="K1838" t="s">
        <v>15</v>
      </c>
    </row>
    <row r="1839" spans="1:11" x14ac:dyDescent="0.45">
      <c r="A1839">
        <v>8033</v>
      </c>
      <c r="B1839" s="15">
        <v>44158</v>
      </c>
      <c r="C1839" t="str">
        <f>TEXT(Table1[[#This Row],[Order Date]], "yyyy")</f>
        <v>2020</v>
      </c>
      <c r="D1839" t="str">
        <f>TEXT(Table1[[#This Row],[Order Date]], "mmmm")</f>
        <v>November</v>
      </c>
      <c r="E1839" s="16">
        <f>Table1[[#This Row],[Order Quantity]]*Table1[[#This Row],[Unit Price]]</f>
        <v>9639.6299999999992</v>
      </c>
      <c r="F1839">
        <v>13</v>
      </c>
      <c r="G1839" s="16">
        <v>741.51</v>
      </c>
      <c r="H1839" t="s">
        <v>464</v>
      </c>
      <c r="I1839" t="s">
        <v>1291</v>
      </c>
      <c r="J1839" t="s">
        <v>13</v>
      </c>
      <c r="K1839" t="s">
        <v>11</v>
      </c>
    </row>
    <row r="1840" spans="1:11" x14ac:dyDescent="0.45">
      <c r="A1840">
        <v>8034</v>
      </c>
      <c r="B1840" s="15">
        <v>43842</v>
      </c>
      <c r="C1840" t="str">
        <f>TEXT(Table1[[#This Row],[Order Date]], "yyyy")</f>
        <v>2020</v>
      </c>
      <c r="D1840" t="str">
        <f>TEXT(Table1[[#This Row],[Order Date]], "mmmm")</f>
        <v>January</v>
      </c>
      <c r="E1840" s="16">
        <f>Table1[[#This Row],[Order Quantity]]*Table1[[#This Row],[Unit Price]]</f>
        <v>835.4</v>
      </c>
      <c r="F1840">
        <v>4</v>
      </c>
      <c r="G1840" s="16">
        <v>208.85</v>
      </c>
      <c r="H1840" t="s">
        <v>25</v>
      </c>
      <c r="I1840" t="s">
        <v>1292</v>
      </c>
      <c r="J1840" t="s">
        <v>23</v>
      </c>
      <c r="K1840" t="s">
        <v>11</v>
      </c>
    </row>
    <row r="1841" spans="1:11" x14ac:dyDescent="0.45">
      <c r="A1841">
        <v>8035</v>
      </c>
      <c r="B1841" s="15">
        <v>44196</v>
      </c>
      <c r="C1841" t="str">
        <f>TEXT(Table1[[#This Row],[Order Date]], "yyyy")</f>
        <v>2020</v>
      </c>
      <c r="D1841" t="str">
        <f>TEXT(Table1[[#This Row],[Order Date]], "mmmm")</f>
        <v>December</v>
      </c>
      <c r="E1841" s="16">
        <f>Table1[[#This Row],[Order Quantity]]*Table1[[#This Row],[Unit Price]]</f>
        <v>80634.100000000006</v>
      </c>
      <c r="F1841">
        <v>74</v>
      </c>
      <c r="G1841" s="16">
        <v>1089.6500000000001</v>
      </c>
      <c r="H1841" t="s">
        <v>25</v>
      </c>
      <c r="I1841" t="s">
        <v>1293</v>
      </c>
      <c r="J1841" t="s">
        <v>23</v>
      </c>
      <c r="K1841" t="s">
        <v>15</v>
      </c>
    </row>
    <row r="1842" spans="1:11" x14ac:dyDescent="0.45">
      <c r="A1842">
        <v>8036</v>
      </c>
      <c r="B1842" s="15">
        <v>43874</v>
      </c>
      <c r="C1842" t="str">
        <f>TEXT(Table1[[#This Row],[Order Date]], "yyyy")</f>
        <v>2020</v>
      </c>
      <c r="D1842" t="str">
        <f>TEXT(Table1[[#This Row],[Order Date]], "mmmm")</f>
        <v>February</v>
      </c>
      <c r="E1842" s="16">
        <f>Table1[[#This Row],[Order Quantity]]*Table1[[#This Row],[Unit Price]]</f>
        <v>50064.87</v>
      </c>
      <c r="F1842">
        <v>47</v>
      </c>
      <c r="G1842" s="16">
        <v>1065.21</v>
      </c>
      <c r="H1842" t="s">
        <v>25</v>
      </c>
      <c r="I1842" t="s">
        <v>1294</v>
      </c>
      <c r="J1842" t="s">
        <v>13</v>
      </c>
      <c r="K1842" t="s">
        <v>15</v>
      </c>
    </row>
    <row r="1843" spans="1:11" x14ac:dyDescent="0.45">
      <c r="A1843">
        <v>8037</v>
      </c>
      <c r="B1843" s="15">
        <v>43947</v>
      </c>
      <c r="C1843" t="str">
        <f>TEXT(Table1[[#This Row],[Order Date]], "yyyy")</f>
        <v>2020</v>
      </c>
      <c r="D1843" t="str">
        <f>TEXT(Table1[[#This Row],[Order Date]], "mmmm")</f>
        <v>April</v>
      </c>
      <c r="E1843" s="16">
        <f>Table1[[#This Row],[Order Quantity]]*Table1[[#This Row],[Unit Price]]</f>
        <v>55472.899999999994</v>
      </c>
      <c r="F1843">
        <v>98</v>
      </c>
      <c r="G1843" s="16">
        <v>566.04999999999995</v>
      </c>
      <c r="H1843" t="s">
        <v>25</v>
      </c>
      <c r="I1843" t="s">
        <v>1295</v>
      </c>
      <c r="J1843" t="s">
        <v>23</v>
      </c>
      <c r="K1843" t="s">
        <v>17</v>
      </c>
    </row>
    <row r="1844" spans="1:11" x14ac:dyDescent="0.45">
      <c r="A1844">
        <v>8038</v>
      </c>
      <c r="B1844" s="15">
        <v>44063</v>
      </c>
      <c r="C1844" t="str">
        <f>TEXT(Table1[[#This Row],[Order Date]], "yyyy")</f>
        <v>2020</v>
      </c>
      <c r="D1844" t="str">
        <f>TEXT(Table1[[#This Row],[Order Date]], "mmmm")</f>
        <v>August</v>
      </c>
      <c r="E1844" s="16">
        <f>Table1[[#This Row],[Order Quantity]]*Table1[[#This Row],[Unit Price]]</f>
        <v>36464.639999999999</v>
      </c>
      <c r="F1844">
        <v>64</v>
      </c>
      <c r="G1844" s="16">
        <v>569.76</v>
      </c>
      <c r="H1844" t="s">
        <v>25</v>
      </c>
      <c r="I1844" t="s">
        <v>1296</v>
      </c>
      <c r="J1844" t="s">
        <v>23</v>
      </c>
      <c r="K1844" t="s">
        <v>11</v>
      </c>
    </row>
    <row r="1845" spans="1:11" x14ac:dyDescent="0.45">
      <c r="A1845">
        <v>8039</v>
      </c>
      <c r="B1845" s="15">
        <v>44178</v>
      </c>
      <c r="C1845" t="str">
        <f>TEXT(Table1[[#This Row],[Order Date]], "yyyy")</f>
        <v>2020</v>
      </c>
      <c r="D1845" t="str">
        <f>TEXT(Table1[[#This Row],[Order Date]], "mmmm")</f>
        <v>December</v>
      </c>
      <c r="E1845" s="16">
        <f>Table1[[#This Row],[Order Quantity]]*Table1[[#This Row],[Unit Price]]</f>
        <v>22116.92</v>
      </c>
      <c r="F1845">
        <v>28</v>
      </c>
      <c r="G1845" s="16">
        <v>789.89</v>
      </c>
      <c r="H1845" t="s">
        <v>25</v>
      </c>
      <c r="I1845" t="s">
        <v>1297</v>
      </c>
      <c r="J1845" t="s">
        <v>13</v>
      </c>
      <c r="K1845" t="s">
        <v>17</v>
      </c>
    </row>
    <row r="1846" spans="1:11" x14ac:dyDescent="0.45">
      <c r="A1846">
        <v>8040</v>
      </c>
      <c r="B1846" s="15">
        <v>43928</v>
      </c>
      <c r="C1846" t="str">
        <f>TEXT(Table1[[#This Row],[Order Date]], "yyyy")</f>
        <v>2020</v>
      </c>
      <c r="D1846" t="str">
        <f>TEXT(Table1[[#This Row],[Order Date]], "mmmm")</f>
        <v>April</v>
      </c>
      <c r="E1846" s="16">
        <f>Table1[[#This Row],[Order Quantity]]*Table1[[#This Row],[Unit Price]]</f>
        <v>134837.1</v>
      </c>
      <c r="F1846">
        <v>90</v>
      </c>
      <c r="G1846" s="16">
        <v>1498.19</v>
      </c>
      <c r="H1846" t="s">
        <v>8</v>
      </c>
      <c r="I1846" t="s">
        <v>1298</v>
      </c>
      <c r="J1846" t="s">
        <v>20</v>
      </c>
      <c r="K1846" t="s">
        <v>17</v>
      </c>
    </row>
    <row r="1847" spans="1:11" x14ac:dyDescent="0.45">
      <c r="A1847">
        <v>8041</v>
      </c>
      <c r="B1847" s="15">
        <v>43937</v>
      </c>
      <c r="C1847" t="str">
        <f>TEXT(Table1[[#This Row],[Order Date]], "yyyy")</f>
        <v>2020</v>
      </c>
      <c r="D1847" t="str">
        <f>TEXT(Table1[[#This Row],[Order Date]], "mmmm")</f>
        <v>April</v>
      </c>
      <c r="E1847" s="16">
        <f>Table1[[#This Row],[Order Quantity]]*Table1[[#This Row],[Unit Price]]</f>
        <v>67391.02</v>
      </c>
      <c r="F1847">
        <v>83</v>
      </c>
      <c r="G1847" s="16">
        <v>811.94</v>
      </c>
      <c r="H1847" t="s">
        <v>8</v>
      </c>
      <c r="I1847" t="s">
        <v>1299</v>
      </c>
      <c r="J1847" t="s">
        <v>23</v>
      </c>
      <c r="K1847" t="s">
        <v>17</v>
      </c>
    </row>
    <row r="1848" spans="1:11" x14ac:dyDescent="0.45">
      <c r="A1848">
        <v>8042</v>
      </c>
      <c r="B1848" s="15">
        <v>44004</v>
      </c>
      <c r="C1848" t="str">
        <f>TEXT(Table1[[#This Row],[Order Date]], "yyyy")</f>
        <v>2020</v>
      </c>
      <c r="D1848" t="str">
        <f>TEXT(Table1[[#This Row],[Order Date]], "mmmm")</f>
        <v>June</v>
      </c>
      <c r="E1848" s="16">
        <f>Table1[[#This Row],[Order Quantity]]*Table1[[#This Row],[Unit Price]]</f>
        <v>1467.92</v>
      </c>
      <c r="F1848">
        <v>2</v>
      </c>
      <c r="G1848" s="16">
        <v>733.96</v>
      </c>
      <c r="H1848" t="s">
        <v>464</v>
      </c>
      <c r="I1848" t="s">
        <v>1300</v>
      </c>
      <c r="J1848" t="s">
        <v>10</v>
      </c>
      <c r="K1848" t="s">
        <v>17</v>
      </c>
    </row>
    <row r="1849" spans="1:11" x14ac:dyDescent="0.45">
      <c r="A1849">
        <v>8043</v>
      </c>
      <c r="B1849" s="15">
        <v>43887</v>
      </c>
      <c r="C1849" t="str">
        <f>TEXT(Table1[[#This Row],[Order Date]], "yyyy")</f>
        <v>2020</v>
      </c>
      <c r="D1849" t="str">
        <f>TEXT(Table1[[#This Row],[Order Date]], "mmmm")</f>
        <v>February</v>
      </c>
      <c r="E1849" s="16">
        <f>Table1[[#This Row],[Order Quantity]]*Table1[[#This Row],[Unit Price]]</f>
        <v>19134.18</v>
      </c>
      <c r="F1849">
        <v>78</v>
      </c>
      <c r="G1849" s="16">
        <v>245.31</v>
      </c>
      <c r="H1849" t="s">
        <v>25</v>
      </c>
      <c r="I1849" t="s">
        <v>1301</v>
      </c>
      <c r="J1849" t="s">
        <v>13</v>
      </c>
      <c r="K1849" t="s">
        <v>17</v>
      </c>
    </row>
    <row r="1850" spans="1:11" x14ac:dyDescent="0.45">
      <c r="A1850">
        <v>8044</v>
      </c>
      <c r="B1850" s="15">
        <v>43870</v>
      </c>
      <c r="C1850" t="str">
        <f>TEXT(Table1[[#This Row],[Order Date]], "yyyy")</f>
        <v>2020</v>
      </c>
      <c r="D1850" t="str">
        <f>TEXT(Table1[[#This Row],[Order Date]], "mmmm")</f>
        <v>February</v>
      </c>
      <c r="E1850" s="16">
        <f>Table1[[#This Row],[Order Quantity]]*Table1[[#This Row],[Unit Price]]</f>
        <v>34300.239999999998</v>
      </c>
      <c r="F1850">
        <v>86</v>
      </c>
      <c r="G1850" s="16">
        <v>398.84</v>
      </c>
      <c r="H1850" t="s">
        <v>25</v>
      </c>
      <c r="I1850" t="s">
        <v>1302</v>
      </c>
      <c r="J1850" t="s">
        <v>20</v>
      </c>
      <c r="K1850" t="s">
        <v>11</v>
      </c>
    </row>
    <row r="1851" spans="1:11" x14ac:dyDescent="0.45">
      <c r="A1851">
        <v>8045</v>
      </c>
      <c r="B1851" s="15">
        <v>44013</v>
      </c>
      <c r="C1851" t="str">
        <f>TEXT(Table1[[#This Row],[Order Date]], "yyyy")</f>
        <v>2020</v>
      </c>
      <c r="D1851" t="str">
        <f>TEXT(Table1[[#This Row],[Order Date]], "mmmm")</f>
        <v>July</v>
      </c>
      <c r="E1851" s="16">
        <f>Table1[[#This Row],[Order Quantity]]*Table1[[#This Row],[Unit Price]]</f>
        <v>10326.959999999999</v>
      </c>
      <c r="F1851">
        <v>42</v>
      </c>
      <c r="G1851" s="16">
        <v>245.88</v>
      </c>
      <c r="H1851" t="s">
        <v>8</v>
      </c>
      <c r="I1851" t="s">
        <v>1303</v>
      </c>
      <c r="J1851" t="s">
        <v>23</v>
      </c>
      <c r="K1851" t="s">
        <v>17</v>
      </c>
    </row>
    <row r="1852" spans="1:11" x14ac:dyDescent="0.45">
      <c r="A1852">
        <v>8046</v>
      </c>
      <c r="B1852" s="15">
        <v>43983</v>
      </c>
      <c r="C1852" t="str">
        <f>TEXT(Table1[[#This Row],[Order Date]], "yyyy")</f>
        <v>2020</v>
      </c>
      <c r="D1852" t="str">
        <f>TEXT(Table1[[#This Row],[Order Date]], "mmmm")</f>
        <v>June</v>
      </c>
      <c r="E1852" s="16">
        <f>Table1[[#This Row],[Order Quantity]]*Table1[[#This Row],[Unit Price]]</f>
        <v>35976.15</v>
      </c>
      <c r="F1852">
        <v>81</v>
      </c>
      <c r="G1852" s="16">
        <v>444.15</v>
      </c>
      <c r="H1852" t="s">
        <v>25</v>
      </c>
      <c r="I1852" t="s">
        <v>1304</v>
      </c>
      <c r="J1852" t="s">
        <v>20</v>
      </c>
      <c r="K1852" t="s">
        <v>11</v>
      </c>
    </row>
    <row r="1853" spans="1:11" x14ac:dyDescent="0.45">
      <c r="A1853">
        <v>8047</v>
      </c>
      <c r="B1853" s="15">
        <v>43864</v>
      </c>
      <c r="C1853" t="str">
        <f>TEXT(Table1[[#This Row],[Order Date]], "yyyy")</f>
        <v>2020</v>
      </c>
      <c r="D1853" t="str">
        <f>TEXT(Table1[[#This Row],[Order Date]], "mmmm")</f>
        <v>February</v>
      </c>
      <c r="E1853" s="16">
        <f>Table1[[#This Row],[Order Quantity]]*Table1[[#This Row],[Unit Price]]</f>
        <v>63846.09</v>
      </c>
      <c r="F1853">
        <v>77</v>
      </c>
      <c r="G1853" s="16">
        <v>829.17</v>
      </c>
      <c r="H1853" t="s">
        <v>8</v>
      </c>
      <c r="I1853" t="s">
        <v>1305</v>
      </c>
      <c r="J1853" t="s">
        <v>23</v>
      </c>
      <c r="K1853" t="s">
        <v>11</v>
      </c>
    </row>
    <row r="1854" spans="1:11" x14ac:dyDescent="0.45">
      <c r="A1854">
        <v>8048</v>
      </c>
      <c r="B1854" s="15">
        <v>44036</v>
      </c>
      <c r="C1854" t="str">
        <f>TEXT(Table1[[#This Row],[Order Date]], "yyyy")</f>
        <v>2020</v>
      </c>
      <c r="D1854" t="str">
        <f>TEXT(Table1[[#This Row],[Order Date]], "mmmm")</f>
        <v>July</v>
      </c>
      <c r="E1854" s="16">
        <f>Table1[[#This Row],[Order Quantity]]*Table1[[#This Row],[Unit Price]]</f>
        <v>5418.1399999999994</v>
      </c>
      <c r="F1854">
        <v>7</v>
      </c>
      <c r="G1854" s="16">
        <v>774.02</v>
      </c>
      <c r="H1854" t="s">
        <v>464</v>
      </c>
      <c r="I1854" t="s">
        <v>1306</v>
      </c>
      <c r="J1854" t="s">
        <v>10</v>
      </c>
      <c r="K1854" t="s">
        <v>17</v>
      </c>
    </row>
    <row r="1855" spans="1:11" x14ac:dyDescent="0.45">
      <c r="A1855">
        <v>8049</v>
      </c>
      <c r="B1855" s="15">
        <v>44056</v>
      </c>
      <c r="C1855" t="str">
        <f>TEXT(Table1[[#This Row],[Order Date]], "yyyy")</f>
        <v>2020</v>
      </c>
      <c r="D1855" t="str">
        <f>TEXT(Table1[[#This Row],[Order Date]], "mmmm")</f>
        <v>August</v>
      </c>
      <c r="E1855" s="16">
        <f>Table1[[#This Row],[Order Quantity]]*Table1[[#This Row],[Unit Price]]</f>
        <v>4043.34</v>
      </c>
      <c r="F1855">
        <v>7</v>
      </c>
      <c r="G1855" s="16">
        <v>577.62</v>
      </c>
      <c r="H1855" t="s">
        <v>464</v>
      </c>
      <c r="I1855" t="s">
        <v>1307</v>
      </c>
      <c r="J1855" t="s">
        <v>23</v>
      </c>
      <c r="K1855" t="s">
        <v>17</v>
      </c>
    </row>
    <row r="1856" spans="1:11" x14ac:dyDescent="0.45">
      <c r="A1856">
        <v>8050</v>
      </c>
      <c r="B1856" s="15">
        <v>44130</v>
      </c>
      <c r="C1856" t="str">
        <f>TEXT(Table1[[#This Row],[Order Date]], "yyyy")</f>
        <v>2020</v>
      </c>
      <c r="D1856" t="str">
        <f>TEXT(Table1[[#This Row],[Order Date]], "mmmm")</f>
        <v>October</v>
      </c>
      <c r="E1856" s="16">
        <f>Table1[[#This Row],[Order Quantity]]*Table1[[#This Row],[Unit Price]]</f>
        <v>61078.92</v>
      </c>
      <c r="F1856">
        <v>89</v>
      </c>
      <c r="G1856" s="16">
        <v>686.28</v>
      </c>
      <c r="H1856" t="s">
        <v>8</v>
      </c>
      <c r="I1856" t="s">
        <v>1308</v>
      </c>
      <c r="J1856" t="s">
        <v>10</v>
      </c>
      <c r="K1856" t="s">
        <v>11</v>
      </c>
    </row>
    <row r="1857" spans="1:11" x14ac:dyDescent="0.45">
      <c r="A1857">
        <v>8051</v>
      </c>
      <c r="B1857" s="15">
        <v>44060</v>
      </c>
      <c r="C1857" t="str">
        <f>TEXT(Table1[[#This Row],[Order Date]], "yyyy")</f>
        <v>2020</v>
      </c>
      <c r="D1857" t="str">
        <f>TEXT(Table1[[#This Row],[Order Date]], "mmmm")</f>
        <v>August</v>
      </c>
      <c r="E1857" s="16">
        <f>Table1[[#This Row],[Order Quantity]]*Table1[[#This Row],[Unit Price]]</f>
        <v>18777.91</v>
      </c>
      <c r="F1857">
        <v>47</v>
      </c>
      <c r="G1857" s="16">
        <v>399.53</v>
      </c>
      <c r="H1857" t="s">
        <v>25</v>
      </c>
      <c r="I1857" t="s">
        <v>1309</v>
      </c>
      <c r="J1857" t="s">
        <v>10</v>
      </c>
      <c r="K1857" t="s">
        <v>15</v>
      </c>
    </row>
    <row r="1858" spans="1:11" x14ac:dyDescent="0.45">
      <c r="A1858">
        <v>8052</v>
      </c>
      <c r="B1858" s="15">
        <v>43907</v>
      </c>
      <c r="C1858" t="str">
        <f>TEXT(Table1[[#This Row],[Order Date]], "yyyy")</f>
        <v>2020</v>
      </c>
      <c r="D1858" t="str">
        <f>TEXT(Table1[[#This Row],[Order Date]], "mmmm")</f>
        <v>March</v>
      </c>
      <c r="E1858" s="16">
        <f>Table1[[#This Row],[Order Quantity]]*Table1[[#This Row],[Unit Price]]</f>
        <v>40604.76</v>
      </c>
      <c r="F1858">
        <v>82</v>
      </c>
      <c r="G1858" s="16">
        <v>495.18</v>
      </c>
      <c r="H1858" t="s">
        <v>8</v>
      </c>
      <c r="I1858" t="s">
        <v>1310</v>
      </c>
      <c r="J1858" t="s">
        <v>20</v>
      </c>
      <c r="K1858" t="s">
        <v>15</v>
      </c>
    </row>
    <row r="1859" spans="1:11" x14ac:dyDescent="0.45">
      <c r="A1859">
        <v>8053</v>
      </c>
      <c r="B1859" s="15">
        <v>44153</v>
      </c>
      <c r="C1859" t="str">
        <f>TEXT(Table1[[#This Row],[Order Date]], "yyyy")</f>
        <v>2020</v>
      </c>
      <c r="D1859" t="str">
        <f>TEXT(Table1[[#This Row],[Order Date]], "mmmm")</f>
        <v>November</v>
      </c>
      <c r="E1859" s="16">
        <f>Table1[[#This Row],[Order Quantity]]*Table1[[#This Row],[Unit Price]]</f>
        <v>13169.900000000001</v>
      </c>
      <c r="F1859">
        <v>34</v>
      </c>
      <c r="G1859" s="16">
        <v>387.35</v>
      </c>
      <c r="H1859" t="s">
        <v>25</v>
      </c>
      <c r="I1859" t="s">
        <v>1311</v>
      </c>
      <c r="J1859" t="s">
        <v>13</v>
      </c>
      <c r="K1859" t="s">
        <v>11</v>
      </c>
    </row>
    <row r="1860" spans="1:11" x14ac:dyDescent="0.45">
      <c r="A1860">
        <v>8054</v>
      </c>
      <c r="B1860" s="15">
        <v>43962</v>
      </c>
      <c r="C1860" t="str">
        <f>TEXT(Table1[[#This Row],[Order Date]], "yyyy")</f>
        <v>2020</v>
      </c>
      <c r="D1860" t="str">
        <f>TEXT(Table1[[#This Row],[Order Date]], "mmmm")</f>
        <v>May</v>
      </c>
      <c r="E1860" s="16">
        <f>Table1[[#This Row],[Order Quantity]]*Table1[[#This Row],[Unit Price]]</f>
        <v>18576.300000000003</v>
      </c>
      <c r="F1860">
        <v>30</v>
      </c>
      <c r="G1860" s="16">
        <v>619.21</v>
      </c>
      <c r="H1860" t="s">
        <v>25</v>
      </c>
      <c r="I1860" t="s">
        <v>1312</v>
      </c>
      <c r="J1860" t="s">
        <v>13</v>
      </c>
      <c r="K1860" t="s">
        <v>15</v>
      </c>
    </row>
    <row r="1861" spans="1:11" x14ac:dyDescent="0.45">
      <c r="A1861">
        <v>8055</v>
      </c>
      <c r="B1861" s="15">
        <v>43962</v>
      </c>
      <c r="C1861" t="str">
        <f>TEXT(Table1[[#This Row],[Order Date]], "yyyy")</f>
        <v>2020</v>
      </c>
      <c r="D1861" t="str">
        <f>TEXT(Table1[[#This Row],[Order Date]], "mmmm")</f>
        <v>May</v>
      </c>
      <c r="E1861" s="16">
        <f>Table1[[#This Row],[Order Quantity]]*Table1[[#This Row],[Unit Price]]</f>
        <v>51778.77</v>
      </c>
      <c r="F1861">
        <v>51</v>
      </c>
      <c r="G1861" s="16">
        <v>1015.27</v>
      </c>
      <c r="H1861" t="s">
        <v>8</v>
      </c>
      <c r="I1861" t="s">
        <v>1313</v>
      </c>
      <c r="J1861" t="s">
        <v>10</v>
      </c>
      <c r="K1861" t="s">
        <v>17</v>
      </c>
    </row>
    <row r="1862" spans="1:11" x14ac:dyDescent="0.45">
      <c r="A1862">
        <v>8056</v>
      </c>
      <c r="B1862" s="15">
        <v>44094</v>
      </c>
      <c r="C1862" t="str">
        <f>TEXT(Table1[[#This Row],[Order Date]], "yyyy")</f>
        <v>2020</v>
      </c>
      <c r="D1862" t="str">
        <f>TEXT(Table1[[#This Row],[Order Date]], "mmmm")</f>
        <v>September</v>
      </c>
      <c r="E1862" s="16">
        <f>Table1[[#This Row],[Order Quantity]]*Table1[[#This Row],[Unit Price]]</f>
        <v>59117.58</v>
      </c>
      <c r="F1862">
        <v>83</v>
      </c>
      <c r="G1862" s="16">
        <v>712.26</v>
      </c>
      <c r="H1862" t="s">
        <v>8</v>
      </c>
      <c r="I1862" t="s">
        <v>1314</v>
      </c>
      <c r="J1862" t="s">
        <v>13</v>
      </c>
      <c r="K1862" t="s">
        <v>17</v>
      </c>
    </row>
    <row r="1863" spans="1:11" x14ac:dyDescent="0.45">
      <c r="A1863">
        <v>8057</v>
      </c>
      <c r="B1863" s="15">
        <v>44107</v>
      </c>
      <c r="C1863" t="str">
        <f>TEXT(Table1[[#This Row],[Order Date]], "yyyy")</f>
        <v>2020</v>
      </c>
      <c r="D1863" t="str">
        <f>TEXT(Table1[[#This Row],[Order Date]], "mmmm")</f>
        <v>October</v>
      </c>
      <c r="E1863" s="16">
        <f>Table1[[#This Row],[Order Quantity]]*Table1[[#This Row],[Unit Price]]</f>
        <v>1986.4</v>
      </c>
      <c r="F1863">
        <v>26</v>
      </c>
      <c r="G1863" s="16">
        <v>76.400000000000006</v>
      </c>
      <c r="H1863" t="s">
        <v>25</v>
      </c>
      <c r="I1863" t="s">
        <v>1315</v>
      </c>
      <c r="J1863" t="s">
        <v>23</v>
      </c>
      <c r="K1863" t="s">
        <v>17</v>
      </c>
    </row>
    <row r="1864" spans="1:11" x14ac:dyDescent="0.45">
      <c r="A1864">
        <v>8058</v>
      </c>
      <c r="B1864" s="15">
        <v>44007</v>
      </c>
      <c r="C1864" t="str">
        <f>TEXT(Table1[[#This Row],[Order Date]], "yyyy")</f>
        <v>2020</v>
      </c>
      <c r="D1864" t="str">
        <f>TEXT(Table1[[#This Row],[Order Date]], "mmmm")</f>
        <v>June</v>
      </c>
      <c r="E1864" s="16">
        <f>Table1[[#This Row],[Order Quantity]]*Table1[[#This Row],[Unit Price]]</f>
        <v>127519.2</v>
      </c>
      <c r="F1864">
        <v>89</v>
      </c>
      <c r="G1864" s="16">
        <v>1432.8</v>
      </c>
      <c r="H1864" t="s">
        <v>464</v>
      </c>
      <c r="I1864" t="s">
        <v>1316</v>
      </c>
      <c r="J1864" t="s">
        <v>10</v>
      </c>
      <c r="K1864" t="s">
        <v>11</v>
      </c>
    </row>
    <row r="1865" spans="1:11" x14ac:dyDescent="0.45">
      <c r="A1865">
        <v>8059</v>
      </c>
      <c r="B1865" s="15">
        <v>44176</v>
      </c>
      <c r="C1865" t="str">
        <f>TEXT(Table1[[#This Row],[Order Date]], "yyyy")</f>
        <v>2020</v>
      </c>
      <c r="D1865" t="str">
        <f>TEXT(Table1[[#This Row],[Order Date]], "mmmm")</f>
        <v>December</v>
      </c>
      <c r="E1865" s="16">
        <f>Table1[[#This Row],[Order Quantity]]*Table1[[#This Row],[Unit Price]]</f>
        <v>48827.399999999994</v>
      </c>
      <c r="F1865">
        <v>34</v>
      </c>
      <c r="G1865" s="16">
        <v>1436.1</v>
      </c>
      <c r="H1865" t="s">
        <v>8</v>
      </c>
      <c r="I1865" t="s">
        <v>1317</v>
      </c>
      <c r="J1865" t="s">
        <v>20</v>
      </c>
      <c r="K1865" t="s">
        <v>17</v>
      </c>
    </row>
    <row r="1866" spans="1:11" x14ac:dyDescent="0.45">
      <c r="A1866">
        <v>8060</v>
      </c>
      <c r="B1866" s="15">
        <v>44086</v>
      </c>
      <c r="C1866" t="str">
        <f>TEXT(Table1[[#This Row],[Order Date]], "yyyy")</f>
        <v>2020</v>
      </c>
      <c r="D1866" t="str">
        <f>TEXT(Table1[[#This Row],[Order Date]], "mmmm")</f>
        <v>September</v>
      </c>
      <c r="E1866" s="16">
        <f>Table1[[#This Row],[Order Quantity]]*Table1[[#This Row],[Unit Price]]</f>
        <v>54167.200000000004</v>
      </c>
      <c r="F1866">
        <v>80</v>
      </c>
      <c r="G1866" s="16">
        <v>677.09</v>
      </c>
      <c r="H1866" t="s">
        <v>25</v>
      </c>
      <c r="I1866" t="s">
        <v>1318</v>
      </c>
      <c r="J1866" t="s">
        <v>10</v>
      </c>
      <c r="K1866" t="s">
        <v>11</v>
      </c>
    </row>
    <row r="1867" spans="1:11" x14ac:dyDescent="0.45">
      <c r="A1867">
        <v>8061</v>
      </c>
      <c r="B1867" s="15">
        <v>43979</v>
      </c>
      <c r="C1867" t="str">
        <f>TEXT(Table1[[#This Row],[Order Date]], "yyyy")</f>
        <v>2020</v>
      </c>
      <c r="D1867" t="str">
        <f>TEXT(Table1[[#This Row],[Order Date]], "mmmm")</f>
        <v>May</v>
      </c>
      <c r="E1867" s="16">
        <f>Table1[[#This Row],[Order Quantity]]*Table1[[#This Row],[Unit Price]]</f>
        <v>8236.4</v>
      </c>
      <c r="F1867">
        <v>8</v>
      </c>
      <c r="G1867" s="16">
        <v>1029.55</v>
      </c>
      <c r="H1867" t="s">
        <v>464</v>
      </c>
      <c r="I1867" t="s">
        <v>1319</v>
      </c>
      <c r="J1867" t="s">
        <v>23</v>
      </c>
      <c r="K1867" t="s">
        <v>17</v>
      </c>
    </row>
    <row r="1868" spans="1:11" x14ac:dyDescent="0.45">
      <c r="A1868">
        <v>8062</v>
      </c>
      <c r="B1868" s="15">
        <v>44120</v>
      </c>
      <c r="C1868" t="str">
        <f>TEXT(Table1[[#This Row],[Order Date]], "yyyy")</f>
        <v>2020</v>
      </c>
      <c r="D1868" t="str">
        <f>TEXT(Table1[[#This Row],[Order Date]], "mmmm")</f>
        <v>October</v>
      </c>
      <c r="E1868" s="16">
        <f>Table1[[#This Row],[Order Quantity]]*Table1[[#This Row],[Unit Price]]</f>
        <v>11293.099999999999</v>
      </c>
      <c r="F1868">
        <v>73</v>
      </c>
      <c r="G1868" s="16">
        <v>154.69999999999999</v>
      </c>
      <c r="H1868" t="s">
        <v>25</v>
      </c>
      <c r="I1868" t="s">
        <v>1320</v>
      </c>
      <c r="J1868" t="s">
        <v>20</v>
      </c>
      <c r="K1868" t="s">
        <v>15</v>
      </c>
    </row>
    <row r="1869" spans="1:11" x14ac:dyDescent="0.45">
      <c r="A1869">
        <v>8063</v>
      </c>
      <c r="B1869" s="15">
        <v>43841</v>
      </c>
      <c r="C1869" t="str">
        <f>TEXT(Table1[[#This Row],[Order Date]], "yyyy")</f>
        <v>2020</v>
      </c>
      <c r="D1869" t="str">
        <f>TEXT(Table1[[#This Row],[Order Date]], "mmmm")</f>
        <v>January</v>
      </c>
      <c r="E1869" s="16">
        <f>Table1[[#This Row],[Order Quantity]]*Table1[[#This Row],[Unit Price]]</f>
        <v>45920.56</v>
      </c>
      <c r="F1869">
        <v>56</v>
      </c>
      <c r="G1869" s="16">
        <v>820.01</v>
      </c>
      <c r="H1869" t="s">
        <v>464</v>
      </c>
      <c r="I1869" t="s">
        <v>1321</v>
      </c>
      <c r="J1869" t="s">
        <v>20</v>
      </c>
      <c r="K1869" t="s">
        <v>17</v>
      </c>
    </row>
    <row r="1870" spans="1:11" x14ac:dyDescent="0.45">
      <c r="A1870">
        <v>8064</v>
      </c>
      <c r="B1870" s="15">
        <v>44181</v>
      </c>
      <c r="C1870" t="str">
        <f>TEXT(Table1[[#This Row],[Order Date]], "yyyy")</f>
        <v>2020</v>
      </c>
      <c r="D1870" t="str">
        <f>TEXT(Table1[[#This Row],[Order Date]], "mmmm")</f>
        <v>December</v>
      </c>
      <c r="E1870" s="16">
        <f>Table1[[#This Row],[Order Quantity]]*Table1[[#This Row],[Unit Price]]</f>
        <v>49458.52</v>
      </c>
      <c r="F1870">
        <v>59</v>
      </c>
      <c r="G1870" s="16">
        <v>838.28</v>
      </c>
      <c r="H1870" t="s">
        <v>25</v>
      </c>
      <c r="I1870" t="s">
        <v>1322</v>
      </c>
      <c r="J1870" t="s">
        <v>10</v>
      </c>
      <c r="K1870" t="s">
        <v>17</v>
      </c>
    </row>
    <row r="1871" spans="1:11" x14ac:dyDescent="0.45">
      <c r="A1871">
        <v>8065</v>
      </c>
      <c r="B1871" s="15">
        <v>43853</v>
      </c>
      <c r="C1871" t="str">
        <f>TEXT(Table1[[#This Row],[Order Date]], "yyyy")</f>
        <v>2020</v>
      </c>
      <c r="D1871" t="str">
        <f>TEXT(Table1[[#This Row],[Order Date]], "mmmm")</f>
        <v>January</v>
      </c>
      <c r="E1871" s="16">
        <f>Table1[[#This Row],[Order Quantity]]*Table1[[#This Row],[Unit Price]]</f>
        <v>4552.2000000000007</v>
      </c>
      <c r="F1871">
        <v>15</v>
      </c>
      <c r="G1871" s="16">
        <v>303.48</v>
      </c>
      <c r="H1871" t="s">
        <v>464</v>
      </c>
      <c r="I1871" t="s">
        <v>1323</v>
      </c>
      <c r="J1871" t="s">
        <v>10</v>
      </c>
      <c r="K1871" t="s">
        <v>11</v>
      </c>
    </row>
    <row r="1872" spans="1:11" x14ac:dyDescent="0.45">
      <c r="A1872">
        <v>8066</v>
      </c>
      <c r="B1872" s="15">
        <v>43981</v>
      </c>
      <c r="C1872" t="str">
        <f>TEXT(Table1[[#This Row],[Order Date]], "yyyy")</f>
        <v>2020</v>
      </c>
      <c r="D1872" t="str">
        <f>TEXT(Table1[[#This Row],[Order Date]], "mmmm")</f>
        <v>May</v>
      </c>
      <c r="E1872" s="16">
        <f>Table1[[#This Row],[Order Quantity]]*Table1[[#This Row],[Unit Price]]</f>
        <v>1241.54</v>
      </c>
      <c r="F1872">
        <v>23</v>
      </c>
      <c r="G1872" s="16">
        <v>53.98</v>
      </c>
      <c r="H1872" t="s">
        <v>464</v>
      </c>
      <c r="I1872" t="s">
        <v>1324</v>
      </c>
      <c r="J1872" t="s">
        <v>13</v>
      </c>
      <c r="K1872" t="s">
        <v>17</v>
      </c>
    </row>
    <row r="1873" spans="1:11" x14ac:dyDescent="0.45">
      <c r="A1873">
        <v>8067</v>
      </c>
      <c r="B1873" s="15">
        <v>44139</v>
      </c>
      <c r="C1873" t="str">
        <f>TEXT(Table1[[#This Row],[Order Date]], "yyyy")</f>
        <v>2020</v>
      </c>
      <c r="D1873" t="str">
        <f>TEXT(Table1[[#This Row],[Order Date]], "mmmm")</f>
        <v>November</v>
      </c>
      <c r="E1873" s="16">
        <f>Table1[[#This Row],[Order Quantity]]*Table1[[#This Row],[Unit Price]]</f>
        <v>24130.560000000001</v>
      </c>
      <c r="F1873">
        <v>24</v>
      </c>
      <c r="G1873" s="16">
        <v>1005.44</v>
      </c>
      <c r="H1873" t="s">
        <v>25</v>
      </c>
      <c r="I1873" t="s">
        <v>1325</v>
      </c>
      <c r="J1873" t="s">
        <v>23</v>
      </c>
      <c r="K1873" t="s">
        <v>17</v>
      </c>
    </row>
    <row r="1874" spans="1:11" x14ac:dyDescent="0.45">
      <c r="A1874">
        <v>8068</v>
      </c>
      <c r="B1874" s="15">
        <v>44100</v>
      </c>
      <c r="C1874" t="str">
        <f>TEXT(Table1[[#This Row],[Order Date]], "yyyy")</f>
        <v>2020</v>
      </c>
      <c r="D1874" t="str">
        <f>TEXT(Table1[[#This Row],[Order Date]], "mmmm")</f>
        <v>September</v>
      </c>
      <c r="E1874" s="16">
        <f>Table1[[#This Row],[Order Quantity]]*Table1[[#This Row],[Unit Price]]</f>
        <v>38022.399999999994</v>
      </c>
      <c r="F1874">
        <v>40</v>
      </c>
      <c r="G1874" s="16">
        <v>950.56</v>
      </c>
      <c r="H1874" t="s">
        <v>8</v>
      </c>
      <c r="I1874" t="s">
        <v>1326</v>
      </c>
      <c r="J1874" t="s">
        <v>23</v>
      </c>
      <c r="K1874" t="s">
        <v>11</v>
      </c>
    </row>
    <row r="1875" spans="1:11" x14ac:dyDescent="0.45">
      <c r="A1875">
        <v>8069</v>
      </c>
      <c r="B1875" s="15">
        <v>44144</v>
      </c>
      <c r="C1875" t="str">
        <f>TEXT(Table1[[#This Row],[Order Date]], "yyyy")</f>
        <v>2020</v>
      </c>
      <c r="D1875" t="str">
        <f>TEXT(Table1[[#This Row],[Order Date]], "mmmm")</f>
        <v>November</v>
      </c>
      <c r="E1875" s="16">
        <f>Table1[[#This Row],[Order Quantity]]*Table1[[#This Row],[Unit Price]]</f>
        <v>22879.040000000001</v>
      </c>
      <c r="F1875">
        <v>76</v>
      </c>
      <c r="G1875" s="16">
        <v>301.04000000000002</v>
      </c>
      <c r="H1875" t="s">
        <v>464</v>
      </c>
      <c r="I1875" t="s">
        <v>1327</v>
      </c>
      <c r="J1875" t="s">
        <v>13</v>
      </c>
      <c r="K1875" t="s">
        <v>17</v>
      </c>
    </row>
    <row r="1876" spans="1:11" x14ac:dyDescent="0.45">
      <c r="A1876">
        <v>8070</v>
      </c>
      <c r="B1876" s="15">
        <v>44035</v>
      </c>
      <c r="C1876" t="str">
        <f>TEXT(Table1[[#This Row],[Order Date]], "yyyy")</f>
        <v>2020</v>
      </c>
      <c r="D1876" t="str">
        <f>TEXT(Table1[[#This Row],[Order Date]], "mmmm")</f>
        <v>July</v>
      </c>
      <c r="E1876" s="16">
        <f>Table1[[#This Row],[Order Quantity]]*Table1[[#This Row],[Unit Price]]</f>
        <v>6338.9699999999993</v>
      </c>
      <c r="F1876">
        <v>11</v>
      </c>
      <c r="G1876" s="16">
        <v>576.27</v>
      </c>
      <c r="H1876" t="s">
        <v>25</v>
      </c>
      <c r="I1876" t="s">
        <v>1328</v>
      </c>
      <c r="J1876" t="s">
        <v>13</v>
      </c>
      <c r="K1876" t="s">
        <v>15</v>
      </c>
    </row>
    <row r="1877" spans="1:11" x14ac:dyDescent="0.45">
      <c r="A1877">
        <v>8071</v>
      </c>
      <c r="B1877" s="15">
        <v>44188</v>
      </c>
      <c r="C1877" t="str">
        <f>TEXT(Table1[[#This Row],[Order Date]], "yyyy")</f>
        <v>2020</v>
      </c>
      <c r="D1877" t="str">
        <f>TEXT(Table1[[#This Row],[Order Date]], "mmmm")</f>
        <v>December</v>
      </c>
      <c r="E1877" s="16">
        <f>Table1[[#This Row],[Order Quantity]]*Table1[[#This Row],[Unit Price]]</f>
        <v>24768.489999999998</v>
      </c>
      <c r="F1877">
        <v>53</v>
      </c>
      <c r="G1877" s="16">
        <v>467.33</v>
      </c>
      <c r="H1877" t="s">
        <v>8</v>
      </c>
      <c r="I1877" t="s">
        <v>1329</v>
      </c>
      <c r="J1877" t="s">
        <v>13</v>
      </c>
      <c r="K1877" t="s">
        <v>17</v>
      </c>
    </row>
    <row r="1878" spans="1:11" x14ac:dyDescent="0.45">
      <c r="A1878">
        <v>8072</v>
      </c>
      <c r="B1878" s="15">
        <v>44173</v>
      </c>
      <c r="C1878" t="str">
        <f>TEXT(Table1[[#This Row],[Order Date]], "yyyy")</f>
        <v>2020</v>
      </c>
      <c r="D1878" t="str">
        <f>TEXT(Table1[[#This Row],[Order Date]], "mmmm")</f>
        <v>December</v>
      </c>
      <c r="E1878" s="16">
        <f>Table1[[#This Row],[Order Quantity]]*Table1[[#This Row],[Unit Price]]</f>
        <v>48924.799999999996</v>
      </c>
      <c r="F1878">
        <v>40</v>
      </c>
      <c r="G1878" s="16">
        <v>1223.1199999999999</v>
      </c>
      <c r="H1878" t="s">
        <v>25</v>
      </c>
      <c r="I1878" t="s">
        <v>1330</v>
      </c>
      <c r="J1878" t="s">
        <v>20</v>
      </c>
      <c r="K1878" t="s">
        <v>11</v>
      </c>
    </row>
    <row r="1879" spans="1:11" x14ac:dyDescent="0.45">
      <c r="A1879">
        <v>8073</v>
      </c>
      <c r="B1879" s="15">
        <v>43839</v>
      </c>
      <c r="C1879" t="str">
        <f>TEXT(Table1[[#This Row],[Order Date]], "yyyy")</f>
        <v>2020</v>
      </c>
      <c r="D1879" t="str">
        <f>TEXT(Table1[[#This Row],[Order Date]], "mmmm")</f>
        <v>January</v>
      </c>
      <c r="E1879" s="16">
        <f>Table1[[#This Row],[Order Quantity]]*Table1[[#This Row],[Unit Price]]</f>
        <v>7313.2900000000009</v>
      </c>
      <c r="F1879">
        <v>19</v>
      </c>
      <c r="G1879" s="16">
        <v>384.91</v>
      </c>
      <c r="H1879" t="s">
        <v>25</v>
      </c>
      <c r="I1879" t="s">
        <v>1331</v>
      </c>
      <c r="J1879" t="s">
        <v>13</v>
      </c>
      <c r="K1879" t="s">
        <v>15</v>
      </c>
    </row>
    <row r="1880" spans="1:11" x14ac:dyDescent="0.45">
      <c r="A1880">
        <v>8074</v>
      </c>
      <c r="B1880" s="15">
        <v>43870</v>
      </c>
      <c r="C1880" t="str">
        <f>TEXT(Table1[[#This Row],[Order Date]], "yyyy")</f>
        <v>2020</v>
      </c>
      <c r="D1880" t="str">
        <f>TEXT(Table1[[#This Row],[Order Date]], "mmmm")</f>
        <v>February</v>
      </c>
      <c r="E1880" s="16">
        <f>Table1[[#This Row],[Order Quantity]]*Table1[[#This Row],[Unit Price]]</f>
        <v>17412.66</v>
      </c>
      <c r="F1880">
        <v>18</v>
      </c>
      <c r="G1880" s="16">
        <v>967.37</v>
      </c>
      <c r="H1880" t="s">
        <v>25</v>
      </c>
      <c r="I1880" t="s">
        <v>1332</v>
      </c>
      <c r="J1880" t="s">
        <v>13</v>
      </c>
      <c r="K1880" t="s">
        <v>15</v>
      </c>
    </row>
    <row r="1881" spans="1:11" x14ac:dyDescent="0.45">
      <c r="A1881">
        <v>8075</v>
      </c>
      <c r="B1881" s="15">
        <v>44077</v>
      </c>
      <c r="C1881" t="str">
        <f>TEXT(Table1[[#This Row],[Order Date]], "yyyy")</f>
        <v>2020</v>
      </c>
      <c r="D1881" t="str">
        <f>TEXT(Table1[[#This Row],[Order Date]], "mmmm")</f>
        <v>September</v>
      </c>
      <c r="E1881" s="16">
        <f>Table1[[#This Row],[Order Quantity]]*Table1[[#This Row],[Unit Price]]</f>
        <v>32744.400000000001</v>
      </c>
      <c r="F1881">
        <v>39</v>
      </c>
      <c r="G1881" s="16">
        <v>839.6</v>
      </c>
      <c r="H1881" t="s">
        <v>8</v>
      </c>
      <c r="I1881" t="s">
        <v>1333</v>
      </c>
      <c r="J1881" t="s">
        <v>10</v>
      </c>
      <c r="K1881" t="s">
        <v>15</v>
      </c>
    </row>
    <row r="1882" spans="1:11" x14ac:dyDescent="0.45">
      <c r="A1882">
        <v>8076</v>
      </c>
      <c r="B1882" s="15">
        <v>43929</v>
      </c>
      <c r="C1882" t="str">
        <f>TEXT(Table1[[#This Row],[Order Date]], "yyyy")</f>
        <v>2020</v>
      </c>
      <c r="D1882" t="str">
        <f>TEXT(Table1[[#This Row],[Order Date]], "mmmm")</f>
        <v>April</v>
      </c>
      <c r="E1882" s="16">
        <f>Table1[[#This Row],[Order Quantity]]*Table1[[#This Row],[Unit Price]]</f>
        <v>27015.5</v>
      </c>
      <c r="F1882">
        <v>71</v>
      </c>
      <c r="G1882" s="16">
        <v>380.5</v>
      </c>
      <c r="H1882" t="s">
        <v>8</v>
      </c>
      <c r="I1882" t="s">
        <v>1334</v>
      </c>
      <c r="J1882" t="s">
        <v>10</v>
      </c>
      <c r="K1882" t="s">
        <v>17</v>
      </c>
    </row>
    <row r="1883" spans="1:11" x14ac:dyDescent="0.45">
      <c r="A1883">
        <v>8077</v>
      </c>
      <c r="B1883" s="15">
        <v>44101</v>
      </c>
      <c r="C1883" t="str">
        <f>TEXT(Table1[[#This Row],[Order Date]], "yyyy")</f>
        <v>2020</v>
      </c>
      <c r="D1883" t="str">
        <f>TEXT(Table1[[#This Row],[Order Date]], "mmmm")</f>
        <v>September</v>
      </c>
      <c r="E1883" s="16">
        <f>Table1[[#This Row],[Order Quantity]]*Table1[[#This Row],[Unit Price]]</f>
        <v>70235.64</v>
      </c>
      <c r="F1883">
        <v>54</v>
      </c>
      <c r="G1883" s="16">
        <v>1300.6600000000001</v>
      </c>
      <c r="H1883" t="s">
        <v>8</v>
      </c>
      <c r="I1883" t="s">
        <v>1335</v>
      </c>
      <c r="J1883" t="s">
        <v>20</v>
      </c>
      <c r="K1883" t="s">
        <v>17</v>
      </c>
    </row>
    <row r="1884" spans="1:11" x14ac:dyDescent="0.45">
      <c r="A1884">
        <v>8078</v>
      </c>
      <c r="B1884" s="15">
        <v>43842</v>
      </c>
      <c r="C1884" t="str">
        <f>TEXT(Table1[[#This Row],[Order Date]], "yyyy")</f>
        <v>2020</v>
      </c>
      <c r="D1884" t="str">
        <f>TEXT(Table1[[#This Row],[Order Date]], "mmmm")</f>
        <v>January</v>
      </c>
      <c r="E1884" s="16">
        <f>Table1[[#This Row],[Order Quantity]]*Table1[[#This Row],[Unit Price]]</f>
        <v>36834.770000000004</v>
      </c>
      <c r="F1884">
        <v>49</v>
      </c>
      <c r="G1884" s="16">
        <v>751.73</v>
      </c>
      <c r="H1884" t="s">
        <v>464</v>
      </c>
      <c r="I1884" t="s">
        <v>1336</v>
      </c>
      <c r="J1884" t="s">
        <v>10</v>
      </c>
      <c r="K1884" t="s">
        <v>15</v>
      </c>
    </row>
    <row r="1885" spans="1:11" x14ac:dyDescent="0.45">
      <c r="A1885">
        <v>8079</v>
      </c>
      <c r="B1885" s="15">
        <v>44160</v>
      </c>
      <c r="C1885" t="str">
        <f>TEXT(Table1[[#This Row],[Order Date]], "yyyy")</f>
        <v>2020</v>
      </c>
      <c r="D1885" t="str">
        <f>TEXT(Table1[[#This Row],[Order Date]], "mmmm")</f>
        <v>November</v>
      </c>
      <c r="E1885" s="16">
        <f>Table1[[#This Row],[Order Quantity]]*Table1[[#This Row],[Unit Price]]</f>
        <v>2187.84</v>
      </c>
      <c r="F1885">
        <v>3</v>
      </c>
      <c r="G1885" s="16">
        <v>729.28</v>
      </c>
      <c r="H1885" t="s">
        <v>25</v>
      </c>
      <c r="I1885" t="s">
        <v>1337</v>
      </c>
      <c r="J1885" t="s">
        <v>13</v>
      </c>
      <c r="K1885" t="s">
        <v>17</v>
      </c>
    </row>
    <row r="1886" spans="1:11" x14ac:dyDescent="0.45">
      <c r="A1886">
        <v>8080</v>
      </c>
      <c r="B1886" s="15">
        <v>43900</v>
      </c>
      <c r="C1886" t="str">
        <f>TEXT(Table1[[#This Row],[Order Date]], "yyyy")</f>
        <v>2020</v>
      </c>
      <c r="D1886" t="str">
        <f>TEXT(Table1[[#This Row],[Order Date]], "mmmm")</f>
        <v>March</v>
      </c>
      <c r="E1886" s="16">
        <f>Table1[[#This Row],[Order Quantity]]*Table1[[#This Row],[Unit Price]]</f>
        <v>8692.1200000000008</v>
      </c>
      <c r="F1886">
        <v>38</v>
      </c>
      <c r="G1886" s="16">
        <v>228.74</v>
      </c>
      <c r="H1886" t="s">
        <v>464</v>
      </c>
      <c r="I1886" t="s">
        <v>1338</v>
      </c>
      <c r="J1886" t="s">
        <v>23</v>
      </c>
      <c r="K1886" t="s">
        <v>17</v>
      </c>
    </row>
    <row r="1887" spans="1:11" x14ac:dyDescent="0.45">
      <c r="A1887">
        <v>8081</v>
      </c>
      <c r="B1887" s="15">
        <v>44198</v>
      </c>
      <c r="C1887" t="str">
        <f>TEXT(Table1[[#This Row],[Order Date]], "yyyy")</f>
        <v>2021</v>
      </c>
      <c r="D1887" t="str">
        <f>TEXT(Table1[[#This Row],[Order Date]], "mmmm")</f>
        <v>January</v>
      </c>
      <c r="E1887" s="16">
        <f>Table1[[#This Row],[Order Quantity]]*Table1[[#This Row],[Unit Price]]</f>
        <v>5169.7000000000007</v>
      </c>
      <c r="F1887">
        <v>5</v>
      </c>
      <c r="G1887" s="16">
        <v>1033.94</v>
      </c>
      <c r="H1887" t="s">
        <v>8</v>
      </c>
      <c r="I1887" t="s">
        <v>1339</v>
      </c>
      <c r="J1887" t="s">
        <v>20</v>
      </c>
      <c r="K1887" t="s">
        <v>11</v>
      </c>
    </row>
    <row r="1888" spans="1:11" x14ac:dyDescent="0.45">
      <c r="A1888">
        <v>8082</v>
      </c>
      <c r="B1888" s="15">
        <v>43841</v>
      </c>
      <c r="C1888" t="str">
        <f>TEXT(Table1[[#This Row],[Order Date]], "yyyy")</f>
        <v>2020</v>
      </c>
      <c r="D1888" t="str">
        <f>TEXT(Table1[[#This Row],[Order Date]], "mmmm")</f>
        <v>January</v>
      </c>
      <c r="E1888" s="16">
        <f>Table1[[#This Row],[Order Quantity]]*Table1[[#This Row],[Unit Price]]</f>
        <v>60728.04</v>
      </c>
      <c r="F1888">
        <v>86</v>
      </c>
      <c r="G1888" s="16">
        <v>706.14</v>
      </c>
      <c r="H1888" t="s">
        <v>8</v>
      </c>
      <c r="I1888" t="s">
        <v>1340</v>
      </c>
      <c r="J1888" t="s">
        <v>10</v>
      </c>
      <c r="K1888" t="s">
        <v>11</v>
      </c>
    </row>
    <row r="1889" spans="1:11" x14ac:dyDescent="0.45">
      <c r="A1889">
        <v>8083</v>
      </c>
      <c r="B1889" s="15">
        <v>44028</v>
      </c>
      <c r="C1889" t="str">
        <f>TEXT(Table1[[#This Row],[Order Date]], "yyyy")</f>
        <v>2020</v>
      </c>
      <c r="D1889" t="str">
        <f>TEXT(Table1[[#This Row],[Order Date]], "mmmm")</f>
        <v>July</v>
      </c>
      <c r="E1889" s="16">
        <f>Table1[[#This Row],[Order Quantity]]*Table1[[#This Row],[Unit Price]]</f>
        <v>58542.390000000007</v>
      </c>
      <c r="F1889">
        <v>51</v>
      </c>
      <c r="G1889" s="16">
        <v>1147.8900000000001</v>
      </c>
      <c r="H1889" t="s">
        <v>8</v>
      </c>
      <c r="I1889" t="s">
        <v>1341</v>
      </c>
      <c r="J1889" t="s">
        <v>10</v>
      </c>
      <c r="K1889" t="s">
        <v>17</v>
      </c>
    </row>
    <row r="1890" spans="1:11" x14ac:dyDescent="0.45">
      <c r="A1890">
        <v>8084</v>
      </c>
      <c r="B1890" s="15">
        <v>43923</v>
      </c>
      <c r="C1890" t="str">
        <f>TEXT(Table1[[#This Row],[Order Date]], "yyyy")</f>
        <v>2020</v>
      </c>
      <c r="D1890" t="str">
        <f>TEXT(Table1[[#This Row],[Order Date]], "mmmm")</f>
        <v>April</v>
      </c>
      <c r="E1890" s="16">
        <f>Table1[[#This Row],[Order Quantity]]*Table1[[#This Row],[Unit Price]]</f>
        <v>12714.25</v>
      </c>
      <c r="F1890">
        <v>25</v>
      </c>
      <c r="G1890" s="16">
        <v>508.57</v>
      </c>
      <c r="H1890" t="s">
        <v>464</v>
      </c>
      <c r="I1890" t="s">
        <v>1342</v>
      </c>
      <c r="J1890" t="s">
        <v>10</v>
      </c>
      <c r="K1890" t="s">
        <v>17</v>
      </c>
    </row>
    <row r="1891" spans="1:11" x14ac:dyDescent="0.45">
      <c r="A1891">
        <v>8085</v>
      </c>
      <c r="B1891" s="15">
        <v>44067</v>
      </c>
      <c r="C1891" t="str">
        <f>TEXT(Table1[[#This Row],[Order Date]], "yyyy")</f>
        <v>2020</v>
      </c>
      <c r="D1891" t="str">
        <f>TEXT(Table1[[#This Row],[Order Date]], "mmmm")</f>
        <v>August</v>
      </c>
      <c r="E1891" s="16">
        <f>Table1[[#This Row],[Order Quantity]]*Table1[[#This Row],[Unit Price]]</f>
        <v>9885.5999999999985</v>
      </c>
      <c r="F1891">
        <v>40</v>
      </c>
      <c r="G1891" s="16">
        <v>247.14</v>
      </c>
      <c r="H1891" t="s">
        <v>25</v>
      </c>
      <c r="I1891" t="s">
        <v>1343</v>
      </c>
      <c r="J1891" t="s">
        <v>10</v>
      </c>
      <c r="K1891" t="s">
        <v>17</v>
      </c>
    </row>
    <row r="1892" spans="1:11" x14ac:dyDescent="0.45">
      <c r="A1892">
        <v>8086</v>
      </c>
      <c r="B1892" s="15">
        <v>44149</v>
      </c>
      <c r="C1892" t="str">
        <f>TEXT(Table1[[#This Row],[Order Date]], "yyyy")</f>
        <v>2020</v>
      </c>
      <c r="D1892" t="str">
        <f>TEXT(Table1[[#This Row],[Order Date]], "mmmm")</f>
        <v>November</v>
      </c>
      <c r="E1892" s="16">
        <f>Table1[[#This Row],[Order Quantity]]*Table1[[#This Row],[Unit Price]]</f>
        <v>37130.549999999996</v>
      </c>
      <c r="F1892">
        <v>51</v>
      </c>
      <c r="G1892" s="16">
        <v>728.05</v>
      </c>
      <c r="H1892" t="s">
        <v>25</v>
      </c>
      <c r="I1892" t="s">
        <v>1344</v>
      </c>
      <c r="J1892" t="s">
        <v>23</v>
      </c>
      <c r="K1892" t="s">
        <v>15</v>
      </c>
    </row>
    <row r="1893" spans="1:11" x14ac:dyDescent="0.45">
      <c r="A1893">
        <v>8087</v>
      </c>
      <c r="B1893" s="15">
        <v>44149</v>
      </c>
      <c r="C1893" t="str">
        <f>TEXT(Table1[[#This Row],[Order Date]], "yyyy")</f>
        <v>2020</v>
      </c>
      <c r="D1893" t="str">
        <f>TEXT(Table1[[#This Row],[Order Date]], "mmmm")</f>
        <v>November</v>
      </c>
      <c r="E1893" s="16">
        <f>Table1[[#This Row],[Order Quantity]]*Table1[[#This Row],[Unit Price]]</f>
        <v>79107.799999999988</v>
      </c>
      <c r="F1893">
        <v>53</v>
      </c>
      <c r="G1893" s="16">
        <v>1492.6</v>
      </c>
      <c r="H1893" t="s">
        <v>8</v>
      </c>
      <c r="I1893" t="s">
        <v>1345</v>
      </c>
      <c r="J1893" t="s">
        <v>23</v>
      </c>
      <c r="K1893" t="s">
        <v>15</v>
      </c>
    </row>
    <row r="1894" spans="1:11" x14ac:dyDescent="0.45">
      <c r="A1894">
        <v>8088</v>
      </c>
      <c r="B1894" s="15">
        <v>43891</v>
      </c>
      <c r="C1894" t="str">
        <f>TEXT(Table1[[#This Row],[Order Date]], "yyyy")</f>
        <v>2020</v>
      </c>
      <c r="D1894" t="str">
        <f>TEXT(Table1[[#This Row],[Order Date]], "mmmm")</f>
        <v>March</v>
      </c>
      <c r="E1894" s="16">
        <f>Table1[[#This Row],[Order Quantity]]*Table1[[#This Row],[Unit Price]]</f>
        <v>17250.87</v>
      </c>
      <c r="F1894">
        <v>13</v>
      </c>
      <c r="G1894" s="16">
        <v>1326.99</v>
      </c>
      <c r="H1894" t="s">
        <v>8</v>
      </c>
      <c r="I1894" t="s">
        <v>1346</v>
      </c>
      <c r="J1894" t="s">
        <v>13</v>
      </c>
      <c r="K1894" t="s">
        <v>15</v>
      </c>
    </row>
    <row r="1895" spans="1:11" x14ac:dyDescent="0.45">
      <c r="A1895">
        <v>8089</v>
      </c>
      <c r="B1895" s="15">
        <v>44061</v>
      </c>
      <c r="C1895" t="str">
        <f>TEXT(Table1[[#This Row],[Order Date]], "yyyy")</f>
        <v>2020</v>
      </c>
      <c r="D1895" t="str">
        <f>TEXT(Table1[[#This Row],[Order Date]], "mmmm")</f>
        <v>August</v>
      </c>
      <c r="E1895" s="16">
        <f>Table1[[#This Row],[Order Quantity]]*Table1[[#This Row],[Unit Price]]</f>
        <v>48333.81</v>
      </c>
      <c r="F1895">
        <v>69</v>
      </c>
      <c r="G1895" s="16">
        <v>700.49</v>
      </c>
      <c r="H1895" t="s">
        <v>25</v>
      </c>
      <c r="I1895" t="s">
        <v>1347</v>
      </c>
      <c r="J1895" t="s">
        <v>10</v>
      </c>
      <c r="K1895" t="s">
        <v>11</v>
      </c>
    </row>
    <row r="1896" spans="1:11" x14ac:dyDescent="0.45">
      <c r="A1896">
        <v>8090</v>
      </c>
      <c r="B1896" s="15">
        <v>43896</v>
      </c>
      <c r="C1896" t="str">
        <f>TEXT(Table1[[#This Row],[Order Date]], "yyyy")</f>
        <v>2020</v>
      </c>
      <c r="D1896" t="str">
        <f>TEXT(Table1[[#This Row],[Order Date]], "mmmm")</f>
        <v>March</v>
      </c>
      <c r="E1896" s="16">
        <f>Table1[[#This Row],[Order Quantity]]*Table1[[#This Row],[Unit Price]]</f>
        <v>11446.64</v>
      </c>
      <c r="F1896">
        <v>8</v>
      </c>
      <c r="G1896" s="16">
        <v>1430.83</v>
      </c>
      <c r="H1896" t="s">
        <v>25</v>
      </c>
      <c r="I1896" t="s">
        <v>1348</v>
      </c>
      <c r="J1896" t="s">
        <v>20</v>
      </c>
      <c r="K1896" t="s">
        <v>15</v>
      </c>
    </row>
    <row r="1897" spans="1:11" x14ac:dyDescent="0.45">
      <c r="A1897">
        <v>8091</v>
      </c>
      <c r="B1897" s="15">
        <v>43937</v>
      </c>
      <c r="C1897" t="str">
        <f>TEXT(Table1[[#This Row],[Order Date]], "yyyy")</f>
        <v>2020</v>
      </c>
      <c r="D1897" t="str">
        <f>TEXT(Table1[[#This Row],[Order Date]], "mmmm")</f>
        <v>April</v>
      </c>
      <c r="E1897" s="16">
        <f>Table1[[#This Row],[Order Quantity]]*Table1[[#This Row],[Unit Price]]</f>
        <v>79201.649999999994</v>
      </c>
      <c r="F1897">
        <v>69</v>
      </c>
      <c r="G1897" s="16">
        <v>1147.8499999999999</v>
      </c>
      <c r="H1897" t="s">
        <v>464</v>
      </c>
      <c r="I1897" t="s">
        <v>1349</v>
      </c>
      <c r="J1897" t="s">
        <v>20</v>
      </c>
      <c r="K1897" t="s">
        <v>11</v>
      </c>
    </row>
    <row r="1898" spans="1:11" x14ac:dyDescent="0.45">
      <c r="A1898">
        <v>8092</v>
      </c>
      <c r="B1898" s="15">
        <v>44123</v>
      </c>
      <c r="C1898" t="str">
        <f>TEXT(Table1[[#This Row],[Order Date]], "yyyy")</f>
        <v>2020</v>
      </c>
      <c r="D1898" t="str">
        <f>TEXT(Table1[[#This Row],[Order Date]], "mmmm")</f>
        <v>October</v>
      </c>
      <c r="E1898" s="16">
        <f>Table1[[#This Row],[Order Quantity]]*Table1[[#This Row],[Unit Price]]</f>
        <v>46537.740000000005</v>
      </c>
      <c r="F1898">
        <v>46</v>
      </c>
      <c r="G1898" s="16">
        <v>1011.69</v>
      </c>
      <c r="H1898" t="s">
        <v>25</v>
      </c>
      <c r="I1898" t="s">
        <v>1350</v>
      </c>
      <c r="J1898" t="s">
        <v>13</v>
      </c>
      <c r="K1898" t="s">
        <v>11</v>
      </c>
    </row>
    <row r="1899" spans="1:11" x14ac:dyDescent="0.45">
      <c r="A1899">
        <v>8093</v>
      </c>
      <c r="B1899" s="15">
        <v>44188</v>
      </c>
      <c r="C1899" t="str">
        <f>TEXT(Table1[[#This Row],[Order Date]], "yyyy")</f>
        <v>2020</v>
      </c>
      <c r="D1899" t="str">
        <f>TEXT(Table1[[#This Row],[Order Date]], "mmmm")</f>
        <v>December</v>
      </c>
      <c r="E1899" s="16">
        <f>Table1[[#This Row],[Order Quantity]]*Table1[[#This Row],[Unit Price]]</f>
        <v>87475.14</v>
      </c>
      <c r="F1899">
        <v>82</v>
      </c>
      <c r="G1899" s="16">
        <v>1066.77</v>
      </c>
      <c r="H1899" t="s">
        <v>464</v>
      </c>
      <c r="I1899" t="s">
        <v>1351</v>
      </c>
      <c r="J1899" t="s">
        <v>23</v>
      </c>
      <c r="K1899" t="s">
        <v>17</v>
      </c>
    </row>
    <row r="1900" spans="1:11" x14ac:dyDescent="0.45">
      <c r="A1900">
        <v>8094</v>
      </c>
      <c r="B1900" s="15">
        <v>43859</v>
      </c>
      <c r="C1900" t="str">
        <f>TEXT(Table1[[#This Row],[Order Date]], "yyyy")</f>
        <v>2020</v>
      </c>
      <c r="D1900" t="str">
        <f>TEXT(Table1[[#This Row],[Order Date]], "mmmm")</f>
        <v>January</v>
      </c>
      <c r="E1900" s="16">
        <f>Table1[[#This Row],[Order Quantity]]*Table1[[#This Row],[Unit Price]]</f>
        <v>10033.66</v>
      </c>
      <c r="F1900">
        <v>26</v>
      </c>
      <c r="G1900" s="16">
        <v>385.91</v>
      </c>
      <c r="H1900" t="s">
        <v>8</v>
      </c>
      <c r="I1900" t="s">
        <v>1352</v>
      </c>
      <c r="J1900" t="s">
        <v>23</v>
      </c>
      <c r="K1900" t="s">
        <v>17</v>
      </c>
    </row>
    <row r="1901" spans="1:11" x14ac:dyDescent="0.45">
      <c r="A1901">
        <v>8095</v>
      </c>
      <c r="B1901" s="15">
        <v>44126</v>
      </c>
      <c r="C1901" t="str">
        <f>TEXT(Table1[[#This Row],[Order Date]], "yyyy")</f>
        <v>2020</v>
      </c>
      <c r="D1901" t="str">
        <f>TEXT(Table1[[#This Row],[Order Date]], "mmmm")</f>
        <v>October</v>
      </c>
      <c r="E1901" s="16">
        <f>Table1[[#This Row],[Order Quantity]]*Table1[[#This Row],[Unit Price]]</f>
        <v>66812.7</v>
      </c>
      <c r="F1901">
        <v>69</v>
      </c>
      <c r="G1901" s="16">
        <v>968.3</v>
      </c>
      <c r="H1901" t="s">
        <v>8</v>
      </c>
      <c r="I1901" t="s">
        <v>1353</v>
      </c>
      <c r="J1901" t="s">
        <v>20</v>
      </c>
      <c r="K1901" t="s">
        <v>15</v>
      </c>
    </row>
    <row r="1902" spans="1:11" x14ac:dyDescent="0.45">
      <c r="A1902">
        <v>8096</v>
      </c>
      <c r="B1902" s="15">
        <v>44062</v>
      </c>
      <c r="C1902" t="str">
        <f>TEXT(Table1[[#This Row],[Order Date]], "yyyy")</f>
        <v>2020</v>
      </c>
      <c r="D1902" t="str">
        <f>TEXT(Table1[[#This Row],[Order Date]], "mmmm")</f>
        <v>August</v>
      </c>
      <c r="E1902" s="16">
        <f>Table1[[#This Row],[Order Quantity]]*Table1[[#This Row],[Unit Price]]</f>
        <v>7381.57</v>
      </c>
      <c r="F1902">
        <v>17</v>
      </c>
      <c r="G1902" s="16">
        <v>434.21</v>
      </c>
      <c r="H1902" t="s">
        <v>25</v>
      </c>
      <c r="I1902" t="s">
        <v>1354</v>
      </c>
      <c r="J1902" t="s">
        <v>13</v>
      </c>
      <c r="K1902" t="s">
        <v>15</v>
      </c>
    </row>
    <row r="1903" spans="1:11" x14ac:dyDescent="0.45">
      <c r="A1903">
        <v>8097</v>
      </c>
      <c r="B1903" s="15">
        <v>43947</v>
      </c>
      <c r="C1903" t="str">
        <f>TEXT(Table1[[#This Row],[Order Date]], "yyyy")</f>
        <v>2020</v>
      </c>
      <c r="D1903" t="str">
        <f>TEXT(Table1[[#This Row],[Order Date]], "mmmm")</f>
        <v>April</v>
      </c>
      <c r="E1903" s="16">
        <f>Table1[[#This Row],[Order Quantity]]*Table1[[#This Row],[Unit Price]]</f>
        <v>62350.86</v>
      </c>
      <c r="F1903">
        <v>66</v>
      </c>
      <c r="G1903" s="16">
        <v>944.71</v>
      </c>
      <c r="H1903" t="s">
        <v>464</v>
      </c>
      <c r="I1903" t="s">
        <v>1355</v>
      </c>
      <c r="J1903" t="s">
        <v>23</v>
      </c>
      <c r="K1903" t="s">
        <v>15</v>
      </c>
    </row>
    <row r="1904" spans="1:11" x14ac:dyDescent="0.45">
      <c r="A1904">
        <v>8098</v>
      </c>
      <c r="B1904" s="15">
        <v>44033</v>
      </c>
      <c r="C1904" t="str">
        <f>TEXT(Table1[[#This Row],[Order Date]], "yyyy")</f>
        <v>2020</v>
      </c>
      <c r="D1904" t="str">
        <f>TEXT(Table1[[#This Row],[Order Date]], "mmmm")</f>
        <v>July</v>
      </c>
      <c r="E1904" s="16">
        <f>Table1[[#This Row],[Order Quantity]]*Table1[[#This Row],[Unit Price]]</f>
        <v>59604.75</v>
      </c>
      <c r="F1904">
        <v>45</v>
      </c>
      <c r="G1904" s="16">
        <v>1324.55</v>
      </c>
      <c r="H1904" t="s">
        <v>25</v>
      </c>
      <c r="I1904" t="s">
        <v>1356</v>
      </c>
      <c r="J1904" t="s">
        <v>23</v>
      </c>
      <c r="K1904" t="s">
        <v>11</v>
      </c>
    </row>
    <row r="1905" spans="1:11" x14ac:dyDescent="0.45">
      <c r="A1905">
        <v>8099</v>
      </c>
      <c r="B1905" s="15">
        <v>44142</v>
      </c>
      <c r="C1905" t="str">
        <f>TEXT(Table1[[#This Row],[Order Date]], "yyyy")</f>
        <v>2020</v>
      </c>
      <c r="D1905" t="str">
        <f>TEXT(Table1[[#This Row],[Order Date]], "mmmm")</f>
        <v>November</v>
      </c>
      <c r="E1905" s="16">
        <f>Table1[[#This Row],[Order Quantity]]*Table1[[#This Row],[Unit Price]]</f>
        <v>36128.400000000001</v>
      </c>
      <c r="F1905">
        <v>56</v>
      </c>
      <c r="G1905" s="16">
        <v>645.15</v>
      </c>
      <c r="H1905" t="s">
        <v>8</v>
      </c>
      <c r="I1905" t="s">
        <v>1357</v>
      </c>
      <c r="J1905" t="s">
        <v>10</v>
      </c>
      <c r="K1905" t="s">
        <v>17</v>
      </c>
    </row>
    <row r="1906" spans="1:11" x14ac:dyDescent="0.45">
      <c r="A1906">
        <v>8100</v>
      </c>
      <c r="B1906" s="15">
        <v>44148</v>
      </c>
      <c r="C1906" t="str">
        <f>TEXT(Table1[[#This Row],[Order Date]], "yyyy")</f>
        <v>2020</v>
      </c>
      <c r="D1906" t="str">
        <f>TEXT(Table1[[#This Row],[Order Date]], "mmmm")</f>
        <v>November</v>
      </c>
      <c r="E1906" s="16">
        <f>Table1[[#This Row],[Order Quantity]]*Table1[[#This Row],[Unit Price]]</f>
        <v>10223.290000000001</v>
      </c>
      <c r="F1906">
        <v>77</v>
      </c>
      <c r="G1906" s="16">
        <v>132.77000000000001</v>
      </c>
      <c r="H1906" t="s">
        <v>464</v>
      </c>
      <c r="I1906" t="s">
        <v>1358</v>
      </c>
      <c r="J1906" t="s">
        <v>10</v>
      </c>
      <c r="K1906" t="s">
        <v>17</v>
      </c>
    </row>
    <row r="1907" spans="1:11" x14ac:dyDescent="0.45">
      <c r="A1907">
        <v>8101</v>
      </c>
      <c r="B1907" s="15">
        <v>44105</v>
      </c>
      <c r="C1907" t="str">
        <f>TEXT(Table1[[#This Row],[Order Date]], "yyyy")</f>
        <v>2020</v>
      </c>
      <c r="D1907" t="str">
        <f>TEXT(Table1[[#This Row],[Order Date]], "mmmm")</f>
        <v>October</v>
      </c>
      <c r="E1907" s="16">
        <f>Table1[[#This Row],[Order Quantity]]*Table1[[#This Row],[Unit Price]]</f>
        <v>33964.92</v>
      </c>
      <c r="F1907">
        <v>81</v>
      </c>
      <c r="G1907" s="16">
        <v>419.32</v>
      </c>
      <c r="H1907" t="s">
        <v>464</v>
      </c>
      <c r="I1907" t="s">
        <v>1359</v>
      </c>
      <c r="J1907" t="s">
        <v>13</v>
      </c>
      <c r="K1907" t="s">
        <v>15</v>
      </c>
    </row>
    <row r="1908" spans="1:11" x14ac:dyDescent="0.45">
      <c r="A1908">
        <v>8102</v>
      </c>
      <c r="B1908" s="15">
        <v>43977</v>
      </c>
      <c r="C1908" t="str">
        <f>TEXT(Table1[[#This Row],[Order Date]], "yyyy")</f>
        <v>2020</v>
      </c>
      <c r="D1908" t="str">
        <f>TEXT(Table1[[#This Row],[Order Date]], "mmmm")</f>
        <v>May</v>
      </c>
      <c r="E1908" s="16">
        <f>Table1[[#This Row],[Order Quantity]]*Table1[[#This Row],[Unit Price]]</f>
        <v>6518.88</v>
      </c>
      <c r="F1908">
        <v>16</v>
      </c>
      <c r="G1908" s="16">
        <v>407.43</v>
      </c>
      <c r="H1908" t="s">
        <v>8</v>
      </c>
      <c r="I1908" t="s">
        <v>1360</v>
      </c>
      <c r="J1908" t="s">
        <v>10</v>
      </c>
      <c r="K1908" t="s">
        <v>11</v>
      </c>
    </row>
    <row r="1909" spans="1:11" x14ac:dyDescent="0.45">
      <c r="A1909">
        <v>8103</v>
      </c>
      <c r="B1909" s="15">
        <v>44158</v>
      </c>
      <c r="C1909" t="str">
        <f>TEXT(Table1[[#This Row],[Order Date]], "yyyy")</f>
        <v>2020</v>
      </c>
      <c r="D1909" t="str">
        <f>TEXT(Table1[[#This Row],[Order Date]], "mmmm")</f>
        <v>November</v>
      </c>
      <c r="E1909" s="16">
        <f>Table1[[#This Row],[Order Quantity]]*Table1[[#This Row],[Unit Price]]</f>
        <v>43160.45</v>
      </c>
      <c r="F1909">
        <v>85</v>
      </c>
      <c r="G1909" s="16">
        <v>507.77</v>
      </c>
      <c r="H1909" t="s">
        <v>464</v>
      </c>
      <c r="I1909" t="s">
        <v>1361</v>
      </c>
      <c r="J1909" t="s">
        <v>23</v>
      </c>
      <c r="K1909" t="s">
        <v>17</v>
      </c>
    </row>
    <row r="1910" spans="1:11" x14ac:dyDescent="0.45">
      <c r="A1910">
        <v>8104</v>
      </c>
      <c r="B1910" s="15">
        <v>43853</v>
      </c>
      <c r="C1910" t="str">
        <f>TEXT(Table1[[#This Row],[Order Date]], "yyyy")</f>
        <v>2020</v>
      </c>
      <c r="D1910" t="str">
        <f>TEXT(Table1[[#This Row],[Order Date]], "mmmm")</f>
        <v>January</v>
      </c>
      <c r="E1910" s="16">
        <f>Table1[[#This Row],[Order Quantity]]*Table1[[#This Row],[Unit Price]]</f>
        <v>6615.36</v>
      </c>
      <c r="F1910">
        <v>72</v>
      </c>
      <c r="G1910" s="16">
        <v>91.88</v>
      </c>
      <c r="H1910" t="s">
        <v>8</v>
      </c>
      <c r="I1910" t="s">
        <v>1362</v>
      </c>
      <c r="J1910" t="s">
        <v>23</v>
      </c>
      <c r="K1910" t="s">
        <v>17</v>
      </c>
    </row>
    <row r="1911" spans="1:11" x14ac:dyDescent="0.45">
      <c r="A1911">
        <v>8105</v>
      </c>
      <c r="B1911" s="15">
        <v>43861</v>
      </c>
      <c r="C1911" t="str">
        <f>TEXT(Table1[[#This Row],[Order Date]], "yyyy")</f>
        <v>2020</v>
      </c>
      <c r="D1911" t="str">
        <f>TEXT(Table1[[#This Row],[Order Date]], "mmmm")</f>
        <v>January</v>
      </c>
      <c r="E1911" s="16">
        <f>Table1[[#This Row],[Order Quantity]]*Table1[[#This Row],[Unit Price]]</f>
        <v>130182.29999999999</v>
      </c>
      <c r="F1911">
        <v>95</v>
      </c>
      <c r="G1911" s="16">
        <v>1370.34</v>
      </c>
      <c r="H1911" t="s">
        <v>8</v>
      </c>
      <c r="I1911" t="s">
        <v>1363</v>
      </c>
      <c r="J1911" t="s">
        <v>23</v>
      </c>
      <c r="K1911" t="s">
        <v>15</v>
      </c>
    </row>
    <row r="1912" spans="1:11" x14ac:dyDescent="0.45">
      <c r="A1912">
        <v>8106</v>
      </c>
      <c r="B1912" s="15">
        <v>43965</v>
      </c>
      <c r="C1912" t="str">
        <f>TEXT(Table1[[#This Row],[Order Date]], "yyyy")</f>
        <v>2020</v>
      </c>
      <c r="D1912" t="str">
        <f>TEXT(Table1[[#This Row],[Order Date]], "mmmm")</f>
        <v>May</v>
      </c>
      <c r="E1912" s="16">
        <f>Table1[[#This Row],[Order Quantity]]*Table1[[#This Row],[Unit Price]]</f>
        <v>14644.330000000002</v>
      </c>
      <c r="F1912">
        <v>23</v>
      </c>
      <c r="G1912" s="16">
        <v>636.71</v>
      </c>
      <c r="H1912" t="s">
        <v>8</v>
      </c>
      <c r="I1912" t="s">
        <v>1364</v>
      </c>
      <c r="J1912" t="s">
        <v>10</v>
      </c>
      <c r="K1912" t="s">
        <v>17</v>
      </c>
    </row>
    <row r="1913" spans="1:11" x14ac:dyDescent="0.45">
      <c r="A1913">
        <v>8107</v>
      </c>
      <c r="B1913" s="15">
        <v>43971</v>
      </c>
      <c r="C1913" t="str">
        <f>TEXT(Table1[[#This Row],[Order Date]], "yyyy")</f>
        <v>2020</v>
      </c>
      <c r="D1913" t="str">
        <f>TEXT(Table1[[#This Row],[Order Date]], "mmmm")</f>
        <v>May</v>
      </c>
      <c r="E1913" s="16">
        <f>Table1[[#This Row],[Order Quantity]]*Table1[[#This Row],[Unit Price]]</f>
        <v>12093.6</v>
      </c>
      <c r="F1913">
        <v>15</v>
      </c>
      <c r="G1913" s="16">
        <v>806.24</v>
      </c>
      <c r="H1913" t="s">
        <v>8</v>
      </c>
      <c r="I1913" t="s">
        <v>1365</v>
      </c>
      <c r="J1913" t="s">
        <v>10</v>
      </c>
      <c r="K1913" t="s">
        <v>11</v>
      </c>
    </row>
    <row r="1914" spans="1:11" x14ac:dyDescent="0.45">
      <c r="A1914">
        <v>8108</v>
      </c>
      <c r="B1914" s="15">
        <v>44020</v>
      </c>
      <c r="C1914" t="str">
        <f>TEXT(Table1[[#This Row],[Order Date]], "yyyy")</f>
        <v>2020</v>
      </c>
      <c r="D1914" t="str">
        <f>TEXT(Table1[[#This Row],[Order Date]], "mmmm")</f>
        <v>July</v>
      </c>
      <c r="E1914" s="16">
        <f>Table1[[#This Row],[Order Quantity]]*Table1[[#This Row],[Unit Price]]</f>
        <v>11448.61</v>
      </c>
      <c r="F1914">
        <v>31</v>
      </c>
      <c r="G1914" s="16">
        <v>369.31</v>
      </c>
      <c r="H1914" t="s">
        <v>464</v>
      </c>
      <c r="I1914" t="s">
        <v>1366</v>
      </c>
      <c r="J1914" t="s">
        <v>10</v>
      </c>
      <c r="K1914" t="s">
        <v>17</v>
      </c>
    </row>
    <row r="1915" spans="1:11" x14ac:dyDescent="0.45">
      <c r="A1915">
        <v>8109</v>
      </c>
      <c r="B1915" s="15">
        <v>43916</v>
      </c>
      <c r="C1915" t="str">
        <f>TEXT(Table1[[#This Row],[Order Date]], "yyyy")</f>
        <v>2020</v>
      </c>
      <c r="D1915" t="str">
        <f>TEXT(Table1[[#This Row],[Order Date]], "mmmm")</f>
        <v>March</v>
      </c>
      <c r="E1915" s="16">
        <f>Table1[[#This Row],[Order Quantity]]*Table1[[#This Row],[Unit Price]]</f>
        <v>10004.719999999999</v>
      </c>
      <c r="F1915">
        <v>44</v>
      </c>
      <c r="G1915" s="16">
        <v>227.38</v>
      </c>
      <c r="H1915" t="s">
        <v>464</v>
      </c>
      <c r="I1915" t="s">
        <v>1367</v>
      </c>
      <c r="J1915" t="s">
        <v>13</v>
      </c>
      <c r="K1915" t="s">
        <v>15</v>
      </c>
    </row>
    <row r="1916" spans="1:11" x14ac:dyDescent="0.45">
      <c r="A1916">
        <v>8110</v>
      </c>
      <c r="B1916" s="15">
        <v>43951</v>
      </c>
      <c r="C1916" t="str">
        <f>TEXT(Table1[[#This Row],[Order Date]], "yyyy")</f>
        <v>2020</v>
      </c>
      <c r="D1916" t="str">
        <f>TEXT(Table1[[#This Row],[Order Date]], "mmmm")</f>
        <v>April</v>
      </c>
      <c r="E1916" s="16">
        <f>Table1[[#This Row],[Order Quantity]]*Table1[[#This Row],[Unit Price]]</f>
        <v>111043.20000000001</v>
      </c>
      <c r="F1916">
        <v>96</v>
      </c>
      <c r="G1916" s="16">
        <v>1156.7</v>
      </c>
      <c r="H1916" t="s">
        <v>25</v>
      </c>
      <c r="I1916" t="s">
        <v>1368</v>
      </c>
      <c r="J1916" t="s">
        <v>13</v>
      </c>
      <c r="K1916" t="s">
        <v>15</v>
      </c>
    </row>
    <row r="1917" spans="1:11" x14ac:dyDescent="0.45">
      <c r="A1917">
        <v>8111</v>
      </c>
      <c r="B1917" s="15">
        <v>44092</v>
      </c>
      <c r="C1917" t="str">
        <f>TEXT(Table1[[#This Row],[Order Date]], "yyyy")</f>
        <v>2020</v>
      </c>
      <c r="D1917" t="str">
        <f>TEXT(Table1[[#This Row],[Order Date]], "mmmm")</f>
        <v>September</v>
      </c>
      <c r="E1917" s="16">
        <f>Table1[[#This Row],[Order Quantity]]*Table1[[#This Row],[Unit Price]]</f>
        <v>1044.0900000000001</v>
      </c>
      <c r="F1917">
        <v>9</v>
      </c>
      <c r="G1917" s="16">
        <v>116.01</v>
      </c>
      <c r="H1917" t="s">
        <v>8</v>
      </c>
      <c r="I1917" t="s">
        <v>1369</v>
      </c>
      <c r="J1917" t="s">
        <v>13</v>
      </c>
      <c r="K1917" t="s">
        <v>11</v>
      </c>
    </row>
    <row r="1918" spans="1:11" x14ac:dyDescent="0.45">
      <c r="A1918">
        <v>8112</v>
      </c>
      <c r="B1918" s="15">
        <v>43970</v>
      </c>
      <c r="C1918" t="str">
        <f>TEXT(Table1[[#This Row],[Order Date]], "yyyy")</f>
        <v>2020</v>
      </c>
      <c r="D1918" t="str">
        <f>TEXT(Table1[[#This Row],[Order Date]], "mmmm")</f>
        <v>May</v>
      </c>
      <c r="E1918" s="16">
        <f>Table1[[#This Row],[Order Quantity]]*Table1[[#This Row],[Unit Price]]</f>
        <v>45445.62</v>
      </c>
      <c r="F1918">
        <v>37</v>
      </c>
      <c r="G1918" s="16">
        <v>1228.26</v>
      </c>
      <c r="H1918" t="s">
        <v>8</v>
      </c>
      <c r="I1918" t="s">
        <v>1370</v>
      </c>
      <c r="J1918" t="s">
        <v>20</v>
      </c>
      <c r="K1918" t="s">
        <v>15</v>
      </c>
    </row>
    <row r="1919" spans="1:11" x14ac:dyDescent="0.45">
      <c r="A1919">
        <v>8113</v>
      </c>
      <c r="B1919" s="15">
        <v>44165</v>
      </c>
      <c r="C1919" t="str">
        <f>TEXT(Table1[[#This Row],[Order Date]], "yyyy")</f>
        <v>2020</v>
      </c>
      <c r="D1919" t="str">
        <f>TEXT(Table1[[#This Row],[Order Date]], "mmmm")</f>
        <v>November</v>
      </c>
      <c r="E1919" s="16">
        <f>Table1[[#This Row],[Order Quantity]]*Table1[[#This Row],[Unit Price]]</f>
        <v>20785.32</v>
      </c>
      <c r="F1919">
        <v>18</v>
      </c>
      <c r="G1919" s="16">
        <v>1154.74</v>
      </c>
      <c r="H1919" t="s">
        <v>8</v>
      </c>
      <c r="I1919" t="s">
        <v>1371</v>
      </c>
      <c r="J1919" t="s">
        <v>20</v>
      </c>
      <c r="K1919" t="s">
        <v>15</v>
      </c>
    </row>
    <row r="1920" spans="1:11" x14ac:dyDescent="0.45">
      <c r="A1920">
        <v>8114</v>
      </c>
      <c r="B1920" s="15">
        <v>44151</v>
      </c>
      <c r="C1920" t="str">
        <f>TEXT(Table1[[#This Row],[Order Date]], "yyyy")</f>
        <v>2020</v>
      </c>
      <c r="D1920" t="str">
        <f>TEXT(Table1[[#This Row],[Order Date]], "mmmm")</f>
        <v>November</v>
      </c>
      <c r="E1920" s="16">
        <f>Table1[[#This Row],[Order Quantity]]*Table1[[#This Row],[Unit Price]]</f>
        <v>114553.68</v>
      </c>
      <c r="F1920">
        <v>89</v>
      </c>
      <c r="G1920" s="16">
        <v>1287.1199999999999</v>
      </c>
      <c r="H1920" t="s">
        <v>25</v>
      </c>
      <c r="I1920" t="s">
        <v>1372</v>
      </c>
      <c r="J1920" t="s">
        <v>23</v>
      </c>
      <c r="K1920" t="s">
        <v>11</v>
      </c>
    </row>
    <row r="1921" spans="1:11" x14ac:dyDescent="0.45">
      <c r="A1921">
        <v>8115</v>
      </c>
      <c r="B1921" s="15">
        <v>44137</v>
      </c>
      <c r="C1921" t="str">
        <f>TEXT(Table1[[#This Row],[Order Date]], "yyyy")</f>
        <v>2020</v>
      </c>
      <c r="D1921" t="str">
        <f>TEXT(Table1[[#This Row],[Order Date]], "mmmm")</f>
        <v>November</v>
      </c>
      <c r="E1921" s="16">
        <f>Table1[[#This Row],[Order Quantity]]*Table1[[#This Row],[Unit Price]]</f>
        <v>17373.599999999999</v>
      </c>
      <c r="F1921">
        <v>90</v>
      </c>
      <c r="G1921" s="16">
        <v>193.04</v>
      </c>
      <c r="H1921" t="s">
        <v>8</v>
      </c>
      <c r="I1921" t="s">
        <v>1373</v>
      </c>
      <c r="J1921" t="s">
        <v>13</v>
      </c>
      <c r="K1921" t="s">
        <v>17</v>
      </c>
    </row>
    <row r="1922" spans="1:11" x14ac:dyDescent="0.45">
      <c r="A1922">
        <v>8116</v>
      </c>
      <c r="B1922" s="15">
        <v>43986</v>
      </c>
      <c r="C1922" t="str">
        <f>TEXT(Table1[[#This Row],[Order Date]], "yyyy")</f>
        <v>2020</v>
      </c>
      <c r="D1922" t="str">
        <f>TEXT(Table1[[#This Row],[Order Date]], "mmmm")</f>
        <v>June</v>
      </c>
      <c r="E1922" s="16">
        <f>Table1[[#This Row],[Order Quantity]]*Table1[[#This Row],[Unit Price]]</f>
        <v>29736.7</v>
      </c>
      <c r="F1922">
        <v>23</v>
      </c>
      <c r="G1922" s="16">
        <v>1292.9000000000001</v>
      </c>
      <c r="H1922" t="s">
        <v>8</v>
      </c>
      <c r="I1922" t="s">
        <v>1374</v>
      </c>
      <c r="J1922" t="s">
        <v>20</v>
      </c>
      <c r="K1922" t="s">
        <v>17</v>
      </c>
    </row>
    <row r="1923" spans="1:11" x14ac:dyDescent="0.45">
      <c r="A1923">
        <v>8117</v>
      </c>
      <c r="B1923" s="15">
        <v>43855</v>
      </c>
      <c r="C1923" t="str">
        <f>TEXT(Table1[[#This Row],[Order Date]], "yyyy")</f>
        <v>2020</v>
      </c>
      <c r="D1923" t="str">
        <f>TEXT(Table1[[#This Row],[Order Date]], "mmmm")</f>
        <v>January</v>
      </c>
      <c r="E1923" s="16">
        <f>Table1[[#This Row],[Order Quantity]]*Table1[[#This Row],[Unit Price]]</f>
        <v>3436.44</v>
      </c>
      <c r="F1923">
        <v>14</v>
      </c>
      <c r="G1923" s="16">
        <v>245.46</v>
      </c>
      <c r="H1923" t="s">
        <v>464</v>
      </c>
      <c r="I1923" t="s">
        <v>1375</v>
      </c>
      <c r="J1923" t="s">
        <v>10</v>
      </c>
      <c r="K1923" t="s">
        <v>11</v>
      </c>
    </row>
    <row r="1924" spans="1:11" x14ac:dyDescent="0.45">
      <c r="A1924">
        <v>8118</v>
      </c>
      <c r="B1924" s="15">
        <v>44192</v>
      </c>
      <c r="C1924" t="str">
        <f>TEXT(Table1[[#This Row],[Order Date]], "yyyy")</f>
        <v>2020</v>
      </c>
      <c r="D1924" t="str">
        <f>TEXT(Table1[[#This Row],[Order Date]], "mmmm")</f>
        <v>December</v>
      </c>
      <c r="E1924" s="16">
        <f>Table1[[#This Row],[Order Quantity]]*Table1[[#This Row],[Unit Price]]</f>
        <v>30859.850000000002</v>
      </c>
      <c r="F1924">
        <v>35</v>
      </c>
      <c r="G1924" s="16">
        <v>881.71</v>
      </c>
      <c r="H1924" t="s">
        <v>8</v>
      </c>
      <c r="I1924" t="s">
        <v>1376</v>
      </c>
      <c r="J1924" t="s">
        <v>13</v>
      </c>
      <c r="K1924" t="s">
        <v>11</v>
      </c>
    </row>
    <row r="1925" spans="1:11" x14ac:dyDescent="0.45">
      <c r="A1925">
        <v>8119</v>
      </c>
      <c r="B1925" s="15">
        <v>43868</v>
      </c>
      <c r="C1925" t="str">
        <f>TEXT(Table1[[#This Row],[Order Date]], "yyyy")</f>
        <v>2020</v>
      </c>
      <c r="D1925" t="str">
        <f>TEXT(Table1[[#This Row],[Order Date]], "mmmm")</f>
        <v>February</v>
      </c>
      <c r="E1925" s="16">
        <f>Table1[[#This Row],[Order Quantity]]*Table1[[#This Row],[Unit Price]]</f>
        <v>25074.2</v>
      </c>
      <c r="F1925">
        <v>20</v>
      </c>
      <c r="G1925" s="16">
        <v>1253.71</v>
      </c>
      <c r="H1925" t="s">
        <v>25</v>
      </c>
      <c r="I1925" t="s">
        <v>1377</v>
      </c>
      <c r="J1925" t="s">
        <v>13</v>
      </c>
      <c r="K1925" t="s">
        <v>17</v>
      </c>
    </row>
    <row r="1926" spans="1:11" x14ac:dyDescent="0.45">
      <c r="A1926">
        <v>8120</v>
      </c>
      <c r="B1926" s="15">
        <v>43855</v>
      </c>
      <c r="C1926" t="str">
        <f>TEXT(Table1[[#This Row],[Order Date]], "yyyy")</f>
        <v>2020</v>
      </c>
      <c r="D1926" t="str">
        <f>TEXT(Table1[[#This Row],[Order Date]], "mmmm")</f>
        <v>January</v>
      </c>
      <c r="E1926" s="16">
        <f>Table1[[#This Row],[Order Quantity]]*Table1[[#This Row],[Unit Price]]</f>
        <v>74947.5</v>
      </c>
      <c r="F1926">
        <v>90</v>
      </c>
      <c r="G1926" s="16">
        <v>832.75</v>
      </c>
      <c r="H1926" t="s">
        <v>464</v>
      </c>
      <c r="I1926" t="s">
        <v>1378</v>
      </c>
      <c r="J1926" t="s">
        <v>13</v>
      </c>
      <c r="K1926" t="s">
        <v>11</v>
      </c>
    </row>
    <row r="1927" spans="1:11" x14ac:dyDescent="0.45">
      <c r="A1927">
        <v>8121</v>
      </c>
      <c r="B1927" s="15">
        <v>43995</v>
      </c>
      <c r="C1927" t="str">
        <f>TEXT(Table1[[#This Row],[Order Date]], "yyyy")</f>
        <v>2020</v>
      </c>
      <c r="D1927" t="str">
        <f>TEXT(Table1[[#This Row],[Order Date]], "mmmm")</f>
        <v>June</v>
      </c>
      <c r="E1927" s="16">
        <f>Table1[[#This Row],[Order Quantity]]*Table1[[#This Row],[Unit Price]]</f>
        <v>24350.49</v>
      </c>
      <c r="F1927">
        <v>27</v>
      </c>
      <c r="G1927" s="16">
        <v>901.87</v>
      </c>
      <c r="H1927" t="s">
        <v>464</v>
      </c>
      <c r="I1927" t="s">
        <v>1379</v>
      </c>
      <c r="J1927" t="s">
        <v>10</v>
      </c>
      <c r="K1927" t="s">
        <v>17</v>
      </c>
    </row>
    <row r="1928" spans="1:11" x14ac:dyDescent="0.45">
      <c r="A1928">
        <v>8122</v>
      </c>
      <c r="B1928" s="15">
        <v>44131</v>
      </c>
      <c r="C1928" t="str">
        <f>TEXT(Table1[[#This Row],[Order Date]], "yyyy")</f>
        <v>2020</v>
      </c>
      <c r="D1928" t="str">
        <f>TEXT(Table1[[#This Row],[Order Date]], "mmmm")</f>
        <v>October</v>
      </c>
      <c r="E1928" s="16">
        <f>Table1[[#This Row],[Order Quantity]]*Table1[[#This Row],[Unit Price]]</f>
        <v>30955.56</v>
      </c>
      <c r="F1928">
        <v>38</v>
      </c>
      <c r="G1928" s="16">
        <v>814.62</v>
      </c>
      <c r="H1928" t="s">
        <v>464</v>
      </c>
      <c r="I1928" t="s">
        <v>1380</v>
      </c>
      <c r="J1928" t="s">
        <v>13</v>
      </c>
      <c r="K1928" t="s">
        <v>15</v>
      </c>
    </row>
    <row r="1929" spans="1:11" x14ac:dyDescent="0.45">
      <c r="A1929">
        <v>8123</v>
      </c>
      <c r="B1929" s="15">
        <v>44074</v>
      </c>
      <c r="C1929" t="str">
        <f>TEXT(Table1[[#This Row],[Order Date]], "yyyy")</f>
        <v>2020</v>
      </c>
      <c r="D1929" t="str">
        <f>TEXT(Table1[[#This Row],[Order Date]], "mmmm")</f>
        <v>August</v>
      </c>
      <c r="E1929" s="16">
        <f>Table1[[#This Row],[Order Quantity]]*Table1[[#This Row],[Unit Price]]</f>
        <v>21694.210000000003</v>
      </c>
      <c r="F1929">
        <v>17</v>
      </c>
      <c r="G1929" s="16">
        <v>1276.1300000000001</v>
      </c>
      <c r="H1929" t="s">
        <v>464</v>
      </c>
      <c r="I1929" t="s">
        <v>1381</v>
      </c>
      <c r="J1929" t="s">
        <v>13</v>
      </c>
      <c r="K1929" t="s">
        <v>17</v>
      </c>
    </row>
    <row r="1930" spans="1:11" x14ac:dyDescent="0.45">
      <c r="A1930">
        <v>8124</v>
      </c>
      <c r="B1930" s="15">
        <v>44117</v>
      </c>
      <c r="C1930" t="str">
        <f>TEXT(Table1[[#This Row],[Order Date]], "yyyy")</f>
        <v>2020</v>
      </c>
      <c r="D1930" t="str">
        <f>TEXT(Table1[[#This Row],[Order Date]], "mmmm")</f>
        <v>October</v>
      </c>
      <c r="E1930" s="16">
        <f>Table1[[#This Row],[Order Quantity]]*Table1[[#This Row],[Unit Price]]</f>
        <v>75304.51999999999</v>
      </c>
      <c r="F1930">
        <v>53</v>
      </c>
      <c r="G1930" s="16">
        <v>1420.84</v>
      </c>
      <c r="H1930" t="s">
        <v>8</v>
      </c>
      <c r="I1930" t="s">
        <v>1382</v>
      </c>
      <c r="J1930" t="s">
        <v>20</v>
      </c>
      <c r="K1930" t="s">
        <v>11</v>
      </c>
    </row>
    <row r="1931" spans="1:11" x14ac:dyDescent="0.45">
      <c r="A1931">
        <v>8125</v>
      </c>
      <c r="B1931" s="15">
        <v>44160</v>
      </c>
      <c r="C1931" t="str">
        <f>TEXT(Table1[[#This Row],[Order Date]], "yyyy")</f>
        <v>2020</v>
      </c>
      <c r="D1931" t="str">
        <f>TEXT(Table1[[#This Row],[Order Date]], "mmmm")</f>
        <v>November</v>
      </c>
      <c r="E1931" s="16">
        <f>Table1[[#This Row],[Order Quantity]]*Table1[[#This Row],[Unit Price]]</f>
        <v>41606.25</v>
      </c>
      <c r="F1931">
        <v>75</v>
      </c>
      <c r="G1931" s="16">
        <v>554.75</v>
      </c>
      <c r="H1931" t="s">
        <v>464</v>
      </c>
      <c r="I1931" t="s">
        <v>1383</v>
      </c>
      <c r="J1931" t="s">
        <v>13</v>
      </c>
      <c r="K1931" t="s">
        <v>17</v>
      </c>
    </row>
    <row r="1932" spans="1:11" x14ac:dyDescent="0.45">
      <c r="A1932">
        <v>8126</v>
      </c>
      <c r="B1932" s="15">
        <v>44151</v>
      </c>
      <c r="C1932" t="str">
        <f>TEXT(Table1[[#This Row],[Order Date]], "yyyy")</f>
        <v>2020</v>
      </c>
      <c r="D1932" t="str">
        <f>TEXT(Table1[[#This Row],[Order Date]], "mmmm")</f>
        <v>November</v>
      </c>
      <c r="E1932" s="16">
        <f>Table1[[#This Row],[Order Quantity]]*Table1[[#This Row],[Unit Price]]</f>
        <v>19864.02</v>
      </c>
      <c r="F1932">
        <v>22</v>
      </c>
      <c r="G1932" s="16">
        <v>902.91</v>
      </c>
      <c r="H1932" t="s">
        <v>25</v>
      </c>
      <c r="I1932" t="s">
        <v>1384</v>
      </c>
      <c r="J1932" t="s">
        <v>13</v>
      </c>
      <c r="K1932" t="s">
        <v>17</v>
      </c>
    </row>
    <row r="1933" spans="1:11" x14ac:dyDescent="0.45">
      <c r="A1933">
        <v>8127</v>
      </c>
      <c r="B1933" s="15">
        <v>43974</v>
      </c>
      <c r="C1933" t="str">
        <f>TEXT(Table1[[#This Row],[Order Date]], "yyyy")</f>
        <v>2020</v>
      </c>
      <c r="D1933" t="str">
        <f>TEXT(Table1[[#This Row],[Order Date]], "mmmm")</f>
        <v>May</v>
      </c>
      <c r="E1933" s="16">
        <f>Table1[[#This Row],[Order Quantity]]*Table1[[#This Row],[Unit Price]]</f>
        <v>22244.400000000001</v>
      </c>
      <c r="F1933">
        <v>15</v>
      </c>
      <c r="G1933" s="16">
        <v>1482.96</v>
      </c>
      <c r="H1933" t="s">
        <v>464</v>
      </c>
      <c r="I1933" t="s">
        <v>1385</v>
      </c>
      <c r="J1933" t="s">
        <v>20</v>
      </c>
      <c r="K1933" t="s">
        <v>15</v>
      </c>
    </row>
    <row r="1934" spans="1:11" x14ac:dyDescent="0.45">
      <c r="A1934">
        <v>8128</v>
      </c>
      <c r="B1934" s="15">
        <v>44060</v>
      </c>
      <c r="C1934" t="str">
        <f>TEXT(Table1[[#This Row],[Order Date]], "yyyy")</f>
        <v>2020</v>
      </c>
      <c r="D1934" t="str">
        <f>TEXT(Table1[[#This Row],[Order Date]], "mmmm")</f>
        <v>August</v>
      </c>
      <c r="E1934" s="16">
        <f>Table1[[#This Row],[Order Quantity]]*Table1[[#This Row],[Unit Price]]</f>
        <v>551.44000000000005</v>
      </c>
      <c r="F1934">
        <v>4</v>
      </c>
      <c r="G1934" s="16">
        <v>137.86000000000001</v>
      </c>
      <c r="H1934" t="s">
        <v>8</v>
      </c>
      <c r="I1934" t="s">
        <v>1386</v>
      </c>
      <c r="J1934" t="s">
        <v>13</v>
      </c>
      <c r="K1934" t="s">
        <v>11</v>
      </c>
    </row>
    <row r="1935" spans="1:11" x14ac:dyDescent="0.45">
      <c r="A1935">
        <v>8129</v>
      </c>
      <c r="B1935" s="15">
        <v>43941</v>
      </c>
      <c r="C1935" t="str">
        <f>TEXT(Table1[[#This Row],[Order Date]], "yyyy")</f>
        <v>2020</v>
      </c>
      <c r="D1935" t="str">
        <f>TEXT(Table1[[#This Row],[Order Date]], "mmmm")</f>
        <v>April</v>
      </c>
      <c r="E1935" s="16">
        <f>Table1[[#This Row],[Order Quantity]]*Table1[[#This Row],[Unit Price]]</f>
        <v>55894.64</v>
      </c>
      <c r="F1935">
        <v>73</v>
      </c>
      <c r="G1935" s="16">
        <v>765.68</v>
      </c>
      <c r="H1935" t="s">
        <v>464</v>
      </c>
      <c r="I1935" t="s">
        <v>1387</v>
      </c>
      <c r="J1935" t="s">
        <v>23</v>
      </c>
      <c r="K1935" t="s">
        <v>15</v>
      </c>
    </row>
    <row r="1936" spans="1:11" x14ac:dyDescent="0.45">
      <c r="A1936">
        <v>8130</v>
      </c>
      <c r="B1936" s="15">
        <v>43846</v>
      </c>
      <c r="C1936" t="str">
        <f>TEXT(Table1[[#This Row],[Order Date]], "yyyy")</f>
        <v>2020</v>
      </c>
      <c r="D1936" t="str">
        <f>TEXT(Table1[[#This Row],[Order Date]], "mmmm")</f>
        <v>January</v>
      </c>
      <c r="E1936" s="16">
        <f>Table1[[#This Row],[Order Quantity]]*Table1[[#This Row],[Unit Price]]</f>
        <v>79326</v>
      </c>
      <c r="F1936">
        <v>54</v>
      </c>
      <c r="G1936" s="16">
        <v>1469</v>
      </c>
      <c r="H1936" t="s">
        <v>25</v>
      </c>
      <c r="I1936" t="s">
        <v>1388</v>
      </c>
      <c r="J1936" t="s">
        <v>20</v>
      </c>
      <c r="K1936" t="s">
        <v>11</v>
      </c>
    </row>
    <row r="1937" spans="1:11" x14ac:dyDescent="0.45">
      <c r="A1937">
        <v>8131</v>
      </c>
      <c r="B1937" s="15">
        <v>43944</v>
      </c>
      <c r="C1937" t="str">
        <f>TEXT(Table1[[#This Row],[Order Date]], "yyyy")</f>
        <v>2020</v>
      </c>
      <c r="D1937" t="str">
        <f>TEXT(Table1[[#This Row],[Order Date]], "mmmm")</f>
        <v>April</v>
      </c>
      <c r="E1937" s="16">
        <f>Table1[[#This Row],[Order Quantity]]*Table1[[#This Row],[Unit Price]]</f>
        <v>40190.400000000001</v>
      </c>
      <c r="F1937">
        <v>40</v>
      </c>
      <c r="G1937" s="16">
        <v>1004.76</v>
      </c>
      <c r="H1937" t="s">
        <v>464</v>
      </c>
      <c r="I1937" t="s">
        <v>1389</v>
      </c>
      <c r="J1937" t="s">
        <v>13</v>
      </c>
      <c r="K1937" t="s">
        <v>11</v>
      </c>
    </row>
    <row r="1938" spans="1:11" x14ac:dyDescent="0.45">
      <c r="A1938">
        <v>8132</v>
      </c>
      <c r="B1938" s="15">
        <v>44188</v>
      </c>
      <c r="C1938" t="str">
        <f>TEXT(Table1[[#This Row],[Order Date]], "yyyy")</f>
        <v>2020</v>
      </c>
      <c r="D1938" t="str">
        <f>TEXT(Table1[[#This Row],[Order Date]], "mmmm")</f>
        <v>December</v>
      </c>
      <c r="E1938" s="16">
        <f>Table1[[#This Row],[Order Quantity]]*Table1[[#This Row],[Unit Price]]</f>
        <v>109669.32</v>
      </c>
      <c r="F1938">
        <v>93</v>
      </c>
      <c r="G1938" s="16">
        <v>1179.24</v>
      </c>
      <c r="H1938" t="s">
        <v>25</v>
      </c>
      <c r="I1938" t="s">
        <v>1390</v>
      </c>
      <c r="J1938" t="s">
        <v>10</v>
      </c>
      <c r="K1938" t="s">
        <v>17</v>
      </c>
    </row>
    <row r="1939" spans="1:11" x14ac:dyDescent="0.45">
      <c r="A1939">
        <v>8133</v>
      </c>
      <c r="B1939" s="15">
        <v>44112</v>
      </c>
      <c r="C1939" t="str">
        <f>TEXT(Table1[[#This Row],[Order Date]], "yyyy")</f>
        <v>2020</v>
      </c>
      <c r="D1939" t="str">
        <f>TEXT(Table1[[#This Row],[Order Date]], "mmmm")</f>
        <v>October</v>
      </c>
      <c r="E1939" s="16">
        <f>Table1[[#This Row],[Order Quantity]]*Table1[[#This Row],[Unit Price]]</f>
        <v>11978.75</v>
      </c>
      <c r="F1939">
        <v>37</v>
      </c>
      <c r="G1939" s="16">
        <v>323.75</v>
      </c>
      <c r="H1939" t="s">
        <v>8</v>
      </c>
      <c r="I1939" t="s">
        <v>1391</v>
      </c>
      <c r="J1939" t="s">
        <v>20</v>
      </c>
      <c r="K1939" t="s">
        <v>15</v>
      </c>
    </row>
    <row r="1940" spans="1:11" x14ac:dyDescent="0.45">
      <c r="A1940">
        <v>8134</v>
      </c>
      <c r="B1940" s="15">
        <v>43914</v>
      </c>
      <c r="C1940" t="str">
        <f>TEXT(Table1[[#This Row],[Order Date]], "yyyy")</f>
        <v>2020</v>
      </c>
      <c r="D1940" t="str">
        <f>TEXT(Table1[[#This Row],[Order Date]], "mmmm")</f>
        <v>March</v>
      </c>
      <c r="E1940" s="16">
        <f>Table1[[#This Row],[Order Quantity]]*Table1[[#This Row],[Unit Price]]</f>
        <v>21875.040000000001</v>
      </c>
      <c r="F1940">
        <v>24</v>
      </c>
      <c r="G1940" s="16">
        <v>911.46</v>
      </c>
      <c r="H1940" t="s">
        <v>464</v>
      </c>
      <c r="I1940" t="s">
        <v>1392</v>
      </c>
      <c r="J1940" t="s">
        <v>20</v>
      </c>
      <c r="K1940" t="s">
        <v>17</v>
      </c>
    </row>
    <row r="1941" spans="1:11" x14ac:dyDescent="0.45">
      <c r="A1941">
        <v>8135</v>
      </c>
      <c r="B1941" s="15">
        <v>44199</v>
      </c>
      <c r="C1941" t="str">
        <f>TEXT(Table1[[#This Row],[Order Date]], "yyyy")</f>
        <v>2021</v>
      </c>
      <c r="D1941" t="str">
        <f>TEXT(Table1[[#This Row],[Order Date]], "mmmm")</f>
        <v>January</v>
      </c>
      <c r="E1941" s="16">
        <f>Table1[[#This Row],[Order Quantity]]*Table1[[#This Row],[Unit Price]]</f>
        <v>82403.58</v>
      </c>
      <c r="F1941">
        <v>93</v>
      </c>
      <c r="G1941" s="16">
        <v>886.06</v>
      </c>
      <c r="H1941" t="s">
        <v>8</v>
      </c>
      <c r="I1941" t="s">
        <v>1393</v>
      </c>
      <c r="J1941" t="s">
        <v>13</v>
      </c>
      <c r="K1941" t="s">
        <v>17</v>
      </c>
    </row>
    <row r="1942" spans="1:11" x14ac:dyDescent="0.45">
      <c r="A1942">
        <v>8136</v>
      </c>
      <c r="B1942" s="15">
        <v>44079</v>
      </c>
      <c r="C1942" t="str">
        <f>TEXT(Table1[[#This Row],[Order Date]], "yyyy")</f>
        <v>2020</v>
      </c>
      <c r="D1942" t="str">
        <f>TEXT(Table1[[#This Row],[Order Date]], "mmmm")</f>
        <v>September</v>
      </c>
      <c r="E1942" s="16">
        <f>Table1[[#This Row],[Order Quantity]]*Table1[[#This Row],[Unit Price]]</f>
        <v>10733.64</v>
      </c>
      <c r="F1942">
        <v>92</v>
      </c>
      <c r="G1942" s="16">
        <v>116.67</v>
      </c>
      <c r="H1942" t="s">
        <v>8</v>
      </c>
      <c r="I1942" t="s">
        <v>1394</v>
      </c>
      <c r="J1942" t="s">
        <v>23</v>
      </c>
      <c r="K1942" t="s">
        <v>15</v>
      </c>
    </row>
    <row r="1943" spans="1:11" x14ac:dyDescent="0.45">
      <c r="A1943">
        <v>8137</v>
      </c>
      <c r="B1943" s="15">
        <v>44052</v>
      </c>
      <c r="C1943" t="str">
        <f>TEXT(Table1[[#This Row],[Order Date]], "yyyy")</f>
        <v>2020</v>
      </c>
      <c r="D1943" t="str">
        <f>TEXT(Table1[[#This Row],[Order Date]], "mmmm")</f>
        <v>August</v>
      </c>
      <c r="E1943" s="16">
        <f>Table1[[#This Row],[Order Quantity]]*Table1[[#This Row],[Unit Price]]</f>
        <v>25859.4</v>
      </c>
      <c r="F1943">
        <v>70</v>
      </c>
      <c r="G1943" s="16">
        <v>369.42</v>
      </c>
      <c r="H1943" t="s">
        <v>464</v>
      </c>
      <c r="I1943" t="s">
        <v>1395</v>
      </c>
      <c r="J1943" t="s">
        <v>20</v>
      </c>
      <c r="K1943" t="s">
        <v>15</v>
      </c>
    </row>
    <row r="1944" spans="1:11" x14ac:dyDescent="0.45">
      <c r="A1944">
        <v>8138</v>
      </c>
      <c r="B1944" s="15">
        <v>44048</v>
      </c>
      <c r="C1944" t="str">
        <f>TEXT(Table1[[#This Row],[Order Date]], "yyyy")</f>
        <v>2020</v>
      </c>
      <c r="D1944" t="str">
        <f>TEXT(Table1[[#This Row],[Order Date]], "mmmm")</f>
        <v>August</v>
      </c>
      <c r="E1944" s="16">
        <f>Table1[[#This Row],[Order Quantity]]*Table1[[#This Row],[Unit Price]]</f>
        <v>88411.400000000009</v>
      </c>
      <c r="F1944">
        <v>77</v>
      </c>
      <c r="G1944" s="16">
        <v>1148.2</v>
      </c>
      <c r="H1944" t="s">
        <v>25</v>
      </c>
      <c r="I1944" t="s">
        <v>1396</v>
      </c>
      <c r="J1944" t="s">
        <v>13</v>
      </c>
      <c r="K1944" t="s">
        <v>15</v>
      </c>
    </row>
    <row r="1945" spans="1:11" x14ac:dyDescent="0.45">
      <c r="A1945">
        <v>8139</v>
      </c>
      <c r="B1945" s="15">
        <v>44014</v>
      </c>
      <c r="C1945" t="str">
        <f>TEXT(Table1[[#This Row],[Order Date]], "yyyy")</f>
        <v>2020</v>
      </c>
      <c r="D1945" t="str">
        <f>TEXT(Table1[[#This Row],[Order Date]], "mmmm")</f>
        <v>July</v>
      </c>
      <c r="E1945" s="16">
        <f>Table1[[#This Row],[Order Quantity]]*Table1[[#This Row],[Unit Price]]</f>
        <v>48301.279999999999</v>
      </c>
      <c r="F1945">
        <v>37</v>
      </c>
      <c r="G1945" s="16">
        <v>1305.44</v>
      </c>
      <c r="H1945" t="s">
        <v>8</v>
      </c>
      <c r="I1945" t="s">
        <v>1397</v>
      </c>
      <c r="J1945" t="s">
        <v>23</v>
      </c>
      <c r="K1945" t="s">
        <v>15</v>
      </c>
    </row>
    <row r="1946" spans="1:11" x14ac:dyDescent="0.45">
      <c r="A1946">
        <v>8140</v>
      </c>
      <c r="B1946" s="15">
        <v>44097</v>
      </c>
      <c r="C1946" t="str">
        <f>TEXT(Table1[[#This Row],[Order Date]], "yyyy")</f>
        <v>2020</v>
      </c>
      <c r="D1946" t="str">
        <f>TEXT(Table1[[#This Row],[Order Date]], "mmmm")</f>
        <v>September</v>
      </c>
      <c r="E1946" s="16">
        <f>Table1[[#This Row],[Order Quantity]]*Table1[[#This Row],[Unit Price]]</f>
        <v>78991.94</v>
      </c>
      <c r="F1946">
        <v>58</v>
      </c>
      <c r="G1946" s="16">
        <v>1361.93</v>
      </c>
      <c r="H1946" t="s">
        <v>464</v>
      </c>
      <c r="I1946" t="s">
        <v>1398</v>
      </c>
      <c r="J1946" t="s">
        <v>23</v>
      </c>
      <c r="K1946" t="s">
        <v>15</v>
      </c>
    </row>
    <row r="1947" spans="1:11" x14ac:dyDescent="0.45">
      <c r="A1947">
        <v>8141</v>
      </c>
      <c r="B1947" s="15">
        <v>44093</v>
      </c>
      <c r="C1947" t="str">
        <f>TEXT(Table1[[#This Row],[Order Date]], "yyyy")</f>
        <v>2020</v>
      </c>
      <c r="D1947" t="str">
        <f>TEXT(Table1[[#This Row],[Order Date]], "mmmm")</f>
        <v>September</v>
      </c>
      <c r="E1947" s="16">
        <f>Table1[[#This Row],[Order Quantity]]*Table1[[#This Row],[Unit Price]]</f>
        <v>22167.54</v>
      </c>
      <c r="F1947">
        <v>27</v>
      </c>
      <c r="G1947" s="16">
        <v>821.02</v>
      </c>
      <c r="H1947" t="s">
        <v>8</v>
      </c>
      <c r="I1947" t="s">
        <v>1399</v>
      </c>
      <c r="J1947" t="s">
        <v>13</v>
      </c>
      <c r="K1947" t="s">
        <v>17</v>
      </c>
    </row>
    <row r="1948" spans="1:11" x14ac:dyDescent="0.45">
      <c r="A1948">
        <v>8142</v>
      </c>
      <c r="B1948" s="15">
        <v>43852</v>
      </c>
      <c r="C1948" t="str">
        <f>TEXT(Table1[[#This Row],[Order Date]], "yyyy")</f>
        <v>2020</v>
      </c>
      <c r="D1948" t="str">
        <f>TEXT(Table1[[#This Row],[Order Date]], "mmmm")</f>
        <v>January</v>
      </c>
      <c r="E1948" s="16">
        <f>Table1[[#This Row],[Order Quantity]]*Table1[[#This Row],[Unit Price]]</f>
        <v>17625.36</v>
      </c>
      <c r="F1948">
        <v>24</v>
      </c>
      <c r="G1948" s="16">
        <v>734.39</v>
      </c>
      <c r="H1948" t="s">
        <v>8</v>
      </c>
      <c r="I1948" t="s">
        <v>1400</v>
      </c>
      <c r="J1948" t="s">
        <v>13</v>
      </c>
      <c r="K1948" t="s">
        <v>17</v>
      </c>
    </row>
    <row r="1949" spans="1:11" x14ac:dyDescent="0.45">
      <c r="A1949">
        <v>8143</v>
      </c>
      <c r="B1949" s="15">
        <v>44126</v>
      </c>
      <c r="C1949" t="str">
        <f>TEXT(Table1[[#This Row],[Order Date]], "yyyy")</f>
        <v>2020</v>
      </c>
      <c r="D1949" t="str">
        <f>TEXT(Table1[[#This Row],[Order Date]], "mmmm")</f>
        <v>October</v>
      </c>
      <c r="E1949" s="16">
        <f>Table1[[#This Row],[Order Quantity]]*Table1[[#This Row],[Unit Price]]</f>
        <v>29510.25</v>
      </c>
      <c r="F1949">
        <v>21</v>
      </c>
      <c r="G1949" s="16">
        <v>1405.25</v>
      </c>
      <c r="H1949" t="s">
        <v>464</v>
      </c>
      <c r="I1949" t="s">
        <v>1401</v>
      </c>
      <c r="J1949" t="s">
        <v>13</v>
      </c>
      <c r="K1949" t="s">
        <v>15</v>
      </c>
    </row>
    <row r="1950" spans="1:11" x14ac:dyDescent="0.45">
      <c r="A1950">
        <v>8144</v>
      </c>
      <c r="B1950" s="15">
        <v>44014</v>
      </c>
      <c r="C1950" t="str">
        <f>TEXT(Table1[[#This Row],[Order Date]], "yyyy")</f>
        <v>2020</v>
      </c>
      <c r="D1950" t="str">
        <f>TEXT(Table1[[#This Row],[Order Date]], "mmmm")</f>
        <v>July</v>
      </c>
      <c r="E1950" s="16">
        <f>Table1[[#This Row],[Order Quantity]]*Table1[[#This Row],[Unit Price]]</f>
        <v>85503.58</v>
      </c>
      <c r="F1950">
        <v>62</v>
      </c>
      <c r="G1950" s="16">
        <v>1379.09</v>
      </c>
      <c r="H1950" t="s">
        <v>8</v>
      </c>
      <c r="I1950" t="s">
        <v>1402</v>
      </c>
      <c r="J1950" t="s">
        <v>23</v>
      </c>
      <c r="K1950" t="s">
        <v>11</v>
      </c>
    </row>
    <row r="1951" spans="1:11" x14ac:dyDescent="0.45">
      <c r="A1951">
        <v>8145</v>
      </c>
      <c r="B1951" s="15">
        <v>44193</v>
      </c>
      <c r="C1951" t="str">
        <f>TEXT(Table1[[#This Row],[Order Date]], "yyyy")</f>
        <v>2020</v>
      </c>
      <c r="D1951" t="str">
        <f>TEXT(Table1[[#This Row],[Order Date]], "mmmm")</f>
        <v>December</v>
      </c>
      <c r="E1951" s="16">
        <f>Table1[[#This Row],[Order Quantity]]*Table1[[#This Row],[Unit Price]]</f>
        <v>10833.84</v>
      </c>
      <c r="F1951">
        <v>41</v>
      </c>
      <c r="G1951" s="16">
        <v>264.24</v>
      </c>
      <c r="H1951" t="s">
        <v>464</v>
      </c>
      <c r="I1951" t="s">
        <v>1403</v>
      </c>
      <c r="J1951" t="s">
        <v>23</v>
      </c>
      <c r="K1951" t="s">
        <v>15</v>
      </c>
    </row>
    <row r="1952" spans="1:11" x14ac:dyDescent="0.45">
      <c r="A1952">
        <v>8146</v>
      </c>
      <c r="B1952" s="15">
        <v>43945</v>
      </c>
      <c r="C1952" t="str">
        <f>TEXT(Table1[[#This Row],[Order Date]], "yyyy")</f>
        <v>2020</v>
      </c>
      <c r="D1952" t="str">
        <f>TEXT(Table1[[#This Row],[Order Date]], "mmmm")</f>
        <v>April</v>
      </c>
      <c r="E1952" s="16">
        <f>Table1[[#This Row],[Order Quantity]]*Table1[[#This Row],[Unit Price]]</f>
        <v>14024.03</v>
      </c>
      <c r="F1952">
        <v>73</v>
      </c>
      <c r="G1952" s="16">
        <v>192.11</v>
      </c>
      <c r="H1952" t="s">
        <v>464</v>
      </c>
      <c r="I1952" t="s">
        <v>1404</v>
      </c>
      <c r="J1952" t="s">
        <v>20</v>
      </c>
      <c r="K1952" t="s">
        <v>15</v>
      </c>
    </row>
    <row r="1953" spans="1:11" x14ac:dyDescent="0.45">
      <c r="A1953">
        <v>8147</v>
      </c>
      <c r="B1953" s="15">
        <v>44072</v>
      </c>
      <c r="C1953" t="str">
        <f>TEXT(Table1[[#This Row],[Order Date]], "yyyy")</f>
        <v>2020</v>
      </c>
      <c r="D1953" t="str">
        <f>TEXT(Table1[[#This Row],[Order Date]], "mmmm")</f>
        <v>August</v>
      </c>
      <c r="E1953" s="16">
        <f>Table1[[#This Row],[Order Quantity]]*Table1[[#This Row],[Unit Price]]</f>
        <v>14234.55</v>
      </c>
      <c r="F1953">
        <v>11</v>
      </c>
      <c r="G1953" s="16">
        <v>1294.05</v>
      </c>
      <c r="H1953" t="s">
        <v>464</v>
      </c>
      <c r="I1953" t="s">
        <v>1405</v>
      </c>
      <c r="J1953" t="s">
        <v>13</v>
      </c>
      <c r="K1953" t="s">
        <v>15</v>
      </c>
    </row>
    <row r="1954" spans="1:11" x14ac:dyDescent="0.45">
      <c r="A1954">
        <v>8148</v>
      </c>
      <c r="B1954" s="15">
        <v>43870</v>
      </c>
      <c r="C1954" t="str">
        <f>TEXT(Table1[[#This Row],[Order Date]], "yyyy")</f>
        <v>2020</v>
      </c>
      <c r="D1954" t="str">
        <f>TEXT(Table1[[#This Row],[Order Date]], "mmmm")</f>
        <v>February</v>
      </c>
      <c r="E1954" s="16">
        <f>Table1[[#This Row],[Order Quantity]]*Table1[[#This Row],[Unit Price]]</f>
        <v>4877.32</v>
      </c>
      <c r="F1954">
        <v>4</v>
      </c>
      <c r="G1954" s="16">
        <v>1219.33</v>
      </c>
      <c r="H1954" t="s">
        <v>464</v>
      </c>
      <c r="I1954" t="s">
        <v>1406</v>
      </c>
      <c r="J1954" t="s">
        <v>13</v>
      </c>
      <c r="K1954" t="s">
        <v>11</v>
      </c>
    </row>
    <row r="1955" spans="1:11" x14ac:dyDescent="0.45">
      <c r="A1955">
        <v>8149</v>
      </c>
      <c r="B1955" s="15">
        <v>44005</v>
      </c>
      <c r="C1955" t="str">
        <f>TEXT(Table1[[#This Row],[Order Date]], "yyyy")</f>
        <v>2020</v>
      </c>
      <c r="D1955" t="str">
        <f>TEXT(Table1[[#This Row],[Order Date]], "mmmm")</f>
        <v>June</v>
      </c>
      <c r="E1955" s="16">
        <f>Table1[[#This Row],[Order Quantity]]*Table1[[#This Row],[Unit Price]]</f>
        <v>125194.08</v>
      </c>
      <c r="F1955">
        <v>88</v>
      </c>
      <c r="G1955" s="16">
        <v>1422.66</v>
      </c>
      <c r="H1955" t="s">
        <v>8</v>
      </c>
      <c r="I1955" t="s">
        <v>1407</v>
      </c>
      <c r="J1955" t="s">
        <v>20</v>
      </c>
      <c r="K1955" t="s">
        <v>17</v>
      </c>
    </row>
    <row r="1956" spans="1:11" x14ac:dyDescent="0.45">
      <c r="A1956">
        <v>8150</v>
      </c>
      <c r="B1956" s="15">
        <v>44033</v>
      </c>
      <c r="C1956" t="str">
        <f>TEXT(Table1[[#This Row],[Order Date]], "yyyy")</f>
        <v>2020</v>
      </c>
      <c r="D1956" t="str">
        <f>TEXT(Table1[[#This Row],[Order Date]], "mmmm")</f>
        <v>July</v>
      </c>
      <c r="E1956" s="16">
        <f>Table1[[#This Row],[Order Quantity]]*Table1[[#This Row],[Unit Price]]</f>
        <v>43587.549999999996</v>
      </c>
      <c r="F1956">
        <v>31</v>
      </c>
      <c r="G1956" s="16">
        <v>1406.05</v>
      </c>
      <c r="H1956" t="s">
        <v>8</v>
      </c>
      <c r="I1956" t="s">
        <v>1408</v>
      </c>
      <c r="J1956" t="s">
        <v>23</v>
      </c>
      <c r="K1956" t="s">
        <v>11</v>
      </c>
    </row>
    <row r="1957" spans="1:11" x14ac:dyDescent="0.45">
      <c r="A1957">
        <v>8151</v>
      </c>
      <c r="B1957" s="15">
        <v>44156</v>
      </c>
      <c r="C1957" t="str">
        <f>TEXT(Table1[[#This Row],[Order Date]], "yyyy")</f>
        <v>2020</v>
      </c>
      <c r="D1957" t="str">
        <f>TEXT(Table1[[#This Row],[Order Date]], "mmmm")</f>
        <v>November</v>
      </c>
      <c r="E1957" s="16">
        <f>Table1[[#This Row],[Order Quantity]]*Table1[[#This Row],[Unit Price]]</f>
        <v>22464.959999999999</v>
      </c>
      <c r="F1957">
        <v>96</v>
      </c>
      <c r="G1957" s="16">
        <v>234.01</v>
      </c>
      <c r="H1957" t="s">
        <v>8</v>
      </c>
      <c r="I1957" t="s">
        <v>1409</v>
      </c>
      <c r="J1957" t="s">
        <v>20</v>
      </c>
      <c r="K1957" t="s">
        <v>17</v>
      </c>
    </row>
    <row r="1958" spans="1:11" x14ac:dyDescent="0.45">
      <c r="A1958">
        <v>8152</v>
      </c>
      <c r="B1958" s="15">
        <v>43840</v>
      </c>
      <c r="C1958" t="str">
        <f>TEXT(Table1[[#This Row],[Order Date]], "yyyy")</f>
        <v>2020</v>
      </c>
      <c r="D1958" t="str">
        <f>TEXT(Table1[[#This Row],[Order Date]], "mmmm")</f>
        <v>January</v>
      </c>
      <c r="E1958" s="16">
        <f>Table1[[#This Row],[Order Quantity]]*Table1[[#This Row],[Unit Price]]</f>
        <v>31518.2</v>
      </c>
      <c r="F1958">
        <v>70</v>
      </c>
      <c r="G1958" s="16">
        <v>450.26</v>
      </c>
      <c r="H1958" t="s">
        <v>8</v>
      </c>
      <c r="I1958" t="s">
        <v>1410</v>
      </c>
      <c r="J1958" t="s">
        <v>23</v>
      </c>
      <c r="K1958" t="s">
        <v>11</v>
      </c>
    </row>
    <row r="1959" spans="1:11" x14ac:dyDescent="0.45">
      <c r="A1959">
        <v>8153</v>
      </c>
      <c r="B1959" s="15">
        <v>44086</v>
      </c>
      <c r="C1959" t="str">
        <f>TEXT(Table1[[#This Row],[Order Date]], "yyyy")</f>
        <v>2020</v>
      </c>
      <c r="D1959" t="str">
        <f>TEXT(Table1[[#This Row],[Order Date]], "mmmm")</f>
        <v>September</v>
      </c>
      <c r="E1959" s="16">
        <f>Table1[[#This Row],[Order Quantity]]*Table1[[#This Row],[Unit Price]]</f>
        <v>128580.20999999999</v>
      </c>
      <c r="F1959">
        <v>99</v>
      </c>
      <c r="G1959" s="16">
        <v>1298.79</v>
      </c>
      <c r="H1959" t="s">
        <v>464</v>
      </c>
      <c r="I1959" t="s">
        <v>1411</v>
      </c>
      <c r="J1959" t="s">
        <v>20</v>
      </c>
      <c r="K1959" t="s">
        <v>17</v>
      </c>
    </row>
    <row r="1960" spans="1:11" x14ac:dyDescent="0.45">
      <c r="A1960">
        <v>8154</v>
      </c>
      <c r="B1960" s="15">
        <v>44119</v>
      </c>
      <c r="C1960" t="str">
        <f>TEXT(Table1[[#This Row],[Order Date]], "yyyy")</f>
        <v>2020</v>
      </c>
      <c r="D1960" t="str">
        <f>TEXT(Table1[[#This Row],[Order Date]], "mmmm")</f>
        <v>October</v>
      </c>
      <c r="E1960" s="16">
        <f>Table1[[#This Row],[Order Quantity]]*Table1[[#This Row],[Unit Price]]</f>
        <v>717.21999999999991</v>
      </c>
      <c r="F1960">
        <v>7</v>
      </c>
      <c r="G1960" s="16">
        <v>102.46</v>
      </c>
      <c r="H1960" t="s">
        <v>25</v>
      </c>
      <c r="I1960" t="s">
        <v>1412</v>
      </c>
      <c r="J1960" t="s">
        <v>13</v>
      </c>
      <c r="K1960" t="s">
        <v>15</v>
      </c>
    </row>
    <row r="1961" spans="1:11" x14ac:dyDescent="0.45">
      <c r="A1961">
        <v>8155</v>
      </c>
      <c r="B1961" s="15">
        <v>44023</v>
      </c>
      <c r="C1961" t="str">
        <f>TEXT(Table1[[#This Row],[Order Date]], "yyyy")</f>
        <v>2020</v>
      </c>
      <c r="D1961" t="str">
        <f>TEXT(Table1[[#This Row],[Order Date]], "mmmm")</f>
        <v>July</v>
      </c>
      <c r="E1961" s="16">
        <f>Table1[[#This Row],[Order Quantity]]*Table1[[#This Row],[Unit Price]]</f>
        <v>1264.32</v>
      </c>
      <c r="F1961">
        <v>12</v>
      </c>
      <c r="G1961" s="16">
        <v>105.36</v>
      </c>
      <c r="H1961" t="s">
        <v>8</v>
      </c>
      <c r="I1961" t="s">
        <v>1413</v>
      </c>
      <c r="J1961" t="s">
        <v>20</v>
      </c>
      <c r="K1961" t="s">
        <v>15</v>
      </c>
    </row>
    <row r="1962" spans="1:11" x14ac:dyDescent="0.45">
      <c r="A1962">
        <v>8156</v>
      </c>
      <c r="B1962" s="15">
        <v>44062</v>
      </c>
      <c r="C1962" t="str">
        <f>TEXT(Table1[[#This Row],[Order Date]], "yyyy")</f>
        <v>2020</v>
      </c>
      <c r="D1962" t="str">
        <f>TEXT(Table1[[#This Row],[Order Date]], "mmmm")</f>
        <v>August</v>
      </c>
      <c r="E1962" s="16">
        <f>Table1[[#This Row],[Order Quantity]]*Table1[[#This Row],[Unit Price]]</f>
        <v>66498.3</v>
      </c>
      <c r="F1962">
        <v>54</v>
      </c>
      <c r="G1962" s="16">
        <v>1231.45</v>
      </c>
      <c r="H1962" t="s">
        <v>464</v>
      </c>
      <c r="I1962" t="s">
        <v>1414</v>
      </c>
      <c r="J1962" t="s">
        <v>23</v>
      </c>
      <c r="K1962" t="s">
        <v>15</v>
      </c>
    </row>
    <row r="1963" spans="1:11" x14ac:dyDescent="0.45">
      <c r="A1963">
        <v>8157</v>
      </c>
      <c r="B1963" s="15">
        <v>44008</v>
      </c>
      <c r="C1963" t="str">
        <f>TEXT(Table1[[#This Row],[Order Date]], "yyyy")</f>
        <v>2020</v>
      </c>
      <c r="D1963" t="str">
        <f>TEXT(Table1[[#This Row],[Order Date]], "mmmm")</f>
        <v>June</v>
      </c>
      <c r="E1963" s="16">
        <f>Table1[[#This Row],[Order Quantity]]*Table1[[#This Row],[Unit Price]]</f>
        <v>3220.8100000000004</v>
      </c>
      <c r="F1963">
        <v>59</v>
      </c>
      <c r="G1963" s="16">
        <v>54.59</v>
      </c>
      <c r="H1963" t="s">
        <v>25</v>
      </c>
      <c r="I1963" t="s">
        <v>1415</v>
      </c>
      <c r="J1963" t="s">
        <v>23</v>
      </c>
      <c r="K1963" t="s">
        <v>11</v>
      </c>
    </row>
    <row r="1964" spans="1:11" x14ac:dyDescent="0.45">
      <c r="A1964">
        <v>8158</v>
      </c>
      <c r="B1964" s="15">
        <v>44072</v>
      </c>
      <c r="C1964" t="str">
        <f>TEXT(Table1[[#This Row],[Order Date]], "yyyy")</f>
        <v>2020</v>
      </c>
      <c r="D1964" t="str">
        <f>TEXT(Table1[[#This Row],[Order Date]], "mmmm")</f>
        <v>August</v>
      </c>
      <c r="E1964" s="16">
        <f>Table1[[#This Row],[Order Quantity]]*Table1[[#This Row],[Unit Price]]</f>
        <v>5269.53</v>
      </c>
      <c r="F1964">
        <v>7</v>
      </c>
      <c r="G1964" s="16">
        <v>752.79</v>
      </c>
      <c r="H1964" t="s">
        <v>8</v>
      </c>
      <c r="I1964" t="s">
        <v>1416</v>
      </c>
      <c r="J1964" t="s">
        <v>10</v>
      </c>
      <c r="K1964" t="s">
        <v>17</v>
      </c>
    </row>
    <row r="1965" spans="1:11" x14ac:dyDescent="0.45">
      <c r="A1965">
        <v>8159</v>
      </c>
      <c r="B1965" s="15">
        <v>44084</v>
      </c>
      <c r="C1965" t="str">
        <f>TEXT(Table1[[#This Row],[Order Date]], "yyyy")</f>
        <v>2020</v>
      </c>
      <c r="D1965" t="str">
        <f>TEXT(Table1[[#This Row],[Order Date]], "mmmm")</f>
        <v>September</v>
      </c>
      <c r="E1965" s="16">
        <f>Table1[[#This Row],[Order Quantity]]*Table1[[#This Row],[Unit Price]]</f>
        <v>64485.079999999994</v>
      </c>
      <c r="F1965">
        <v>74</v>
      </c>
      <c r="G1965" s="16">
        <v>871.42</v>
      </c>
      <c r="H1965" t="s">
        <v>25</v>
      </c>
      <c r="I1965" t="s">
        <v>1417</v>
      </c>
      <c r="J1965" t="s">
        <v>20</v>
      </c>
      <c r="K1965" t="s">
        <v>15</v>
      </c>
    </row>
    <row r="1966" spans="1:11" x14ac:dyDescent="0.45">
      <c r="A1966">
        <v>8160</v>
      </c>
      <c r="B1966" s="15">
        <v>44012</v>
      </c>
      <c r="C1966" t="str">
        <f>TEXT(Table1[[#This Row],[Order Date]], "yyyy")</f>
        <v>2020</v>
      </c>
      <c r="D1966" t="str">
        <f>TEXT(Table1[[#This Row],[Order Date]], "mmmm")</f>
        <v>June</v>
      </c>
      <c r="E1966" s="16">
        <f>Table1[[#This Row],[Order Quantity]]*Table1[[#This Row],[Unit Price]]</f>
        <v>428.06</v>
      </c>
      <c r="F1966">
        <v>1</v>
      </c>
      <c r="G1966" s="16">
        <v>428.06</v>
      </c>
      <c r="H1966" t="s">
        <v>25</v>
      </c>
      <c r="I1966" t="s">
        <v>1418</v>
      </c>
      <c r="J1966" t="s">
        <v>20</v>
      </c>
      <c r="K1966" t="s">
        <v>11</v>
      </c>
    </row>
    <row r="1967" spans="1:11" x14ac:dyDescent="0.45">
      <c r="A1967">
        <v>8161</v>
      </c>
      <c r="B1967" s="15">
        <v>43972</v>
      </c>
      <c r="C1967" t="str">
        <f>TEXT(Table1[[#This Row],[Order Date]], "yyyy")</f>
        <v>2020</v>
      </c>
      <c r="D1967" t="str">
        <f>TEXT(Table1[[#This Row],[Order Date]], "mmmm")</f>
        <v>May</v>
      </c>
      <c r="E1967" s="16">
        <f>Table1[[#This Row],[Order Quantity]]*Table1[[#This Row],[Unit Price]]</f>
        <v>38233.68</v>
      </c>
      <c r="F1967">
        <v>68</v>
      </c>
      <c r="G1967" s="16">
        <v>562.26</v>
      </c>
      <c r="H1967" t="s">
        <v>8</v>
      </c>
      <c r="I1967" t="s">
        <v>1419</v>
      </c>
      <c r="J1967" t="s">
        <v>20</v>
      </c>
      <c r="K1967" t="s">
        <v>11</v>
      </c>
    </row>
    <row r="1968" spans="1:11" x14ac:dyDescent="0.45">
      <c r="A1968">
        <v>8162</v>
      </c>
      <c r="B1968" s="15">
        <v>43946</v>
      </c>
      <c r="C1968" t="str">
        <f>TEXT(Table1[[#This Row],[Order Date]], "yyyy")</f>
        <v>2020</v>
      </c>
      <c r="D1968" t="str">
        <f>TEXT(Table1[[#This Row],[Order Date]], "mmmm")</f>
        <v>April</v>
      </c>
      <c r="E1968" s="16">
        <f>Table1[[#This Row],[Order Quantity]]*Table1[[#This Row],[Unit Price]]</f>
        <v>35913.599999999999</v>
      </c>
      <c r="F1968">
        <v>86</v>
      </c>
      <c r="G1968" s="16">
        <v>417.6</v>
      </c>
      <c r="H1968" t="s">
        <v>464</v>
      </c>
      <c r="I1968" t="s">
        <v>1420</v>
      </c>
      <c r="J1968" t="s">
        <v>23</v>
      </c>
      <c r="K1968" t="s">
        <v>11</v>
      </c>
    </row>
    <row r="1969" spans="1:11" x14ac:dyDescent="0.45">
      <c r="A1969">
        <v>8163</v>
      </c>
      <c r="B1969" s="15">
        <v>43931</v>
      </c>
      <c r="C1969" t="str">
        <f>TEXT(Table1[[#This Row],[Order Date]], "yyyy")</f>
        <v>2020</v>
      </c>
      <c r="D1969" t="str">
        <f>TEXT(Table1[[#This Row],[Order Date]], "mmmm")</f>
        <v>April</v>
      </c>
      <c r="E1969" s="16">
        <f>Table1[[#This Row],[Order Quantity]]*Table1[[#This Row],[Unit Price]]</f>
        <v>89306.01</v>
      </c>
      <c r="F1969">
        <v>69</v>
      </c>
      <c r="G1969" s="16">
        <v>1294.29</v>
      </c>
      <c r="H1969" t="s">
        <v>25</v>
      </c>
      <c r="I1969" t="s">
        <v>1421</v>
      </c>
      <c r="J1969" t="s">
        <v>10</v>
      </c>
      <c r="K1969" t="s">
        <v>11</v>
      </c>
    </row>
    <row r="1970" spans="1:11" x14ac:dyDescent="0.45">
      <c r="A1970">
        <v>8164</v>
      </c>
      <c r="B1970" s="15">
        <v>44162</v>
      </c>
      <c r="C1970" t="str">
        <f>TEXT(Table1[[#This Row],[Order Date]], "yyyy")</f>
        <v>2020</v>
      </c>
      <c r="D1970" t="str">
        <f>TEXT(Table1[[#This Row],[Order Date]], "mmmm")</f>
        <v>November</v>
      </c>
      <c r="E1970" s="16">
        <f>Table1[[#This Row],[Order Quantity]]*Table1[[#This Row],[Unit Price]]</f>
        <v>49326.34</v>
      </c>
      <c r="F1970">
        <v>49</v>
      </c>
      <c r="G1970" s="16">
        <v>1006.66</v>
      </c>
      <c r="H1970" t="s">
        <v>464</v>
      </c>
      <c r="I1970" t="s">
        <v>1422</v>
      </c>
      <c r="J1970" t="s">
        <v>13</v>
      </c>
      <c r="K1970" t="s">
        <v>15</v>
      </c>
    </row>
    <row r="1971" spans="1:11" x14ac:dyDescent="0.45">
      <c r="A1971">
        <v>8165</v>
      </c>
      <c r="B1971" s="15">
        <v>44084</v>
      </c>
      <c r="C1971" t="str">
        <f>TEXT(Table1[[#This Row],[Order Date]], "yyyy")</f>
        <v>2020</v>
      </c>
      <c r="D1971" t="str">
        <f>TEXT(Table1[[#This Row],[Order Date]], "mmmm")</f>
        <v>September</v>
      </c>
      <c r="E1971" s="16">
        <f>Table1[[#This Row],[Order Quantity]]*Table1[[#This Row],[Unit Price]]</f>
        <v>69516</v>
      </c>
      <c r="F1971">
        <v>100</v>
      </c>
      <c r="G1971" s="16">
        <v>695.16</v>
      </c>
      <c r="H1971" t="s">
        <v>8</v>
      </c>
      <c r="I1971" t="s">
        <v>1423</v>
      </c>
      <c r="J1971" t="s">
        <v>23</v>
      </c>
      <c r="K1971" t="s">
        <v>15</v>
      </c>
    </row>
    <row r="1972" spans="1:11" x14ac:dyDescent="0.45">
      <c r="A1972">
        <v>8166</v>
      </c>
      <c r="B1972" s="15">
        <v>44173</v>
      </c>
      <c r="C1972" t="str">
        <f>TEXT(Table1[[#This Row],[Order Date]], "yyyy")</f>
        <v>2020</v>
      </c>
      <c r="D1972" t="str">
        <f>TEXT(Table1[[#This Row],[Order Date]], "mmmm")</f>
        <v>December</v>
      </c>
      <c r="E1972" s="16">
        <f>Table1[[#This Row],[Order Quantity]]*Table1[[#This Row],[Unit Price]]</f>
        <v>109958.7</v>
      </c>
      <c r="F1972">
        <v>95</v>
      </c>
      <c r="G1972" s="16">
        <v>1157.46</v>
      </c>
      <c r="H1972" t="s">
        <v>8</v>
      </c>
      <c r="I1972" t="s">
        <v>1424</v>
      </c>
      <c r="J1972" t="s">
        <v>13</v>
      </c>
      <c r="K1972" t="s">
        <v>15</v>
      </c>
    </row>
    <row r="1973" spans="1:11" x14ac:dyDescent="0.45">
      <c r="A1973">
        <v>8167</v>
      </c>
      <c r="B1973" s="15">
        <v>44063</v>
      </c>
      <c r="C1973" t="str">
        <f>TEXT(Table1[[#This Row],[Order Date]], "yyyy")</f>
        <v>2020</v>
      </c>
      <c r="D1973" t="str">
        <f>TEXT(Table1[[#This Row],[Order Date]], "mmmm")</f>
        <v>August</v>
      </c>
      <c r="E1973" s="16">
        <f>Table1[[#This Row],[Order Quantity]]*Table1[[#This Row],[Unit Price]]</f>
        <v>61441.23</v>
      </c>
      <c r="F1973">
        <v>51</v>
      </c>
      <c r="G1973" s="16">
        <v>1204.73</v>
      </c>
      <c r="H1973" t="s">
        <v>8</v>
      </c>
      <c r="I1973" t="s">
        <v>1425</v>
      </c>
      <c r="J1973" t="s">
        <v>13</v>
      </c>
      <c r="K1973" t="s">
        <v>17</v>
      </c>
    </row>
    <row r="1974" spans="1:11" x14ac:dyDescent="0.45">
      <c r="A1974">
        <v>8168</v>
      </c>
      <c r="B1974" s="15">
        <v>44135</v>
      </c>
      <c r="C1974" t="str">
        <f>TEXT(Table1[[#This Row],[Order Date]], "yyyy")</f>
        <v>2020</v>
      </c>
      <c r="D1974" t="str">
        <f>TEXT(Table1[[#This Row],[Order Date]], "mmmm")</f>
        <v>October</v>
      </c>
      <c r="E1974" s="16">
        <f>Table1[[#This Row],[Order Quantity]]*Table1[[#This Row],[Unit Price]]</f>
        <v>12154.77</v>
      </c>
      <c r="F1974">
        <v>9</v>
      </c>
      <c r="G1974" s="16">
        <v>1350.53</v>
      </c>
      <c r="H1974" t="s">
        <v>464</v>
      </c>
      <c r="I1974" t="s">
        <v>1426</v>
      </c>
      <c r="J1974" t="s">
        <v>10</v>
      </c>
      <c r="K1974" t="s">
        <v>17</v>
      </c>
    </row>
    <row r="1975" spans="1:11" x14ac:dyDescent="0.45">
      <c r="A1975">
        <v>8169</v>
      </c>
      <c r="B1975" s="15">
        <v>43895</v>
      </c>
      <c r="C1975" t="str">
        <f>TEXT(Table1[[#This Row],[Order Date]], "yyyy")</f>
        <v>2020</v>
      </c>
      <c r="D1975" t="str">
        <f>TEXT(Table1[[#This Row],[Order Date]], "mmmm")</f>
        <v>March</v>
      </c>
      <c r="E1975" s="16">
        <f>Table1[[#This Row],[Order Quantity]]*Table1[[#This Row],[Unit Price]]</f>
        <v>127386.45000000001</v>
      </c>
      <c r="F1975">
        <v>95</v>
      </c>
      <c r="G1975" s="16">
        <v>1340.91</v>
      </c>
      <c r="H1975" t="s">
        <v>464</v>
      </c>
      <c r="I1975" t="s">
        <v>1427</v>
      </c>
      <c r="J1975" t="s">
        <v>23</v>
      </c>
      <c r="K1975" t="s">
        <v>15</v>
      </c>
    </row>
    <row r="1976" spans="1:11" x14ac:dyDescent="0.45">
      <c r="A1976">
        <v>8170</v>
      </c>
      <c r="B1976" s="15">
        <v>44015</v>
      </c>
      <c r="C1976" t="str">
        <f>TEXT(Table1[[#This Row],[Order Date]], "yyyy")</f>
        <v>2020</v>
      </c>
      <c r="D1976" t="str">
        <f>TEXT(Table1[[#This Row],[Order Date]], "mmmm")</f>
        <v>July</v>
      </c>
      <c r="E1976" s="16">
        <f>Table1[[#This Row],[Order Quantity]]*Table1[[#This Row],[Unit Price]]</f>
        <v>3466.17</v>
      </c>
      <c r="F1976">
        <v>19</v>
      </c>
      <c r="G1976" s="16">
        <v>182.43</v>
      </c>
      <c r="H1976" t="s">
        <v>25</v>
      </c>
      <c r="I1976" t="s">
        <v>1428</v>
      </c>
      <c r="J1976" t="s">
        <v>23</v>
      </c>
      <c r="K1976" t="s">
        <v>11</v>
      </c>
    </row>
    <row r="1977" spans="1:11" x14ac:dyDescent="0.45">
      <c r="A1977">
        <v>8171</v>
      </c>
      <c r="B1977" s="15">
        <v>43921</v>
      </c>
      <c r="C1977" t="str">
        <f>TEXT(Table1[[#This Row],[Order Date]], "yyyy")</f>
        <v>2020</v>
      </c>
      <c r="D1977" t="str">
        <f>TEXT(Table1[[#This Row],[Order Date]], "mmmm")</f>
        <v>March</v>
      </c>
      <c r="E1977" s="16">
        <f>Table1[[#This Row],[Order Quantity]]*Table1[[#This Row],[Unit Price]]</f>
        <v>26687.45</v>
      </c>
      <c r="F1977">
        <v>85</v>
      </c>
      <c r="G1977" s="16">
        <v>313.97000000000003</v>
      </c>
      <c r="H1977" t="s">
        <v>25</v>
      </c>
      <c r="I1977" t="s">
        <v>1429</v>
      </c>
      <c r="J1977" t="s">
        <v>10</v>
      </c>
      <c r="K1977" t="s">
        <v>11</v>
      </c>
    </row>
    <row r="1978" spans="1:11" x14ac:dyDescent="0.45">
      <c r="A1978">
        <v>8172</v>
      </c>
      <c r="B1978" s="15">
        <v>44061</v>
      </c>
      <c r="C1978" t="str">
        <f>TEXT(Table1[[#This Row],[Order Date]], "yyyy")</f>
        <v>2020</v>
      </c>
      <c r="D1978" t="str">
        <f>TEXT(Table1[[#This Row],[Order Date]], "mmmm")</f>
        <v>August</v>
      </c>
      <c r="E1978" s="16">
        <f>Table1[[#This Row],[Order Quantity]]*Table1[[#This Row],[Unit Price]]</f>
        <v>7573.84</v>
      </c>
      <c r="F1978">
        <v>17</v>
      </c>
      <c r="G1978" s="16">
        <v>445.52</v>
      </c>
      <c r="H1978" t="s">
        <v>8</v>
      </c>
      <c r="I1978" t="s">
        <v>1430</v>
      </c>
      <c r="J1978" t="s">
        <v>13</v>
      </c>
      <c r="K1978" t="s">
        <v>17</v>
      </c>
    </row>
    <row r="1979" spans="1:11" x14ac:dyDescent="0.45">
      <c r="A1979">
        <v>8173</v>
      </c>
      <c r="B1979" s="15">
        <v>44065</v>
      </c>
      <c r="C1979" t="str">
        <f>TEXT(Table1[[#This Row],[Order Date]], "yyyy")</f>
        <v>2020</v>
      </c>
      <c r="D1979" t="str">
        <f>TEXT(Table1[[#This Row],[Order Date]], "mmmm")</f>
        <v>August</v>
      </c>
      <c r="E1979" s="16">
        <f>Table1[[#This Row],[Order Quantity]]*Table1[[#This Row],[Unit Price]]</f>
        <v>77537.2</v>
      </c>
      <c r="F1979">
        <v>62</v>
      </c>
      <c r="G1979" s="16">
        <v>1250.5999999999999</v>
      </c>
      <c r="H1979" t="s">
        <v>25</v>
      </c>
      <c r="I1979" t="s">
        <v>1431</v>
      </c>
      <c r="J1979" t="s">
        <v>13</v>
      </c>
      <c r="K1979" t="s">
        <v>15</v>
      </c>
    </row>
    <row r="1980" spans="1:11" x14ac:dyDescent="0.45">
      <c r="A1980">
        <v>8174</v>
      </c>
      <c r="B1980" s="15">
        <v>43846</v>
      </c>
      <c r="C1980" t="str">
        <f>TEXT(Table1[[#This Row],[Order Date]], "yyyy")</f>
        <v>2020</v>
      </c>
      <c r="D1980" t="str">
        <f>TEXT(Table1[[#This Row],[Order Date]], "mmmm")</f>
        <v>January</v>
      </c>
      <c r="E1980" s="16">
        <f>Table1[[#This Row],[Order Quantity]]*Table1[[#This Row],[Unit Price]]</f>
        <v>33818.200000000004</v>
      </c>
      <c r="F1980">
        <v>26</v>
      </c>
      <c r="G1980" s="16">
        <v>1300.7</v>
      </c>
      <c r="H1980" t="s">
        <v>8</v>
      </c>
      <c r="I1980" t="s">
        <v>1432</v>
      </c>
      <c r="J1980" t="s">
        <v>20</v>
      </c>
      <c r="K1980" t="s">
        <v>15</v>
      </c>
    </row>
    <row r="1981" spans="1:11" x14ac:dyDescent="0.45">
      <c r="A1981">
        <v>8175</v>
      </c>
      <c r="B1981" s="15">
        <v>43943</v>
      </c>
      <c r="C1981" t="str">
        <f>TEXT(Table1[[#This Row],[Order Date]], "yyyy")</f>
        <v>2020</v>
      </c>
      <c r="D1981" t="str">
        <f>TEXT(Table1[[#This Row],[Order Date]], "mmmm")</f>
        <v>April</v>
      </c>
      <c r="E1981" s="16">
        <f>Table1[[#This Row],[Order Quantity]]*Table1[[#This Row],[Unit Price]]</f>
        <v>41558.080000000002</v>
      </c>
      <c r="F1981">
        <v>32</v>
      </c>
      <c r="G1981" s="16">
        <v>1298.69</v>
      </c>
      <c r="H1981" t="s">
        <v>8</v>
      </c>
      <c r="I1981" t="s">
        <v>1433</v>
      </c>
      <c r="J1981" t="s">
        <v>23</v>
      </c>
      <c r="K1981" t="s">
        <v>17</v>
      </c>
    </row>
    <row r="1982" spans="1:11" x14ac:dyDescent="0.45">
      <c r="A1982">
        <v>8176</v>
      </c>
      <c r="B1982" s="15">
        <v>43949</v>
      </c>
      <c r="C1982" t="str">
        <f>TEXT(Table1[[#This Row],[Order Date]], "yyyy")</f>
        <v>2020</v>
      </c>
      <c r="D1982" t="str">
        <f>TEXT(Table1[[#This Row],[Order Date]], "mmmm")</f>
        <v>April</v>
      </c>
      <c r="E1982" s="16">
        <f>Table1[[#This Row],[Order Quantity]]*Table1[[#This Row],[Unit Price]]</f>
        <v>8956.2100000000009</v>
      </c>
      <c r="F1982">
        <v>31</v>
      </c>
      <c r="G1982" s="16">
        <v>288.91000000000003</v>
      </c>
      <c r="H1982" t="s">
        <v>8</v>
      </c>
      <c r="I1982" t="s">
        <v>1434</v>
      </c>
      <c r="J1982" t="s">
        <v>23</v>
      </c>
      <c r="K1982" t="s">
        <v>17</v>
      </c>
    </row>
    <row r="1983" spans="1:11" x14ac:dyDescent="0.45">
      <c r="A1983">
        <v>8177</v>
      </c>
      <c r="B1983" s="15">
        <v>44164</v>
      </c>
      <c r="C1983" t="str">
        <f>TEXT(Table1[[#This Row],[Order Date]], "yyyy")</f>
        <v>2020</v>
      </c>
      <c r="D1983" t="str">
        <f>TEXT(Table1[[#This Row],[Order Date]], "mmmm")</f>
        <v>November</v>
      </c>
      <c r="E1983" s="16">
        <f>Table1[[#This Row],[Order Quantity]]*Table1[[#This Row],[Unit Price]]</f>
        <v>16953.759999999998</v>
      </c>
      <c r="F1983">
        <v>16</v>
      </c>
      <c r="G1983" s="16">
        <v>1059.6099999999999</v>
      </c>
      <c r="H1983" t="s">
        <v>464</v>
      </c>
      <c r="I1983" t="s">
        <v>1435</v>
      </c>
      <c r="J1983" t="s">
        <v>13</v>
      </c>
      <c r="K1983" t="s">
        <v>17</v>
      </c>
    </row>
    <row r="1984" spans="1:11" x14ac:dyDescent="0.45">
      <c r="A1984">
        <v>8178</v>
      </c>
      <c r="B1984" s="15">
        <v>44100</v>
      </c>
      <c r="C1984" t="str">
        <f>TEXT(Table1[[#This Row],[Order Date]], "yyyy")</f>
        <v>2020</v>
      </c>
      <c r="D1984" t="str">
        <f>TEXT(Table1[[#This Row],[Order Date]], "mmmm")</f>
        <v>September</v>
      </c>
      <c r="E1984" s="16">
        <f>Table1[[#This Row],[Order Quantity]]*Table1[[#This Row],[Unit Price]]</f>
        <v>2081.1</v>
      </c>
      <c r="F1984">
        <v>14</v>
      </c>
      <c r="G1984" s="16">
        <v>148.65</v>
      </c>
      <c r="H1984" t="s">
        <v>8</v>
      </c>
      <c r="I1984" t="s">
        <v>1436</v>
      </c>
      <c r="J1984" t="s">
        <v>23</v>
      </c>
      <c r="K1984" t="s">
        <v>17</v>
      </c>
    </row>
    <row r="1985" spans="1:11" x14ac:dyDescent="0.45">
      <c r="A1985">
        <v>8179</v>
      </c>
      <c r="B1985" s="15">
        <v>44139</v>
      </c>
      <c r="C1985" t="str">
        <f>TEXT(Table1[[#This Row],[Order Date]], "yyyy")</f>
        <v>2020</v>
      </c>
      <c r="D1985" t="str">
        <f>TEXT(Table1[[#This Row],[Order Date]], "mmmm")</f>
        <v>November</v>
      </c>
      <c r="E1985" s="16">
        <f>Table1[[#This Row],[Order Quantity]]*Table1[[#This Row],[Unit Price]]</f>
        <v>2004.48</v>
      </c>
      <c r="F1985">
        <v>32</v>
      </c>
      <c r="G1985" s="16">
        <v>62.64</v>
      </c>
      <c r="H1985" t="s">
        <v>464</v>
      </c>
      <c r="I1985" t="s">
        <v>1437</v>
      </c>
      <c r="J1985" t="s">
        <v>10</v>
      </c>
      <c r="K1985" t="s">
        <v>11</v>
      </c>
    </row>
    <row r="1986" spans="1:11" x14ac:dyDescent="0.45">
      <c r="A1986">
        <v>8180</v>
      </c>
      <c r="B1986" s="15">
        <v>43933</v>
      </c>
      <c r="C1986" t="str">
        <f>TEXT(Table1[[#This Row],[Order Date]], "yyyy")</f>
        <v>2020</v>
      </c>
      <c r="D1986" t="str">
        <f>TEXT(Table1[[#This Row],[Order Date]], "mmmm")</f>
        <v>April</v>
      </c>
      <c r="E1986" s="16">
        <f>Table1[[#This Row],[Order Quantity]]*Table1[[#This Row],[Unit Price]]</f>
        <v>25175.559999999998</v>
      </c>
      <c r="F1986">
        <v>83</v>
      </c>
      <c r="G1986" s="16">
        <v>303.32</v>
      </c>
      <c r="H1986" t="s">
        <v>8</v>
      </c>
      <c r="I1986" t="s">
        <v>1438</v>
      </c>
      <c r="J1986" t="s">
        <v>23</v>
      </c>
      <c r="K1986" t="s">
        <v>11</v>
      </c>
    </row>
    <row r="1987" spans="1:11" x14ac:dyDescent="0.45">
      <c r="A1987">
        <v>8181</v>
      </c>
      <c r="B1987" s="15">
        <v>43965</v>
      </c>
      <c r="C1987" t="str">
        <f>TEXT(Table1[[#This Row],[Order Date]], "yyyy")</f>
        <v>2020</v>
      </c>
      <c r="D1987" t="str">
        <f>TEXT(Table1[[#This Row],[Order Date]], "mmmm")</f>
        <v>May</v>
      </c>
      <c r="E1987" s="16">
        <f>Table1[[#This Row],[Order Quantity]]*Table1[[#This Row],[Unit Price]]</f>
        <v>27936.720000000001</v>
      </c>
      <c r="F1987">
        <v>56</v>
      </c>
      <c r="G1987" s="16">
        <v>498.87</v>
      </c>
      <c r="H1987" t="s">
        <v>8</v>
      </c>
      <c r="I1987" t="s">
        <v>1439</v>
      </c>
      <c r="J1987" t="s">
        <v>13</v>
      </c>
      <c r="K1987" t="s">
        <v>17</v>
      </c>
    </row>
    <row r="1988" spans="1:11" x14ac:dyDescent="0.45">
      <c r="A1988">
        <v>8182</v>
      </c>
      <c r="B1988" s="15">
        <v>44195</v>
      </c>
      <c r="C1988" t="str">
        <f>TEXT(Table1[[#This Row],[Order Date]], "yyyy")</f>
        <v>2020</v>
      </c>
      <c r="D1988" t="str">
        <f>TEXT(Table1[[#This Row],[Order Date]], "mmmm")</f>
        <v>December</v>
      </c>
      <c r="E1988" s="16">
        <f>Table1[[#This Row],[Order Quantity]]*Table1[[#This Row],[Unit Price]]</f>
        <v>6354.95</v>
      </c>
      <c r="F1988">
        <v>35</v>
      </c>
      <c r="G1988" s="16">
        <v>181.57</v>
      </c>
      <c r="H1988" t="s">
        <v>464</v>
      </c>
      <c r="I1988" t="s">
        <v>1440</v>
      </c>
      <c r="J1988" t="s">
        <v>13</v>
      </c>
      <c r="K1988" t="s">
        <v>17</v>
      </c>
    </row>
    <row r="1989" spans="1:11" x14ac:dyDescent="0.45">
      <c r="A1989">
        <v>8183</v>
      </c>
      <c r="B1989" s="15">
        <v>43941</v>
      </c>
      <c r="C1989" t="str">
        <f>TEXT(Table1[[#This Row],[Order Date]], "yyyy")</f>
        <v>2020</v>
      </c>
      <c r="D1989" t="str">
        <f>TEXT(Table1[[#This Row],[Order Date]], "mmmm")</f>
        <v>April</v>
      </c>
      <c r="E1989" s="16">
        <f>Table1[[#This Row],[Order Quantity]]*Table1[[#This Row],[Unit Price]]</f>
        <v>79139.340000000011</v>
      </c>
      <c r="F1989">
        <v>63</v>
      </c>
      <c r="G1989" s="16">
        <v>1256.18</v>
      </c>
      <c r="H1989" t="s">
        <v>25</v>
      </c>
      <c r="I1989" t="s">
        <v>1441</v>
      </c>
      <c r="J1989" t="s">
        <v>20</v>
      </c>
      <c r="K1989" t="s">
        <v>15</v>
      </c>
    </row>
    <row r="1990" spans="1:11" x14ac:dyDescent="0.45">
      <c r="A1990">
        <v>8184</v>
      </c>
      <c r="B1990" s="15">
        <v>44036</v>
      </c>
      <c r="C1990" t="str">
        <f>TEXT(Table1[[#This Row],[Order Date]], "yyyy")</f>
        <v>2020</v>
      </c>
      <c r="D1990" t="str">
        <f>TEXT(Table1[[#This Row],[Order Date]], "mmmm")</f>
        <v>July</v>
      </c>
      <c r="E1990" s="16">
        <f>Table1[[#This Row],[Order Quantity]]*Table1[[#This Row],[Unit Price]]</f>
        <v>39833.919999999998</v>
      </c>
      <c r="F1990">
        <v>32</v>
      </c>
      <c r="G1990" s="16">
        <v>1244.81</v>
      </c>
      <c r="H1990" t="s">
        <v>25</v>
      </c>
      <c r="I1990" t="s">
        <v>1442</v>
      </c>
      <c r="J1990" t="s">
        <v>20</v>
      </c>
      <c r="K1990" t="s">
        <v>11</v>
      </c>
    </row>
    <row r="1991" spans="1:11" x14ac:dyDescent="0.45">
      <c r="A1991">
        <v>8185</v>
      </c>
      <c r="B1991" s="15">
        <v>43952</v>
      </c>
      <c r="C1991" t="str">
        <f>TEXT(Table1[[#This Row],[Order Date]], "yyyy")</f>
        <v>2020</v>
      </c>
      <c r="D1991" t="str">
        <f>TEXT(Table1[[#This Row],[Order Date]], "mmmm")</f>
        <v>May</v>
      </c>
      <c r="E1991" s="16">
        <f>Table1[[#This Row],[Order Quantity]]*Table1[[#This Row],[Unit Price]]</f>
        <v>86983.14</v>
      </c>
      <c r="F1991">
        <v>82</v>
      </c>
      <c r="G1991" s="16">
        <v>1060.77</v>
      </c>
      <c r="H1991" t="s">
        <v>25</v>
      </c>
      <c r="I1991" t="s">
        <v>1443</v>
      </c>
      <c r="J1991" t="s">
        <v>13</v>
      </c>
      <c r="K1991" t="s">
        <v>15</v>
      </c>
    </row>
    <row r="1992" spans="1:11" x14ac:dyDescent="0.45">
      <c r="A1992">
        <v>8186</v>
      </c>
      <c r="B1992" s="15">
        <v>43977</v>
      </c>
      <c r="C1992" t="str">
        <f>TEXT(Table1[[#This Row],[Order Date]], "yyyy")</f>
        <v>2020</v>
      </c>
      <c r="D1992" t="str">
        <f>TEXT(Table1[[#This Row],[Order Date]], "mmmm")</f>
        <v>May</v>
      </c>
      <c r="E1992" s="16">
        <f>Table1[[#This Row],[Order Quantity]]*Table1[[#This Row],[Unit Price]]</f>
        <v>48813.130000000005</v>
      </c>
      <c r="F1992">
        <v>83</v>
      </c>
      <c r="G1992" s="16">
        <v>588.11</v>
      </c>
      <c r="H1992" t="s">
        <v>8</v>
      </c>
      <c r="I1992" t="s">
        <v>1444</v>
      </c>
      <c r="J1992" t="s">
        <v>23</v>
      </c>
      <c r="K1992" t="s">
        <v>11</v>
      </c>
    </row>
    <row r="1993" spans="1:11" x14ac:dyDescent="0.45">
      <c r="A1993">
        <v>8187</v>
      </c>
      <c r="B1993" s="15">
        <v>43874</v>
      </c>
      <c r="C1993" t="str">
        <f>TEXT(Table1[[#This Row],[Order Date]], "yyyy")</f>
        <v>2020</v>
      </c>
      <c r="D1993" t="str">
        <f>TEXT(Table1[[#This Row],[Order Date]], "mmmm")</f>
        <v>February</v>
      </c>
      <c r="E1993" s="16">
        <f>Table1[[#This Row],[Order Quantity]]*Table1[[#This Row],[Unit Price]]</f>
        <v>48450.520000000004</v>
      </c>
      <c r="F1993">
        <v>62</v>
      </c>
      <c r="G1993" s="16">
        <v>781.46</v>
      </c>
      <c r="H1993" t="s">
        <v>464</v>
      </c>
      <c r="I1993" t="s">
        <v>1445</v>
      </c>
      <c r="J1993" t="s">
        <v>23</v>
      </c>
      <c r="K1993" t="s">
        <v>17</v>
      </c>
    </row>
    <row r="1994" spans="1:11" x14ac:dyDescent="0.45">
      <c r="A1994">
        <v>8188</v>
      </c>
      <c r="B1994" s="15">
        <v>44015</v>
      </c>
      <c r="C1994" t="str">
        <f>TEXT(Table1[[#This Row],[Order Date]], "yyyy")</f>
        <v>2020</v>
      </c>
      <c r="D1994" t="str">
        <f>TEXT(Table1[[#This Row],[Order Date]], "mmmm")</f>
        <v>July</v>
      </c>
      <c r="E1994" s="16">
        <f>Table1[[#This Row],[Order Quantity]]*Table1[[#This Row],[Unit Price]]</f>
        <v>8310.75</v>
      </c>
      <c r="F1994">
        <v>35</v>
      </c>
      <c r="G1994" s="16">
        <v>237.45</v>
      </c>
      <c r="H1994" t="s">
        <v>25</v>
      </c>
      <c r="I1994" t="s">
        <v>1446</v>
      </c>
      <c r="J1994" t="s">
        <v>13</v>
      </c>
      <c r="K1994" t="s">
        <v>15</v>
      </c>
    </row>
    <row r="1995" spans="1:11" x14ac:dyDescent="0.45">
      <c r="A1995">
        <v>8189</v>
      </c>
      <c r="B1995" s="15">
        <v>43991</v>
      </c>
      <c r="C1995" t="str">
        <f>TEXT(Table1[[#This Row],[Order Date]], "yyyy")</f>
        <v>2020</v>
      </c>
      <c r="D1995" t="str">
        <f>TEXT(Table1[[#This Row],[Order Date]], "mmmm")</f>
        <v>June</v>
      </c>
      <c r="E1995" s="16">
        <f>Table1[[#This Row],[Order Quantity]]*Table1[[#This Row],[Unit Price]]</f>
        <v>36314.200000000004</v>
      </c>
      <c r="F1995">
        <v>52</v>
      </c>
      <c r="G1995" s="16">
        <v>698.35</v>
      </c>
      <c r="H1995" t="s">
        <v>464</v>
      </c>
      <c r="I1995" t="s">
        <v>1447</v>
      </c>
      <c r="J1995" t="s">
        <v>23</v>
      </c>
      <c r="K1995" t="s">
        <v>15</v>
      </c>
    </row>
    <row r="1996" spans="1:11" x14ac:dyDescent="0.45">
      <c r="A1996">
        <v>8190</v>
      </c>
      <c r="B1996" s="15">
        <v>43847</v>
      </c>
      <c r="C1996" t="str">
        <f>TEXT(Table1[[#This Row],[Order Date]], "yyyy")</f>
        <v>2020</v>
      </c>
      <c r="D1996" t="str">
        <f>TEXT(Table1[[#This Row],[Order Date]], "mmmm")</f>
        <v>January</v>
      </c>
      <c r="E1996" s="16">
        <f>Table1[[#This Row],[Order Quantity]]*Table1[[#This Row],[Unit Price]]</f>
        <v>17443.5</v>
      </c>
      <c r="F1996">
        <v>58</v>
      </c>
      <c r="G1996" s="16">
        <v>300.75</v>
      </c>
      <c r="H1996" t="s">
        <v>464</v>
      </c>
      <c r="I1996" t="s">
        <v>674</v>
      </c>
      <c r="J1996" t="s">
        <v>13</v>
      </c>
      <c r="K1996" t="s">
        <v>11</v>
      </c>
    </row>
    <row r="1997" spans="1:11" x14ac:dyDescent="0.45">
      <c r="A1997">
        <v>8191</v>
      </c>
      <c r="B1997" s="15">
        <v>43935</v>
      </c>
      <c r="C1997" t="str">
        <f>TEXT(Table1[[#This Row],[Order Date]], "yyyy")</f>
        <v>2020</v>
      </c>
      <c r="D1997" t="str">
        <f>TEXT(Table1[[#This Row],[Order Date]], "mmmm")</f>
        <v>April</v>
      </c>
      <c r="E1997" s="16">
        <f>Table1[[#This Row],[Order Quantity]]*Table1[[#This Row],[Unit Price]]</f>
        <v>6317.92</v>
      </c>
      <c r="F1997">
        <v>8</v>
      </c>
      <c r="G1997" s="16">
        <v>789.74</v>
      </c>
      <c r="H1997" t="s">
        <v>8</v>
      </c>
      <c r="I1997" t="s">
        <v>1448</v>
      </c>
      <c r="J1997" t="s">
        <v>23</v>
      </c>
      <c r="K1997" t="s">
        <v>11</v>
      </c>
    </row>
    <row r="1998" spans="1:11" x14ac:dyDescent="0.45">
      <c r="A1998">
        <v>8192</v>
      </c>
      <c r="B1998" s="15">
        <v>44172</v>
      </c>
      <c r="C1998" t="str">
        <f>TEXT(Table1[[#This Row],[Order Date]], "yyyy")</f>
        <v>2020</v>
      </c>
      <c r="D1998" t="str">
        <f>TEXT(Table1[[#This Row],[Order Date]], "mmmm")</f>
        <v>December</v>
      </c>
      <c r="E1998" s="16">
        <f>Table1[[#This Row],[Order Quantity]]*Table1[[#This Row],[Unit Price]]</f>
        <v>13833.710000000001</v>
      </c>
      <c r="F1998">
        <v>19</v>
      </c>
      <c r="G1998" s="16">
        <v>728.09</v>
      </c>
      <c r="H1998" t="s">
        <v>25</v>
      </c>
      <c r="I1998" t="s">
        <v>1449</v>
      </c>
      <c r="J1998" t="s">
        <v>23</v>
      </c>
      <c r="K1998" t="s">
        <v>11</v>
      </c>
    </row>
    <row r="1999" spans="1:11" x14ac:dyDescent="0.45">
      <c r="A1999">
        <v>8193</v>
      </c>
      <c r="B1999" s="15">
        <v>44002</v>
      </c>
      <c r="C1999" t="str">
        <f>TEXT(Table1[[#This Row],[Order Date]], "yyyy")</f>
        <v>2020</v>
      </c>
      <c r="D1999" t="str">
        <f>TEXT(Table1[[#This Row],[Order Date]], "mmmm")</f>
        <v>June</v>
      </c>
      <c r="E1999" s="16">
        <f>Table1[[#This Row],[Order Quantity]]*Table1[[#This Row],[Unit Price]]</f>
        <v>36273.64</v>
      </c>
      <c r="F1999">
        <v>79</v>
      </c>
      <c r="G1999" s="16">
        <v>459.16</v>
      </c>
      <c r="H1999" t="s">
        <v>464</v>
      </c>
      <c r="I1999" t="s">
        <v>1450</v>
      </c>
      <c r="J1999" t="s">
        <v>23</v>
      </c>
      <c r="K1999" t="s">
        <v>11</v>
      </c>
    </row>
    <row r="2000" spans="1:11" x14ac:dyDescent="0.45">
      <c r="A2000">
        <v>8194</v>
      </c>
      <c r="B2000" s="15">
        <v>44095</v>
      </c>
      <c r="C2000" t="str">
        <f>TEXT(Table1[[#This Row],[Order Date]], "yyyy")</f>
        <v>2020</v>
      </c>
      <c r="D2000" t="str">
        <f>TEXT(Table1[[#This Row],[Order Date]], "mmmm")</f>
        <v>September</v>
      </c>
      <c r="E2000" s="16">
        <f>Table1[[#This Row],[Order Quantity]]*Table1[[#This Row],[Unit Price]]</f>
        <v>95792.49</v>
      </c>
      <c r="F2000">
        <v>71</v>
      </c>
      <c r="G2000" s="16">
        <v>1349.19</v>
      </c>
      <c r="H2000" t="s">
        <v>8</v>
      </c>
      <c r="I2000" t="s">
        <v>1451</v>
      </c>
      <c r="J2000" t="s">
        <v>13</v>
      </c>
      <c r="K2000" t="s">
        <v>11</v>
      </c>
    </row>
    <row r="2001" spans="1:11" x14ac:dyDescent="0.45">
      <c r="A2001">
        <v>8195</v>
      </c>
      <c r="B2001" s="15">
        <v>43939</v>
      </c>
      <c r="C2001" t="str">
        <f>TEXT(Table1[[#This Row],[Order Date]], "yyyy")</f>
        <v>2020</v>
      </c>
      <c r="D2001" t="str">
        <f>TEXT(Table1[[#This Row],[Order Date]], "mmmm")</f>
        <v>April</v>
      </c>
      <c r="E2001" s="16">
        <f>Table1[[#This Row],[Order Quantity]]*Table1[[#This Row],[Unit Price]]</f>
        <v>94381.21</v>
      </c>
      <c r="F2001">
        <v>77</v>
      </c>
      <c r="G2001" s="16">
        <v>1225.73</v>
      </c>
      <c r="H2001" t="s">
        <v>8</v>
      </c>
      <c r="I2001" t="s">
        <v>1452</v>
      </c>
      <c r="J2001" t="s">
        <v>10</v>
      </c>
      <c r="K2001" t="s">
        <v>15</v>
      </c>
    </row>
    <row r="2002" spans="1:11" x14ac:dyDescent="0.45">
      <c r="A2002">
        <v>8196</v>
      </c>
      <c r="B2002" s="15">
        <v>44041</v>
      </c>
      <c r="C2002" t="str">
        <f>TEXT(Table1[[#This Row],[Order Date]], "yyyy")</f>
        <v>2020</v>
      </c>
      <c r="D2002" t="str">
        <f>TEXT(Table1[[#This Row],[Order Date]], "mmmm")</f>
        <v>July</v>
      </c>
      <c r="E2002" s="16">
        <f>Table1[[#This Row],[Order Quantity]]*Table1[[#This Row],[Unit Price]]</f>
        <v>104081.65</v>
      </c>
      <c r="F2002">
        <v>85</v>
      </c>
      <c r="G2002" s="16">
        <v>1224.49</v>
      </c>
      <c r="H2002" t="s">
        <v>8</v>
      </c>
      <c r="I2002" t="s">
        <v>1453</v>
      </c>
      <c r="J2002" t="s">
        <v>23</v>
      </c>
      <c r="K2002" t="s">
        <v>17</v>
      </c>
    </row>
    <row r="2003" spans="1:11" x14ac:dyDescent="0.45">
      <c r="A2003">
        <v>8197</v>
      </c>
      <c r="B2003" s="15">
        <v>44199</v>
      </c>
      <c r="C2003" t="str">
        <f>TEXT(Table1[[#This Row],[Order Date]], "yyyy")</f>
        <v>2021</v>
      </c>
      <c r="D2003" t="str">
        <f>TEXT(Table1[[#This Row],[Order Date]], "mmmm")</f>
        <v>January</v>
      </c>
      <c r="E2003" s="16">
        <f>Table1[[#This Row],[Order Quantity]]*Table1[[#This Row],[Unit Price]]</f>
        <v>47254.559999999998</v>
      </c>
      <c r="F2003">
        <v>34</v>
      </c>
      <c r="G2003" s="16">
        <v>1389.84</v>
      </c>
      <c r="H2003" t="s">
        <v>464</v>
      </c>
      <c r="I2003" t="s">
        <v>1454</v>
      </c>
      <c r="J2003" t="s">
        <v>20</v>
      </c>
      <c r="K2003" t="s">
        <v>15</v>
      </c>
    </row>
    <row r="2004" spans="1:11" x14ac:dyDescent="0.45">
      <c r="A2004">
        <v>8198</v>
      </c>
      <c r="B2004" s="15">
        <v>44033</v>
      </c>
      <c r="C2004" t="str">
        <f>TEXT(Table1[[#This Row],[Order Date]], "yyyy")</f>
        <v>2020</v>
      </c>
      <c r="D2004" t="str">
        <f>TEXT(Table1[[#This Row],[Order Date]], "mmmm")</f>
        <v>July</v>
      </c>
      <c r="E2004" s="16">
        <f>Table1[[#This Row],[Order Quantity]]*Table1[[#This Row],[Unit Price]]</f>
        <v>39441.699999999997</v>
      </c>
      <c r="F2004">
        <v>34</v>
      </c>
      <c r="G2004" s="16">
        <v>1160.05</v>
      </c>
      <c r="H2004" t="s">
        <v>464</v>
      </c>
      <c r="I2004" t="s">
        <v>1455</v>
      </c>
      <c r="J2004" t="s">
        <v>20</v>
      </c>
      <c r="K2004" t="s">
        <v>11</v>
      </c>
    </row>
    <row r="2005" spans="1:11" x14ac:dyDescent="0.45">
      <c r="A2005">
        <v>8199</v>
      </c>
      <c r="B2005" s="15">
        <v>43878</v>
      </c>
      <c r="C2005" t="str">
        <f>TEXT(Table1[[#This Row],[Order Date]], "yyyy")</f>
        <v>2020</v>
      </c>
      <c r="D2005" t="str">
        <f>TEXT(Table1[[#This Row],[Order Date]], "mmmm")</f>
        <v>February</v>
      </c>
      <c r="E2005" s="16">
        <f>Table1[[#This Row],[Order Quantity]]*Table1[[#This Row],[Unit Price]]</f>
        <v>4611.42</v>
      </c>
      <c r="F2005">
        <v>6</v>
      </c>
      <c r="G2005" s="16">
        <v>768.57</v>
      </c>
      <c r="H2005" t="s">
        <v>464</v>
      </c>
      <c r="I2005" t="s">
        <v>1456</v>
      </c>
      <c r="J2005" t="s">
        <v>20</v>
      </c>
      <c r="K2005" t="s">
        <v>17</v>
      </c>
    </row>
    <row r="2006" spans="1:11" x14ac:dyDescent="0.45">
      <c r="A2006">
        <v>8200</v>
      </c>
      <c r="B2006" s="15">
        <v>44137</v>
      </c>
      <c r="C2006" t="str">
        <f>TEXT(Table1[[#This Row],[Order Date]], "yyyy")</f>
        <v>2020</v>
      </c>
      <c r="D2006" t="str">
        <f>TEXT(Table1[[#This Row],[Order Date]], "mmmm")</f>
        <v>November</v>
      </c>
      <c r="E2006" s="16">
        <f>Table1[[#This Row],[Order Quantity]]*Table1[[#This Row],[Unit Price]]</f>
        <v>5197.96</v>
      </c>
      <c r="F2006">
        <v>29</v>
      </c>
      <c r="G2006" s="16">
        <v>179.24</v>
      </c>
      <c r="H2006" t="s">
        <v>8</v>
      </c>
      <c r="I2006" t="s">
        <v>1457</v>
      </c>
      <c r="J2006" t="s">
        <v>13</v>
      </c>
      <c r="K2006" t="s">
        <v>15</v>
      </c>
    </row>
    <row r="2007" spans="1:11" x14ac:dyDescent="0.45">
      <c r="A2007">
        <v>8201</v>
      </c>
      <c r="B2007" s="15">
        <v>43990</v>
      </c>
      <c r="C2007" t="str">
        <f>TEXT(Table1[[#This Row],[Order Date]], "yyyy")</f>
        <v>2020</v>
      </c>
      <c r="D2007" t="str">
        <f>TEXT(Table1[[#This Row],[Order Date]], "mmmm")</f>
        <v>June</v>
      </c>
      <c r="E2007" s="16">
        <f>Table1[[#This Row],[Order Quantity]]*Table1[[#This Row],[Unit Price]]</f>
        <v>36695</v>
      </c>
      <c r="F2007">
        <v>100</v>
      </c>
      <c r="G2007" s="16">
        <v>366.95</v>
      </c>
      <c r="H2007" t="s">
        <v>464</v>
      </c>
      <c r="I2007" t="s">
        <v>1458</v>
      </c>
      <c r="J2007" t="s">
        <v>13</v>
      </c>
      <c r="K2007" t="s">
        <v>15</v>
      </c>
    </row>
    <row r="2008" spans="1:11" x14ac:dyDescent="0.45">
      <c r="A2008">
        <v>8202</v>
      </c>
      <c r="B2008" s="15">
        <v>43905</v>
      </c>
      <c r="C2008" t="str">
        <f>TEXT(Table1[[#This Row],[Order Date]], "yyyy")</f>
        <v>2020</v>
      </c>
      <c r="D2008" t="str">
        <f>TEXT(Table1[[#This Row],[Order Date]], "mmmm")</f>
        <v>March</v>
      </c>
      <c r="E2008" s="16">
        <f>Table1[[#This Row],[Order Quantity]]*Table1[[#This Row],[Unit Price]]</f>
        <v>22711.65</v>
      </c>
      <c r="F2008">
        <v>39</v>
      </c>
      <c r="G2008" s="16">
        <v>582.35</v>
      </c>
      <c r="H2008" t="s">
        <v>464</v>
      </c>
      <c r="I2008" t="s">
        <v>1459</v>
      </c>
      <c r="J2008" t="s">
        <v>23</v>
      </c>
      <c r="K2008" t="s">
        <v>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B2796-F6E8-4D32-BC0D-E98F4EC6C4AA}">
  <dimension ref="A2:V1429"/>
  <sheetViews>
    <sheetView workbookViewId="0">
      <selection activeCell="M19" sqref="M19"/>
    </sheetView>
  </sheetViews>
  <sheetFormatPr defaultRowHeight="14.25" x14ac:dyDescent="0.45"/>
  <cols>
    <col min="1" max="1" width="14.3984375" bestFit="1" customWidth="1"/>
    <col min="2" max="2" width="11.73046875" bestFit="1" customWidth="1"/>
    <col min="3" max="3" width="17.1328125" bestFit="1" customWidth="1"/>
    <col min="4" max="4" width="7.6640625" bestFit="1" customWidth="1"/>
    <col min="5" max="7" width="14.46484375" bestFit="1" customWidth="1"/>
    <col min="8" max="8" width="11.9296875" bestFit="1" customWidth="1"/>
    <col min="9" max="9" width="14.46484375" bestFit="1" customWidth="1"/>
    <col min="10" max="10" width="10.59765625" bestFit="1" customWidth="1"/>
    <col min="11" max="13" width="14.46484375" bestFit="1" customWidth="1"/>
    <col min="14" max="14" width="11.9296875" bestFit="1" customWidth="1"/>
    <col min="15" max="15" width="14.46484375" bestFit="1" customWidth="1"/>
    <col min="16" max="16" width="20.9296875" bestFit="1" customWidth="1"/>
    <col min="17" max="17" width="14.73046875" bestFit="1" customWidth="1"/>
    <col min="18" max="21" width="4.73046875" bestFit="1" customWidth="1"/>
    <col min="22" max="22" width="10.19921875" bestFit="1" customWidth="1"/>
    <col min="23" max="23" width="5.73046875" bestFit="1" customWidth="1"/>
    <col min="24" max="24" width="4.73046875" bestFit="1" customWidth="1"/>
    <col min="25" max="25" width="5.73046875" bestFit="1" customWidth="1"/>
    <col min="26" max="26" width="4.73046875" bestFit="1" customWidth="1"/>
    <col min="27" max="27" width="10.19921875" bestFit="1" customWidth="1"/>
    <col min="28" max="28" width="5.73046875" bestFit="1" customWidth="1"/>
    <col min="29" max="29" width="4.73046875" bestFit="1" customWidth="1"/>
    <col min="30" max="37" width="5.73046875" bestFit="1" customWidth="1"/>
    <col min="38" max="38" width="4.73046875" bestFit="1" customWidth="1"/>
    <col min="39" max="39" width="5.73046875" bestFit="1" customWidth="1"/>
    <col min="40" max="43" width="4.73046875" bestFit="1" customWidth="1"/>
    <col min="44" max="50" width="5.73046875" bestFit="1" customWidth="1"/>
    <col min="51" max="51" width="4.73046875" bestFit="1" customWidth="1"/>
    <col min="52" max="54" width="5.73046875" bestFit="1" customWidth="1"/>
    <col min="55" max="55" width="6.73046875" bestFit="1" customWidth="1"/>
    <col min="56" max="65" width="5.73046875" bestFit="1" customWidth="1"/>
    <col min="66" max="66" width="2.73046875" bestFit="1" customWidth="1"/>
    <col min="67" max="67" width="4.73046875" bestFit="1" customWidth="1"/>
    <col min="68" max="76" width="5.73046875" bestFit="1" customWidth="1"/>
    <col min="77" max="77" width="4.73046875" bestFit="1" customWidth="1"/>
    <col min="78" max="86" width="5.73046875" bestFit="1" customWidth="1"/>
    <col min="87" max="87" width="4.73046875" bestFit="1" customWidth="1"/>
    <col min="88" max="89" width="5.73046875" bestFit="1" customWidth="1"/>
    <col min="90" max="90" width="4.73046875" bestFit="1" customWidth="1"/>
    <col min="91" max="91" width="5.73046875" bestFit="1" customWidth="1"/>
    <col min="92" max="92" width="6.73046875" bestFit="1" customWidth="1"/>
    <col min="93" max="93" width="5.73046875" bestFit="1" customWidth="1"/>
    <col min="94" max="94" width="4.73046875" bestFit="1" customWidth="1"/>
    <col min="95" max="97" width="5.73046875" bestFit="1" customWidth="1"/>
    <col min="98" max="100" width="6.73046875" bestFit="1" customWidth="1"/>
    <col min="101" max="102" width="5.73046875" bestFit="1" customWidth="1"/>
    <col min="103" max="103" width="4.73046875" bestFit="1" customWidth="1"/>
    <col min="104" max="105" width="5.73046875" bestFit="1" customWidth="1"/>
    <col min="106" max="106" width="6.73046875" bestFit="1" customWidth="1"/>
    <col min="107" max="112" width="5.73046875" bestFit="1" customWidth="1"/>
    <col min="113" max="113" width="4.73046875" bestFit="1" customWidth="1"/>
    <col min="114" max="115" width="5.73046875" bestFit="1" customWidth="1"/>
    <col min="116" max="116" width="4.73046875" bestFit="1" customWidth="1"/>
    <col min="117" max="118" width="5.73046875" bestFit="1" customWidth="1"/>
    <col min="119" max="119" width="6.73046875" bestFit="1" customWidth="1"/>
    <col min="120" max="124" width="5.73046875" bestFit="1" customWidth="1"/>
    <col min="125" max="125" width="6.73046875" bestFit="1" customWidth="1"/>
    <col min="126" max="133" width="5.73046875" bestFit="1" customWidth="1"/>
    <col min="134" max="134" width="4.73046875" bestFit="1" customWidth="1"/>
    <col min="135" max="135" width="5.73046875" bestFit="1" customWidth="1"/>
    <col min="136" max="137" width="6.73046875" bestFit="1" customWidth="1"/>
    <col min="138" max="140" width="5.73046875" bestFit="1" customWidth="1"/>
    <col min="141" max="141" width="2.73046875" bestFit="1" customWidth="1"/>
    <col min="142" max="143" width="5.73046875" bestFit="1" customWidth="1"/>
    <col min="144" max="145" width="4.73046875" bestFit="1" customWidth="1"/>
    <col min="146" max="147" width="5.73046875" bestFit="1" customWidth="1"/>
    <col min="148" max="148" width="4.73046875" bestFit="1" customWidth="1"/>
    <col min="149" max="152" width="5.73046875" bestFit="1" customWidth="1"/>
    <col min="153" max="153" width="4.73046875" bestFit="1" customWidth="1"/>
    <col min="154" max="158" width="5.73046875" bestFit="1" customWidth="1"/>
    <col min="159" max="159" width="4.73046875" bestFit="1" customWidth="1"/>
    <col min="160" max="162" width="5.73046875" bestFit="1" customWidth="1"/>
    <col min="163" max="163" width="4.73046875" bestFit="1" customWidth="1"/>
    <col min="164" max="167" width="5.73046875" bestFit="1" customWidth="1"/>
    <col min="168" max="169" width="4.73046875" bestFit="1" customWidth="1"/>
    <col min="170" max="175" width="5.73046875" bestFit="1" customWidth="1"/>
    <col min="176" max="178" width="6.73046875" bestFit="1" customWidth="1"/>
    <col min="179" max="179" width="5.73046875" bestFit="1" customWidth="1"/>
    <col min="180" max="184" width="6.73046875" bestFit="1" customWidth="1"/>
    <col min="185" max="185" width="5.73046875" bestFit="1" customWidth="1"/>
    <col min="186" max="191" width="6.73046875" bestFit="1" customWidth="1"/>
    <col min="192" max="192" width="5.73046875" bestFit="1" customWidth="1"/>
    <col min="193" max="198" width="6.73046875" bestFit="1" customWidth="1"/>
    <col min="199" max="199" width="5.73046875" bestFit="1" customWidth="1"/>
    <col min="200" max="205" width="6.73046875" bestFit="1" customWidth="1"/>
    <col min="206" max="206" width="5.73046875" bestFit="1" customWidth="1"/>
    <col min="207" max="209" width="6.73046875" bestFit="1" customWidth="1"/>
    <col min="210" max="211" width="5.73046875" bestFit="1" customWidth="1"/>
    <col min="212" max="212" width="6.73046875" bestFit="1" customWidth="1"/>
    <col min="213" max="214" width="5.73046875" bestFit="1" customWidth="1"/>
    <col min="215" max="217" width="6.73046875" bestFit="1" customWidth="1"/>
    <col min="218" max="219" width="5.73046875" bestFit="1" customWidth="1"/>
    <col min="220" max="226" width="6.73046875" bestFit="1" customWidth="1"/>
    <col min="227" max="227" width="5.73046875" bestFit="1" customWidth="1"/>
    <col min="228" max="229" width="6.73046875" bestFit="1" customWidth="1"/>
    <col min="230" max="230" width="3.73046875" bestFit="1" customWidth="1"/>
    <col min="231" max="231" width="5.73046875" bestFit="1" customWidth="1"/>
    <col min="232" max="235" width="6.73046875" bestFit="1" customWidth="1"/>
    <col min="236" max="236" width="5.73046875" bestFit="1" customWidth="1"/>
    <col min="237" max="237" width="3.73046875" bestFit="1" customWidth="1"/>
    <col min="238" max="239" width="6.73046875" bestFit="1" customWidth="1"/>
    <col min="240" max="240" width="5.73046875" bestFit="1" customWidth="1"/>
    <col min="241" max="245" width="6.73046875" bestFit="1" customWidth="1"/>
    <col min="246" max="246" width="3.73046875" bestFit="1" customWidth="1"/>
    <col min="247" max="247" width="5.73046875" bestFit="1" customWidth="1"/>
    <col min="248" max="252" width="6.73046875" bestFit="1" customWidth="1"/>
    <col min="253" max="253" width="3.73046875" bestFit="1" customWidth="1"/>
    <col min="254" max="258" width="6.73046875" bestFit="1" customWidth="1"/>
    <col min="259" max="259" width="3.73046875" bestFit="1" customWidth="1"/>
    <col min="260" max="268" width="6.73046875" bestFit="1" customWidth="1"/>
    <col min="269" max="269" width="5.73046875" bestFit="1" customWidth="1"/>
    <col min="270" max="274" width="6.73046875" bestFit="1" customWidth="1"/>
    <col min="275" max="275" width="5.73046875" bestFit="1" customWidth="1"/>
    <col min="276" max="280" width="6.73046875" bestFit="1" customWidth="1"/>
    <col min="281" max="281" width="5.73046875" bestFit="1" customWidth="1"/>
    <col min="282" max="289" width="6.73046875" bestFit="1" customWidth="1"/>
    <col min="290" max="290" width="5.73046875" bestFit="1" customWidth="1"/>
    <col min="291" max="293" width="6.73046875" bestFit="1" customWidth="1"/>
    <col min="294" max="294" width="5.73046875" bestFit="1" customWidth="1"/>
    <col min="295" max="295" width="6.73046875" bestFit="1" customWidth="1"/>
    <col min="296" max="296" width="5.73046875" bestFit="1" customWidth="1"/>
    <col min="297" max="303" width="6.73046875" bestFit="1" customWidth="1"/>
    <col min="304" max="304" width="5.73046875" bestFit="1" customWidth="1"/>
    <col min="305" max="305" width="6.73046875" bestFit="1" customWidth="1"/>
    <col min="306" max="307" width="5.73046875" bestFit="1" customWidth="1"/>
    <col min="308" max="310" width="6.73046875" bestFit="1" customWidth="1"/>
    <col min="311" max="311" width="5.73046875" bestFit="1" customWidth="1"/>
    <col min="312" max="322" width="6.73046875" bestFit="1" customWidth="1"/>
    <col min="323" max="323" width="3.73046875" bestFit="1" customWidth="1"/>
    <col min="324" max="335" width="6.73046875" bestFit="1" customWidth="1"/>
    <col min="336" max="336" width="5.73046875" bestFit="1" customWidth="1"/>
    <col min="337" max="337" width="6.73046875" bestFit="1" customWidth="1"/>
    <col min="338" max="338" width="5.73046875" bestFit="1" customWidth="1"/>
    <col min="339" max="339" width="6.73046875" bestFit="1" customWidth="1"/>
    <col min="340" max="340" width="5.73046875" bestFit="1" customWidth="1"/>
    <col min="341" max="343" width="6.73046875" bestFit="1" customWidth="1"/>
    <col min="344" max="346" width="5.73046875" bestFit="1" customWidth="1"/>
    <col min="347" max="352" width="6.73046875" bestFit="1" customWidth="1"/>
    <col min="353" max="353" width="5.73046875" bestFit="1" customWidth="1"/>
    <col min="354" max="355" width="6.73046875" bestFit="1" customWidth="1"/>
    <col min="356" max="356" width="3.73046875" bestFit="1" customWidth="1"/>
    <col min="357" max="357" width="5.73046875" bestFit="1" customWidth="1"/>
    <col min="358" max="360" width="6.73046875" bestFit="1" customWidth="1"/>
    <col min="361" max="361" width="3.73046875" bestFit="1" customWidth="1"/>
    <col min="362" max="363" width="6.73046875" bestFit="1" customWidth="1"/>
    <col min="364" max="364" width="5.73046875" bestFit="1" customWidth="1"/>
    <col min="365" max="365" width="6.73046875" bestFit="1" customWidth="1"/>
    <col min="366" max="366" width="3.73046875" bestFit="1" customWidth="1"/>
    <col min="367" max="367" width="5.73046875" bestFit="1" customWidth="1"/>
    <col min="368" max="368" width="6.73046875" bestFit="1" customWidth="1"/>
    <col min="369" max="369" width="5.73046875" bestFit="1" customWidth="1"/>
    <col min="370" max="373" width="6.73046875" bestFit="1" customWidth="1"/>
    <col min="374" max="374" width="5.73046875" bestFit="1" customWidth="1"/>
    <col min="375" max="375" width="6.73046875" bestFit="1" customWidth="1"/>
    <col min="376" max="376" width="5.73046875" bestFit="1" customWidth="1"/>
    <col min="377" max="385" width="6.73046875" bestFit="1" customWidth="1"/>
    <col min="386" max="388" width="5.73046875" bestFit="1" customWidth="1"/>
    <col min="389" max="397" width="6.73046875" bestFit="1" customWidth="1"/>
    <col min="398" max="398" width="3.73046875" bestFit="1" customWidth="1"/>
    <col min="399" max="400" width="5.73046875" bestFit="1" customWidth="1"/>
    <col min="401" max="402" width="6.73046875" bestFit="1" customWidth="1"/>
    <col min="403" max="403" width="5.73046875" bestFit="1" customWidth="1"/>
    <col min="404" max="405" width="6.73046875" bestFit="1" customWidth="1"/>
    <col min="406" max="406" width="5.73046875" bestFit="1" customWidth="1"/>
    <col min="407" max="407" width="3.73046875" bestFit="1" customWidth="1"/>
    <col min="408" max="408" width="5.73046875" bestFit="1" customWidth="1"/>
    <col min="409" max="409" width="6.73046875" bestFit="1" customWidth="1"/>
    <col min="410" max="411" width="5.73046875" bestFit="1" customWidth="1"/>
    <col min="412" max="417" width="6.73046875" bestFit="1" customWidth="1"/>
    <col min="418" max="418" width="3.73046875" bestFit="1" customWidth="1"/>
    <col min="419" max="419" width="5.73046875" bestFit="1" customWidth="1"/>
    <col min="420" max="420" width="3.73046875" bestFit="1" customWidth="1"/>
    <col min="421" max="423" width="6.73046875" bestFit="1" customWidth="1"/>
    <col min="424" max="424" width="5.73046875" bestFit="1" customWidth="1"/>
    <col min="425" max="426" width="6.73046875" bestFit="1" customWidth="1"/>
    <col min="427" max="427" width="5.73046875" bestFit="1" customWidth="1"/>
    <col min="428" max="428" width="6.73046875" bestFit="1" customWidth="1"/>
    <col min="429" max="429" width="3.73046875" bestFit="1" customWidth="1"/>
    <col min="430" max="435" width="6.73046875" bestFit="1" customWidth="1"/>
    <col min="436" max="436" width="5.73046875" bestFit="1" customWidth="1"/>
    <col min="437" max="444" width="6.73046875" bestFit="1" customWidth="1"/>
    <col min="445" max="445" width="5.73046875" bestFit="1" customWidth="1"/>
    <col min="446" max="446" width="6.73046875" bestFit="1" customWidth="1"/>
    <col min="447" max="447" width="5.73046875" bestFit="1" customWidth="1"/>
    <col min="448" max="452" width="6.73046875" bestFit="1" customWidth="1"/>
    <col min="453" max="453" width="5.73046875" bestFit="1" customWidth="1"/>
    <col min="454" max="458" width="6.73046875" bestFit="1" customWidth="1"/>
    <col min="459" max="459" width="5.73046875" bestFit="1" customWidth="1"/>
    <col min="460" max="460" width="6.73046875" bestFit="1" customWidth="1"/>
    <col min="461" max="461" width="5.73046875" bestFit="1" customWidth="1"/>
    <col min="462" max="463" width="6.73046875" bestFit="1" customWidth="1"/>
    <col min="464" max="464" width="5.73046875" bestFit="1" customWidth="1"/>
    <col min="465" max="467" width="6.73046875" bestFit="1" customWidth="1"/>
    <col min="468" max="468" width="3.73046875" bestFit="1" customWidth="1"/>
    <col min="469" max="471" width="6.73046875" bestFit="1" customWidth="1"/>
    <col min="472" max="473" width="5.73046875" bestFit="1" customWidth="1"/>
    <col min="474" max="482" width="6.73046875" bestFit="1" customWidth="1"/>
    <col min="483" max="483" width="5.73046875" bestFit="1" customWidth="1"/>
    <col min="484" max="486" width="6.73046875" bestFit="1" customWidth="1"/>
    <col min="487" max="487" width="5.73046875" bestFit="1" customWidth="1"/>
    <col min="488" max="489" width="6.73046875" bestFit="1" customWidth="1"/>
    <col min="490" max="490" width="5.73046875" bestFit="1" customWidth="1"/>
    <col min="491" max="492" width="6.73046875" bestFit="1" customWidth="1"/>
    <col min="493" max="493" width="3.73046875" bestFit="1" customWidth="1"/>
    <col min="494" max="500" width="6.73046875" bestFit="1" customWidth="1"/>
    <col min="501" max="501" width="5.73046875" bestFit="1" customWidth="1"/>
    <col min="502" max="502" width="6.73046875" bestFit="1" customWidth="1"/>
    <col min="503" max="505" width="5.73046875" bestFit="1" customWidth="1"/>
    <col min="506" max="506" width="6.73046875" bestFit="1" customWidth="1"/>
    <col min="507" max="507" width="3.73046875" bestFit="1" customWidth="1"/>
    <col min="508" max="509" width="6.73046875" bestFit="1" customWidth="1"/>
    <col min="510" max="511" width="5.73046875" bestFit="1" customWidth="1"/>
    <col min="512" max="513" width="6.73046875" bestFit="1" customWidth="1"/>
    <col min="514" max="514" width="5.73046875" bestFit="1" customWidth="1"/>
    <col min="515" max="516" width="6.73046875" bestFit="1" customWidth="1"/>
    <col min="517" max="517" width="5.73046875" bestFit="1" customWidth="1"/>
    <col min="518" max="522" width="6.73046875" bestFit="1" customWidth="1"/>
    <col min="523" max="523" width="5.73046875" bestFit="1" customWidth="1"/>
    <col min="524" max="524" width="6.73046875" bestFit="1" customWidth="1"/>
    <col min="525" max="525" width="3.73046875" bestFit="1" customWidth="1"/>
    <col min="526" max="537" width="6.73046875" bestFit="1" customWidth="1"/>
    <col min="538" max="539" width="5.73046875" bestFit="1" customWidth="1"/>
    <col min="540" max="540" width="6.73046875" bestFit="1" customWidth="1"/>
    <col min="541" max="541" width="5.73046875" bestFit="1" customWidth="1"/>
    <col min="542" max="546" width="6.73046875" bestFit="1" customWidth="1"/>
    <col min="547" max="547" width="5.73046875" bestFit="1" customWidth="1"/>
    <col min="548" max="549" width="6.73046875" bestFit="1" customWidth="1"/>
    <col min="550" max="550" width="5.73046875" bestFit="1" customWidth="1"/>
    <col min="551" max="557" width="6.73046875" bestFit="1" customWidth="1"/>
    <col min="558" max="558" width="5.73046875" bestFit="1" customWidth="1"/>
    <col min="559" max="562" width="6.73046875" bestFit="1" customWidth="1"/>
    <col min="563" max="563" width="5.73046875" bestFit="1" customWidth="1"/>
    <col min="564" max="564" width="6.73046875" bestFit="1" customWidth="1"/>
    <col min="565" max="565" width="3.73046875" bestFit="1" customWidth="1"/>
    <col min="566" max="571" width="6.73046875" bestFit="1" customWidth="1"/>
    <col min="572" max="572" width="5.73046875" bestFit="1" customWidth="1"/>
    <col min="573" max="573" width="6.73046875" bestFit="1" customWidth="1"/>
    <col min="574" max="574" width="5.73046875" bestFit="1" customWidth="1"/>
    <col min="575" max="576" width="6.73046875" bestFit="1" customWidth="1"/>
    <col min="577" max="577" width="5.73046875" bestFit="1" customWidth="1"/>
    <col min="578" max="579" width="6.73046875" bestFit="1" customWidth="1"/>
    <col min="580" max="580" width="3.73046875" bestFit="1" customWidth="1"/>
    <col min="581" max="581" width="6.73046875" bestFit="1" customWidth="1"/>
    <col min="582" max="583" width="5.73046875" bestFit="1" customWidth="1"/>
    <col min="584" max="597" width="6.73046875" bestFit="1" customWidth="1"/>
    <col min="598" max="600" width="5.73046875" bestFit="1" customWidth="1"/>
    <col min="601" max="616" width="6.73046875" bestFit="1" customWidth="1"/>
    <col min="617" max="617" width="5.73046875" bestFit="1" customWidth="1"/>
    <col min="618" max="622" width="6.73046875" bestFit="1" customWidth="1"/>
    <col min="623" max="625" width="5.73046875" bestFit="1" customWidth="1"/>
    <col min="626" max="626" width="6.73046875" bestFit="1" customWidth="1"/>
    <col min="627" max="627" width="3.73046875" bestFit="1" customWidth="1"/>
    <col min="628" max="630" width="6.73046875" bestFit="1" customWidth="1"/>
    <col min="631" max="631" width="3.73046875" bestFit="1" customWidth="1"/>
    <col min="632" max="632" width="5.73046875" bestFit="1" customWidth="1"/>
    <col min="633" max="635" width="7.73046875" bestFit="1" customWidth="1"/>
    <col min="636" max="636" width="6.73046875" bestFit="1" customWidth="1"/>
    <col min="637" max="649" width="7.73046875" bestFit="1" customWidth="1"/>
    <col min="650" max="650" width="6.73046875" bestFit="1" customWidth="1"/>
    <col min="651" max="651" width="7.73046875" bestFit="1" customWidth="1"/>
    <col min="652" max="652" width="4.73046875" bestFit="1" customWidth="1"/>
    <col min="653" max="653" width="7.73046875" bestFit="1" customWidth="1"/>
    <col min="654" max="654" width="6.73046875" bestFit="1" customWidth="1"/>
    <col min="655" max="658" width="7.73046875" bestFit="1" customWidth="1"/>
    <col min="659" max="660" width="6.73046875" bestFit="1" customWidth="1"/>
    <col min="661" max="666" width="7.73046875" bestFit="1" customWidth="1"/>
    <col min="667" max="667" width="6.73046875" bestFit="1" customWidth="1"/>
    <col min="668" max="668" width="4.73046875" bestFit="1" customWidth="1"/>
    <col min="669" max="669" width="6.73046875" bestFit="1" customWidth="1"/>
    <col min="670" max="671" width="7.73046875" bestFit="1" customWidth="1"/>
    <col min="672" max="672" width="6.73046875" bestFit="1" customWidth="1"/>
    <col min="673" max="680" width="7.73046875" bestFit="1" customWidth="1"/>
    <col min="681" max="681" width="6.73046875" bestFit="1" customWidth="1"/>
    <col min="682" max="690" width="7.73046875" bestFit="1" customWidth="1"/>
    <col min="691" max="692" width="6.73046875" bestFit="1" customWidth="1"/>
    <col min="693" max="701" width="7.73046875" bestFit="1" customWidth="1"/>
    <col min="702" max="702" width="6.73046875" bestFit="1" customWidth="1"/>
    <col min="703" max="717" width="7.73046875" bestFit="1" customWidth="1"/>
    <col min="718" max="718" width="6.73046875" bestFit="1" customWidth="1"/>
    <col min="719" max="719" width="7.73046875" bestFit="1" customWidth="1"/>
    <col min="720" max="720" width="6.73046875" bestFit="1" customWidth="1"/>
    <col min="721" max="727" width="7.73046875" bestFit="1" customWidth="1"/>
    <col min="728" max="730" width="6.73046875" bestFit="1" customWidth="1"/>
    <col min="731" max="733" width="7.73046875" bestFit="1" customWidth="1"/>
    <col min="734" max="734" width="6.73046875" bestFit="1" customWidth="1"/>
    <col min="735" max="735" width="7.73046875" bestFit="1" customWidth="1"/>
    <col min="736" max="736" width="4.73046875" bestFit="1" customWidth="1"/>
    <col min="737" max="737" width="7.73046875" bestFit="1" customWidth="1"/>
    <col min="738" max="739" width="6.73046875" bestFit="1" customWidth="1"/>
    <col min="740" max="745" width="7.73046875" bestFit="1" customWidth="1"/>
    <col min="746" max="746" width="6.73046875" bestFit="1" customWidth="1"/>
    <col min="747" max="748" width="7.73046875" bestFit="1" customWidth="1"/>
    <col min="749" max="749" width="4.73046875" bestFit="1" customWidth="1"/>
    <col min="750" max="754" width="7.73046875" bestFit="1" customWidth="1"/>
    <col min="755" max="755" width="6.73046875" bestFit="1" customWidth="1"/>
    <col min="756" max="758" width="7.73046875" bestFit="1" customWidth="1"/>
    <col min="759" max="763" width="6.73046875" bestFit="1" customWidth="1"/>
    <col min="764" max="768" width="7.73046875" bestFit="1" customWidth="1"/>
    <col min="769" max="770" width="6.73046875" bestFit="1" customWidth="1"/>
    <col min="771" max="775" width="7.73046875" bestFit="1" customWidth="1"/>
    <col min="776" max="776" width="6.73046875" bestFit="1" customWidth="1"/>
    <col min="777" max="777" width="7.73046875" bestFit="1" customWidth="1"/>
    <col min="778" max="778" width="6.73046875" bestFit="1" customWidth="1"/>
    <col min="779" max="780" width="7.73046875" bestFit="1" customWidth="1"/>
    <col min="781" max="782" width="6.73046875" bestFit="1" customWidth="1"/>
    <col min="783" max="790" width="7.73046875" bestFit="1" customWidth="1"/>
    <col min="791" max="791" width="4.73046875" bestFit="1" customWidth="1"/>
    <col min="792" max="794" width="7.73046875" bestFit="1" customWidth="1"/>
    <col min="795" max="795" width="6.73046875" bestFit="1" customWidth="1"/>
    <col min="796" max="799" width="7.73046875" bestFit="1" customWidth="1"/>
    <col min="800" max="800" width="4.73046875" bestFit="1" customWidth="1"/>
    <col min="801" max="803" width="7.73046875" bestFit="1" customWidth="1"/>
    <col min="804" max="805" width="6.73046875" bestFit="1" customWidth="1"/>
    <col min="806" max="808" width="7.73046875" bestFit="1" customWidth="1"/>
    <col min="809" max="809" width="6.73046875" bestFit="1" customWidth="1"/>
    <col min="810" max="814" width="7.73046875" bestFit="1" customWidth="1"/>
    <col min="815" max="815" width="6.73046875" bestFit="1" customWidth="1"/>
    <col min="816" max="819" width="7.73046875" bestFit="1" customWidth="1"/>
    <col min="820" max="820" width="6.73046875" bestFit="1" customWidth="1"/>
    <col min="821" max="826" width="7.73046875" bestFit="1" customWidth="1"/>
    <col min="827" max="827" width="6.73046875" bestFit="1" customWidth="1"/>
    <col min="828" max="828" width="7.73046875" bestFit="1" customWidth="1"/>
    <col min="829" max="829" width="6.73046875" bestFit="1" customWidth="1"/>
    <col min="830" max="832" width="7.73046875" bestFit="1" customWidth="1"/>
    <col min="833" max="833" width="6.73046875" bestFit="1" customWidth="1"/>
    <col min="834" max="836" width="7.73046875" bestFit="1" customWidth="1"/>
    <col min="837" max="837" width="6.73046875" bestFit="1" customWidth="1"/>
    <col min="838" max="850" width="7.73046875" bestFit="1" customWidth="1"/>
    <col min="851" max="851" width="6.73046875" bestFit="1" customWidth="1"/>
    <col min="852" max="857" width="7.73046875" bestFit="1" customWidth="1"/>
    <col min="858" max="858" width="6.73046875" bestFit="1" customWidth="1"/>
    <col min="859" max="864" width="7.73046875" bestFit="1" customWidth="1"/>
    <col min="865" max="865" width="4.73046875" bestFit="1" customWidth="1"/>
    <col min="866" max="878" width="7.73046875" bestFit="1" customWidth="1"/>
    <col min="879" max="879" width="4.73046875" bestFit="1" customWidth="1"/>
    <col min="880" max="883" width="7.73046875" bestFit="1" customWidth="1"/>
    <col min="884" max="885" width="6.73046875" bestFit="1" customWidth="1"/>
    <col min="886" max="888" width="7.73046875" bestFit="1" customWidth="1"/>
    <col min="889" max="889" width="6.73046875" bestFit="1" customWidth="1"/>
    <col min="890" max="896" width="7.73046875" bestFit="1" customWidth="1"/>
    <col min="897" max="897" width="6.73046875" bestFit="1" customWidth="1"/>
    <col min="898" max="899" width="7.73046875" bestFit="1" customWidth="1"/>
    <col min="900" max="900" width="6.73046875" bestFit="1" customWidth="1"/>
    <col min="901" max="904" width="7.73046875" bestFit="1" customWidth="1"/>
    <col min="905" max="905" width="6.73046875" bestFit="1" customWidth="1"/>
    <col min="906" max="906" width="7.73046875" bestFit="1" customWidth="1"/>
    <col min="907" max="907" width="6.73046875" bestFit="1" customWidth="1"/>
    <col min="908" max="909" width="7.73046875" bestFit="1" customWidth="1"/>
    <col min="910" max="910" width="6.73046875" bestFit="1" customWidth="1"/>
    <col min="911" max="918" width="7.73046875" bestFit="1" customWidth="1"/>
    <col min="919" max="919" width="6.73046875" bestFit="1" customWidth="1"/>
    <col min="920" max="923" width="7.73046875" bestFit="1" customWidth="1"/>
    <col min="924" max="925" width="6.73046875" bestFit="1" customWidth="1"/>
    <col min="926" max="931" width="7.73046875" bestFit="1" customWidth="1"/>
    <col min="932" max="932" width="6.73046875" bestFit="1" customWidth="1"/>
    <col min="933" max="936" width="7.73046875" bestFit="1" customWidth="1"/>
    <col min="937" max="937" width="6.73046875" bestFit="1" customWidth="1"/>
    <col min="938" max="944" width="7.73046875" bestFit="1" customWidth="1"/>
    <col min="945" max="946" width="6.73046875" bestFit="1" customWidth="1"/>
    <col min="947" max="951" width="7.73046875" bestFit="1" customWidth="1"/>
    <col min="952" max="952" width="6.73046875" bestFit="1" customWidth="1"/>
    <col min="953" max="962" width="7.73046875" bestFit="1" customWidth="1"/>
    <col min="963" max="963" width="6.73046875" bestFit="1" customWidth="1"/>
    <col min="964" max="974" width="7.73046875" bestFit="1" customWidth="1"/>
    <col min="975" max="975" width="6.73046875" bestFit="1" customWidth="1"/>
    <col min="976" max="980" width="7.73046875" bestFit="1" customWidth="1"/>
    <col min="981" max="981" width="6.73046875" bestFit="1" customWidth="1"/>
    <col min="982" max="982" width="7.73046875" bestFit="1" customWidth="1"/>
    <col min="983" max="983" width="6.73046875" bestFit="1" customWidth="1"/>
    <col min="984" max="987" width="7.73046875" bestFit="1" customWidth="1"/>
    <col min="988" max="988" width="6.73046875" bestFit="1" customWidth="1"/>
    <col min="989" max="994" width="7.73046875" bestFit="1" customWidth="1"/>
    <col min="995" max="995" width="6.73046875" bestFit="1" customWidth="1"/>
    <col min="996" max="996" width="7.73046875" bestFit="1" customWidth="1"/>
    <col min="997" max="998" width="6.73046875" bestFit="1" customWidth="1"/>
    <col min="999" max="1006" width="7.73046875" bestFit="1" customWidth="1"/>
    <col min="1007" max="1007" width="6.73046875" bestFit="1" customWidth="1"/>
    <col min="1008" max="1009" width="7.73046875" bestFit="1" customWidth="1"/>
    <col min="1010" max="1010" width="8.73046875" bestFit="1" customWidth="1"/>
    <col min="1011" max="1013" width="7.73046875" bestFit="1" customWidth="1"/>
    <col min="1014" max="1014" width="6.73046875" bestFit="1" customWidth="1"/>
    <col min="1015" max="1015" width="7.73046875" bestFit="1" customWidth="1"/>
    <col min="1016" max="1016" width="6.73046875" bestFit="1" customWidth="1"/>
    <col min="1017" max="1019" width="7.73046875" bestFit="1" customWidth="1"/>
    <col min="1020" max="1020" width="6.73046875" bestFit="1" customWidth="1"/>
    <col min="1021" max="1021" width="7.73046875" bestFit="1" customWidth="1"/>
    <col min="1022" max="1022" width="4.73046875" bestFit="1" customWidth="1"/>
    <col min="1023" max="1037" width="7.73046875" bestFit="1" customWidth="1"/>
    <col min="1038" max="1038" width="6.73046875" bestFit="1" customWidth="1"/>
    <col min="1039" max="1046" width="7.73046875" bestFit="1" customWidth="1"/>
    <col min="1047" max="1048" width="6.73046875" bestFit="1" customWidth="1"/>
    <col min="1049" max="1056" width="7.73046875" bestFit="1" customWidth="1"/>
    <col min="1057" max="1058" width="6.73046875" bestFit="1" customWidth="1"/>
    <col min="1059" max="1063" width="7.73046875" bestFit="1" customWidth="1"/>
    <col min="1064" max="1064" width="6.73046875" bestFit="1" customWidth="1"/>
    <col min="1065" max="1076" width="7.73046875" bestFit="1" customWidth="1"/>
    <col min="1077" max="1079" width="6.73046875" bestFit="1" customWidth="1"/>
    <col min="1080" max="1082" width="7.73046875" bestFit="1" customWidth="1"/>
    <col min="1083" max="1083" width="6.73046875" bestFit="1" customWidth="1"/>
    <col min="1084" max="1092" width="7.73046875" bestFit="1" customWidth="1"/>
    <col min="1093" max="1093" width="6.73046875" bestFit="1" customWidth="1"/>
    <col min="1094" max="1095" width="7.73046875" bestFit="1" customWidth="1"/>
    <col min="1096" max="1097" width="6.73046875" bestFit="1" customWidth="1"/>
    <col min="1098" max="1099" width="7.73046875" bestFit="1" customWidth="1"/>
    <col min="1100" max="1100" width="6.73046875" bestFit="1" customWidth="1"/>
    <col min="1101" max="1105" width="7.73046875" bestFit="1" customWidth="1"/>
    <col min="1106" max="1106" width="6.73046875" bestFit="1" customWidth="1"/>
    <col min="1107" max="1108" width="7.73046875" bestFit="1" customWidth="1"/>
    <col min="1109" max="1109" width="4.73046875" bestFit="1" customWidth="1"/>
    <col min="1110" max="1116" width="7.73046875" bestFit="1" customWidth="1"/>
    <col min="1117" max="1117" width="6.73046875" bestFit="1" customWidth="1"/>
    <col min="1118" max="1125" width="7.73046875" bestFit="1" customWidth="1"/>
    <col min="1126" max="1126" width="6.73046875" bestFit="1" customWidth="1"/>
    <col min="1127" max="1133" width="7.73046875" bestFit="1" customWidth="1"/>
    <col min="1134" max="1134" width="6.73046875" bestFit="1" customWidth="1"/>
    <col min="1135" max="1135" width="7.73046875" bestFit="1" customWidth="1"/>
    <col min="1136" max="1136" width="6.73046875" bestFit="1" customWidth="1"/>
    <col min="1137" max="1145" width="8.73046875" bestFit="1" customWidth="1"/>
    <col min="1146" max="1146" width="7.73046875" bestFit="1" customWidth="1"/>
    <col min="1147" max="1149" width="8.73046875" bestFit="1" customWidth="1"/>
    <col min="1150" max="1150" width="7.73046875" bestFit="1" customWidth="1"/>
    <col min="1151" max="1151" width="8.73046875" bestFit="1" customWidth="1"/>
    <col min="1152" max="1152" width="5.73046875" bestFit="1" customWidth="1"/>
    <col min="1153" max="1154" width="8.73046875" bestFit="1" customWidth="1"/>
    <col min="1155" max="1155" width="7.73046875" bestFit="1" customWidth="1"/>
    <col min="1156" max="1160" width="8.73046875" bestFit="1" customWidth="1"/>
    <col min="1161" max="1161" width="7.73046875" bestFit="1" customWidth="1"/>
    <col min="1162" max="1163" width="8.73046875" bestFit="1" customWidth="1"/>
    <col min="1164" max="1164" width="7.73046875" bestFit="1" customWidth="1"/>
    <col min="1165" max="1173" width="8.73046875" bestFit="1" customWidth="1"/>
    <col min="1174" max="1174" width="7.73046875" bestFit="1" customWidth="1"/>
    <col min="1175" max="1175" width="8.73046875" bestFit="1" customWidth="1"/>
    <col min="1176" max="1176" width="7.73046875" bestFit="1" customWidth="1"/>
    <col min="1177" max="1180" width="8.73046875" bestFit="1" customWidth="1"/>
    <col min="1181" max="1182" width="7.73046875" bestFit="1" customWidth="1"/>
    <col min="1183" max="1184" width="8.73046875" bestFit="1" customWidth="1"/>
    <col min="1185" max="1186" width="7.73046875" bestFit="1" customWidth="1"/>
    <col min="1187" max="1189" width="8.73046875" bestFit="1" customWidth="1"/>
    <col min="1190" max="1190" width="7.73046875" bestFit="1" customWidth="1"/>
    <col min="1191" max="1192" width="8.73046875" bestFit="1" customWidth="1"/>
    <col min="1193" max="1193" width="7.73046875" bestFit="1" customWidth="1"/>
    <col min="1194" max="1197" width="8.73046875" bestFit="1" customWidth="1"/>
    <col min="1198" max="1200" width="7.73046875" bestFit="1" customWidth="1"/>
    <col min="1201" max="1203" width="8.73046875" bestFit="1" customWidth="1"/>
    <col min="1204" max="1204" width="7.73046875" bestFit="1" customWidth="1"/>
    <col min="1205" max="1206" width="8.73046875" bestFit="1" customWidth="1"/>
    <col min="1207" max="1207" width="7.73046875" bestFit="1" customWidth="1"/>
    <col min="1208" max="1215" width="8.73046875" bestFit="1" customWidth="1"/>
    <col min="1216" max="1216" width="5.73046875" bestFit="1" customWidth="1"/>
    <col min="1217" max="1218" width="8.73046875" bestFit="1" customWidth="1"/>
    <col min="1219" max="1219" width="7.73046875" bestFit="1" customWidth="1"/>
    <col min="1220" max="1225" width="8.73046875" bestFit="1" customWidth="1"/>
    <col min="1226" max="1226" width="7.73046875" bestFit="1" customWidth="1"/>
    <col min="1227" max="1231" width="8.73046875" bestFit="1" customWidth="1"/>
    <col min="1232" max="1232" width="7.73046875" bestFit="1" customWidth="1"/>
    <col min="1233" max="1233" width="8.73046875" bestFit="1" customWidth="1"/>
    <col min="1234" max="1234" width="7.73046875" bestFit="1" customWidth="1"/>
    <col min="1235" max="1241" width="8.73046875" bestFit="1" customWidth="1"/>
    <col min="1242" max="1242" width="5.73046875" bestFit="1" customWidth="1"/>
    <col min="1243" max="1244" width="8.73046875" bestFit="1" customWidth="1"/>
    <col min="1245" max="1245" width="7.73046875" bestFit="1" customWidth="1"/>
    <col min="1246" max="1250" width="8.73046875" bestFit="1" customWidth="1"/>
    <col min="1251" max="1251" width="7.73046875" bestFit="1" customWidth="1"/>
    <col min="1252" max="1256" width="8.73046875" bestFit="1" customWidth="1"/>
    <col min="1257" max="1257" width="7.73046875" bestFit="1" customWidth="1"/>
    <col min="1258" max="1261" width="8.73046875" bestFit="1" customWidth="1"/>
    <col min="1262" max="1262" width="7.73046875" bestFit="1" customWidth="1"/>
    <col min="1263" max="1268" width="8.73046875" bestFit="1" customWidth="1"/>
    <col min="1269" max="1270" width="7.73046875" bestFit="1" customWidth="1"/>
    <col min="1271" max="1271" width="8.73046875" bestFit="1" customWidth="1"/>
    <col min="1272" max="1272" width="7.73046875" bestFit="1" customWidth="1"/>
    <col min="1273" max="1273" width="8.73046875" bestFit="1" customWidth="1"/>
    <col min="1274" max="1274" width="7.73046875" bestFit="1" customWidth="1"/>
    <col min="1275" max="1278" width="8.73046875" bestFit="1" customWidth="1"/>
    <col min="1279" max="1279" width="7.73046875" bestFit="1" customWidth="1"/>
    <col min="1280" max="1280" width="8.73046875" bestFit="1" customWidth="1"/>
    <col min="1281" max="1281" width="7.73046875" bestFit="1" customWidth="1"/>
    <col min="1282" max="1284" width="8.73046875" bestFit="1" customWidth="1"/>
    <col min="1285" max="1285" width="7.73046875" bestFit="1" customWidth="1"/>
    <col min="1286" max="1289" width="8.73046875" bestFit="1" customWidth="1"/>
    <col min="1290" max="1290" width="7.73046875" bestFit="1" customWidth="1"/>
    <col min="1291" max="1293" width="8.73046875" bestFit="1" customWidth="1"/>
    <col min="1294" max="1294" width="7.73046875" bestFit="1" customWidth="1"/>
    <col min="1295" max="1297" width="8.73046875" bestFit="1" customWidth="1"/>
    <col min="1298" max="1298" width="7.73046875" bestFit="1" customWidth="1"/>
    <col min="1299" max="1300" width="8.73046875" bestFit="1" customWidth="1"/>
    <col min="1301" max="1303" width="7.73046875" bestFit="1" customWidth="1"/>
    <col min="1304" max="1318" width="8.73046875" bestFit="1" customWidth="1"/>
    <col min="1319" max="1319" width="5.73046875" bestFit="1" customWidth="1"/>
    <col min="1320" max="1322" width="8.73046875" bestFit="1" customWidth="1"/>
    <col min="1323" max="1323" width="7.73046875" bestFit="1" customWidth="1"/>
    <col min="1324" max="1324" width="8.73046875" bestFit="1" customWidth="1"/>
    <col min="1325" max="1325" width="7.73046875" bestFit="1" customWidth="1"/>
    <col min="1326" max="1333" width="8.73046875" bestFit="1" customWidth="1"/>
    <col min="1334" max="1334" width="7.73046875" bestFit="1" customWidth="1"/>
    <col min="1335" max="1340" width="8.73046875" bestFit="1" customWidth="1"/>
    <col min="1341" max="1341" width="5.73046875" bestFit="1" customWidth="1"/>
    <col min="1342" max="1346" width="8.73046875" bestFit="1" customWidth="1"/>
    <col min="1347" max="1347" width="7.73046875" bestFit="1" customWidth="1"/>
    <col min="1348" max="1348" width="8.73046875" bestFit="1" customWidth="1"/>
    <col min="1349" max="1349" width="7.73046875" bestFit="1" customWidth="1"/>
    <col min="1350" max="1350" width="8.73046875" bestFit="1" customWidth="1"/>
    <col min="1351" max="1351" width="7.73046875" bestFit="1" customWidth="1"/>
    <col min="1352" max="1362" width="8.73046875" bestFit="1" customWidth="1"/>
    <col min="1363" max="1364" width="7.73046875" bestFit="1" customWidth="1"/>
    <col min="1365" max="1365" width="8.73046875" bestFit="1" customWidth="1"/>
    <col min="1366" max="1366" width="7.73046875" bestFit="1" customWidth="1"/>
    <col min="1367" max="1374" width="8.73046875" bestFit="1" customWidth="1"/>
    <col min="1375" max="1375" width="7.73046875" bestFit="1" customWidth="1"/>
    <col min="1376" max="1376" width="8.73046875" bestFit="1" customWidth="1"/>
    <col min="1377" max="1377" width="5.73046875" bestFit="1" customWidth="1"/>
    <col min="1378" max="1380" width="8.73046875" bestFit="1" customWidth="1"/>
    <col min="1381" max="1381" width="5.73046875" bestFit="1" customWidth="1"/>
    <col min="1382" max="1382" width="8.73046875" bestFit="1" customWidth="1"/>
    <col min="1383" max="1384" width="7.73046875" bestFit="1" customWidth="1"/>
    <col min="1385" max="1391" width="8.73046875" bestFit="1" customWidth="1"/>
    <col min="1392" max="1392" width="7.73046875" bestFit="1" customWidth="1"/>
    <col min="1393" max="1398" width="8.73046875" bestFit="1" customWidth="1"/>
    <col min="1399" max="1399" width="5.73046875" bestFit="1" customWidth="1"/>
    <col min="1400" max="1401" width="8.73046875" bestFit="1" customWidth="1"/>
    <col min="1402" max="1402" width="7.73046875" bestFit="1" customWidth="1"/>
    <col min="1403" max="1407" width="8.73046875" bestFit="1" customWidth="1"/>
    <col min="1408" max="1409" width="7.73046875" bestFit="1" customWidth="1"/>
    <col min="1410" max="1413" width="8.73046875" bestFit="1" customWidth="1"/>
    <col min="1414" max="1414" width="7.73046875" bestFit="1" customWidth="1"/>
    <col min="1415" max="1415" width="8.73046875" bestFit="1" customWidth="1"/>
    <col min="1416" max="1416" width="7.73046875" bestFit="1" customWidth="1"/>
    <col min="1417" max="1417" width="8.73046875" bestFit="1" customWidth="1"/>
    <col min="1418" max="1418" width="5.73046875" bestFit="1" customWidth="1"/>
    <col min="1419" max="1422" width="8.73046875" bestFit="1" customWidth="1"/>
    <col min="1423" max="1423" width="7.73046875" bestFit="1" customWidth="1"/>
    <col min="1424" max="1426" width="8.73046875" bestFit="1" customWidth="1"/>
    <col min="1427" max="1427" width="7.73046875" bestFit="1" customWidth="1"/>
    <col min="1428" max="1428" width="5.73046875" bestFit="1" customWidth="1"/>
    <col min="1429" max="1436" width="8.73046875" bestFit="1" customWidth="1"/>
    <col min="1437" max="1438" width="7.73046875" bestFit="1" customWidth="1"/>
    <col min="1439" max="1439" width="8.73046875" bestFit="1" customWidth="1"/>
    <col min="1440" max="1441" width="7.73046875" bestFit="1" customWidth="1"/>
    <col min="1442" max="1442" width="8.73046875" bestFit="1" customWidth="1"/>
    <col min="1443" max="1443" width="7.73046875" bestFit="1" customWidth="1"/>
    <col min="1444" max="1452" width="8.73046875" bestFit="1" customWidth="1"/>
    <col min="1453" max="1453" width="7.73046875" bestFit="1" customWidth="1"/>
    <col min="1454" max="1455" width="8.73046875" bestFit="1" customWidth="1"/>
    <col min="1456" max="1456" width="7.73046875" bestFit="1" customWidth="1"/>
    <col min="1457" max="1460" width="8.73046875" bestFit="1" customWidth="1"/>
    <col min="1461" max="1461" width="7.73046875" bestFit="1" customWidth="1"/>
    <col min="1462" max="1463" width="8.73046875" bestFit="1" customWidth="1"/>
    <col min="1464" max="1464" width="7.73046875" bestFit="1" customWidth="1"/>
    <col min="1465" max="1469" width="8.73046875" bestFit="1" customWidth="1"/>
    <col min="1470" max="1470" width="5.73046875" bestFit="1" customWidth="1"/>
    <col min="1471" max="1471" width="8.73046875" bestFit="1" customWidth="1"/>
    <col min="1472" max="1472" width="5.73046875" bestFit="1" customWidth="1"/>
    <col min="1473" max="1473" width="8.73046875" bestFit="1" customWidth="1"/>
    <col min="1474" max="1474" width="7.73046875" bestFit="1" customWidth="1"/>
    <col min="1475" max="1475" width="8.73046875" bestFit="1" customWidth="1"/>
    <col min="1476" max="1476" width="7.73046875" bestFit="1" customWidth="1"/>
    <col min="1477" max="1482" width="8.73046875" bestFit="1" customWidth="1"/>
    <col min="1483" max="1483" width="7.73046875" bestFit="1" customWidth="1"/>
    <col min="1484" max="1485" width="8.73046875" bestFit="1" customWidth="1"/>
    <col min="1486" max="1486" width="7.73046875" bestFit="1" customWidth="1"/>
    <col min="1487" max="1488" width="8.73046875" bestFit="1" customWidth="1"/>
    <col min="1489" max="1490" width="7.73046875" bestFit="1" customWidth="1"/>
    <col min="1491" max="1496" width="8.73046875" bestFit="1" customWidth="1"/>
    <col min="1497" max="1497" width="7.73046875" bestFit="1" customWidth="1"/>
    <col min="1498" max="1498" width="8.73046875" bestFit="1" customWidth="1"/>
    <col min="1499" max="1499" width="7.73046875" bestFit="1" customWidth="1"/>
    <col min="1500" max="1500" width="5.73046875" bestFit="1" customWidth="1"/>
    <col min="1501" max="1506" width="8.73046875" bestFit="1" customWidth="1"/>
    <col min="1507" max="1507" width="7.73046875" bestFit="1" customWidth="1"/>
    <col min="1508" max="1508" width="8.73046875" bestFit="1" customWidth="1"/>
    <col min="1509" max="1509" width="7.73046875" bestFit="1" customWidth="1"/>
    <col min="1510" max="1514" width="8.73046875" bestFit="1" customWidth="1"/>
    <col min="1515" max="1515" width="7.73046875" bestFit="1" customWidth="1"/>
    <col min="1516" max="1516" width="5.73046875" bestFit="1" customWidth="1"/>
    <col min="1517" max="1520" width="8.73046875" bestFit="1" customWidth="1"/>
    <col min="1521" max="1521" width="7.73046875" bestFit="1" customWidth="1"/>
    <col min="1522" max="1522" width="8.73046875" bestFit="1" customWidth="1"/>
    <col min="1523" max="1523" width="7.73046875" bestFit="1" customWidth="1"/>
    <col min="1524" max="1527" width="8.73046875" bestFit="1" customWidth="1"/>
    <col min="1528" max="1528" width="7.73046875" bestFit="1" customWidth="1"/>
    <col min="1529" max="1530" width="8.73046875" bestFit="1" customWidth="1"/>
    <col min="1531" max="1532" width="7.73046875" bestFit="1" customWidth="1"/>
    <col min="1533" max="1533" width="8.73046875" bestFit="1" customWidth="1"/>
    <col min="1534" max="1534" width="7.73046875" bestFit="1" customWidth="1"/>
    <col min="1535" max="1537" width="8.73046875" bestFit="1" customWidth="1"/>
    <col min="1538" max="1538" width="5.73046875" bestFit="1" customWidth="1"/>
    <col min="1539" max="1543" width="8.73046875" bestFit="1" customWidth="1"/>
    <col min="1544" max="1544" width="7.73046875" bestFit="1" customWidth="1"/>
    <col min="1545" max="1549" width="8.73046875" bestFit="1" customWidth="1"/>
    <col min="1550" max="1550" width="7.73046875" bestFit="1" customWidth="1"/>
    <col min="1551" max="1551" width="8.73046875" bestFit="1" customWidth="1"/>
    <col min="1552" max="1553" width="7.73046875" bestFit="1" customWidth="1"/>
    <col min="1554" max="1554" width="8.73046875" bestFit="1" customWidth="1"/>
    <col min="1555" max="1555" width="7.73046875" bestFit="1" customWidth="1"/>
    <col min="1556" max="1557" width="8.73046875" bestFit="1" customWidth="1"/>
    <col min="1558" max="1559" width="7.73046875" bestFit="1" customWidth="1"/>
    <col min="1560" max="1560" width="8.73046875" bestFit="1" customWidth="1"/>
    <col min="1561" max="1561" width="7.73046875" bestFit="1" customWidth="1"/>
    <col min="1562" max="1562" width="8.73046875" bestFit="1" customWidth="1"/>
    <col min="1563" max="1563" width="7.73046875" bestFit="1" customWidth="1"/>
    <col min="1564" max="1567" width="8.73046875" bestFit="1" customWidth="1"/>
    <col min="1568" max="1569" width="7.73046875" bestFit="1" customWidth="1"/>
    <col min="1570" max="1572" width="8.73046875" bestFit="1" customWidth="1"/>
    <col min="1573" max="1573" width="7.73046875" bestFit="1" customWidth="1"/>
    <col min="1574" max="1581" width="8.73046875" bestFit="1" customWidth="1"/>
    <col min="1582" max="1582" width="5.73046875" bestFit="1" customWidth="1"/>
    <col min="1583" max="1583" width="8.73046875" bestFit="1" customWidth="1"/>
    <col min="1584" max="1584" width="7.73046875" bestFit="1" customWidth="1"/>
    <col min="1585" max="1598" width="8.73046875" bestFit="1" customWidth="1"/>
    <col min="1599" max="1599" width="5.73046875" bestFit="1" customWidth="1"/>
    <col min="1600" max="1600" width="7.73046875" bestFit="1" customWidth="1"/>
    <col min="1601" max="1610" width="8.73046875" bestFit="1" customWidth="1"/>
    <col min="1611" max="1611" width="5.73046875" bestFit="1" customWidth="1"/>
    <col min="1612" max="1612" width="8.73046875" bestFit="1" customWidth="1"/>
    <col min="1613" max="1613" width="5.73046875" bestFit="1" customWidth="1"/>
    <col min="1614" max="1615" width="8.73046875" bestFit="1" customWidth="1"/>
    <col min="1616" max="1617" width="7.73046875" bestFit="1" customWidth="1"/>
    <col min="1618" max="1627" width="8.73046875" bestFit="1" customWidth="1"/>
    <col min="1628" max="1628" width="7.73046875" bestFit="1" customWidth="1"/>
    <col min="1629" max="1634" width="8.73046875" bestFit="1" customWidth="1"/>
    <col min="1635" max="1635" width="7.73046875" bestFit="1" customWidth="1"/>
    <col min="1636" max="1638" width="8.73046875" bestFit="1" customWidth="1"/>
    <col min="1639" max="1639" width="7.73046875" bestFit="1" customWidth="1"/>
    <col min="1640" max="1640" width="8.73046875" bestFit="1" customWidth="1"/>
    <col min="1641" max="1641" width="7.73046875" bestFit="1" customWidth="1"/>
    <col min="1642" max="1642" width="8.73046875" bestFit="1" customWidth="1"/>
    <col min="1643" max="1643" width="7.73046875" bestFit="1" customWidth="1"/>
    <col min="1644" max="1647" width="8.73046875" bestFit="1" customWidth="1"/>
    <col min="1648" max="1648" width="7.73046875" bestFit="1" customWidth="1"/>
    <col min="1649" max="1652" width="8.73046875" bestFit="1" customWidth="1"/>
    <col min="1653" max="1653" width="7.73046875" bestFit="1" customWidth="1"/>
    <col min="1654" max="1676" width="8.73046875" bestFit="1" customWidth="1"/>
    <col min="1677" max="1678" width="7.73046875" bestFit="1" customWidth="1"/>
    <col min="1679" max="1679" width="8.73046875" bestFit="1" customWidth="1"/>
    <col min="1680" max="1680" width="7.73046875" bestFit="1" customWidth="1"/>
    <col min="1681" max="1683" width="8.73046875" bestFit="1" customWidth="1"/>
    <col min="1684" max="1684" width="7.73046875" bestFit="1" customWidth="1"/>
    <col min="1685" max="1685" width="8.73046875" bestFit="1" customWidth="1"/>
    <col min="1686" max="1686" width="7.73046875" bestFit="1" customWidth="1"/>
    <col min="1687" max="1689" width="8.73046875" bestFit="1" customWidth="1"/>
    <col min="1690" max="1690" width="7.73046875" bestFit="1" customWidth="1"/>
    <col min="1691" max="1691" width="8.73046875" bestFit="1" customWidth="1"/>
    <col min="1692" max="1694" width="7.73046875" bestFit="1" customWidth="1"/>
    <col min="1695" max="1695" width="8.73046875" bestFit="1" customWidth="1"/>
    <col min="1696" max="1697" width="7.73046875" bestFit="1" customWidth="1"/>
    <col min="1698" max="1698" width="8.73046875" bestFit="1" customWidth="1"/>
    <col min="1699" max="1699" width="7.73046875" bestFit="1" customWidth="1"/>
    <col min="1700" max="1700" width="5.73046875" bestFit="1" customWidth="1"/>
    <col min="1701" max="1701" width="8.73046875" bestFit="1" customWidth="1"/>
    <col min="1702" max="1702" width="7.73046875" bestFit="1" customWidth="1"/>
    <col min="1703" max="1708" width="8.73046875" bestFit="1" customWidth="1"/>
    <col min="1709" max="1709" width="7.73046875" bestFit="1" customWidth="1"/>
    <col min="1710" max="1715" width="8.73046875" bestFit="1" customWidth="1"/>
    <col min="1716" max="1716" width="7.73046875" bestFit="1" customWidth="1"/>
    <col min="1717" max="1717" width="8.73046875" bestFit="1" customWidth="1"/>
    <col min="1718" max="1719" width="7.73046875" bestFit="1" customWidth="1"/>
    <col min="1720" max="1723" width="8.73046875" bestFit="1" customWidth="1"/>
    <col min="1724" max="1724" width="5.73046875" bestFit="1" customWidth="1"/>
    <col min="1725" max="1733" width="8.73046875" bestFit="1" customWidth="1"/>
    <col min="1734" max="1734" width="5.73046875" bestFit="1" customWidth="1"/>
    <col min="1735" max="1747" width="8.73046875" bestFit="1" customWidth="1"/>
    <col min="1748" max="1748" width="7.73046875" bestFit="1" customWidth="1"/>
    <col min="1749" max="1749" width="8.73046875" bestFit="1" customWidth="1"/>
    <col min="1750" max="1750" width="7.73046875" bestFit="1" customWidth="1"/>
    <col min="1751" max="1754" width="8.73046875" bestFit="1" customWidth="1"/>
    <col min="1755" max="1755" width="7.73046875" bestFit="1" customWidth="1"/>
    <col min="1756" max="1756" width="8.73046875" bestFit="1" customWidth="1"/>
    <col min="1757" max="1758" width="7.73046875" bestFit="1" customWidth="1"/>
    <col min="1759" max="1760" width="8.73046875" bestFit="1" customWidth="1"/>
    <col min="1761" max="1761" width="5.73046875" bestFit="1" customWidth="1"/>
    <col min="1762" max="1763" width="8.73046875" bestFit="1" customWidth="1"/>
    <col min="1764" max="1764" width="5.73046875" bestFit="1" customWidth="1"/>
    <col min="1765" max="1767" width="8.73046875" bestFit="1" customWidth="1"/>
    <col min="1768" max="1769" width="7.73046875" bestFit="1" customWidth="1"/>
    <col min="1770" max="1770" width="8.73046875" bestFit="1" customWidth="1"/>
    <col min="1771" max="1772" width="7.73046875" bestFit="1" customWidth="1"/>
    <col min="1773" max="1774" width="8.73046875" bestFit="1" customWidth="1"/>
    <col min="1775" max="1775" width="7.73046875" bestFit="1" customWidth="1"/>
    <col min="1776" max="1776" width="8.73046875" bestFit="1" customWidth="1"/>
    <col min="1777" max="1777" width="7.73046875" bestFit="1" customWidth="1"/>
    <col min="1778" max="1778" width="8.73046875" bestFit="1" customWidth="1"/>
    <col min="1779" max="1779" width="7.73046875" bestFit="1" customWidth="1"/>
    <col min="1780" max="1780" width="8.73046875" bestFit="1" customWidth="1"/>
    <col min="1781" max="1781" width="5.73046875" bestFit="1" customWidth="1"/>
    <col min="1782" max="1783" width="7.73046875" bestFit="1" customWidth="1"/>
    <col min="1784" max="1786" width="8.73046875" bestFit="1" customWidth="1"/>
    <col min="1787" max="1787" width="7.73046875" bestFit="1" customWidth="1"/>
    <col min="1788" max="1789" width="8.73046875" bestFit="1" customWidth="1"/>
    <col min="1790" max="1790" width="5.73046875" bestFit="1" customWidth="1"/>
    <col min="1791" max="1792" width="8.73046875" bestFit="1" customWidth="1"/>
    <col min="1793" max="1794" width="7.73046875" bestFit="1" customWidth="1"/>
    <col min="1795" max="1800" width="8.73046875" bestFit="1" customWidth="1"/>
    <col min="1801" max="1801" width="7.73046875" bestFit="1" customWidth="1"/>
    <col min="1802" max="1802" width="5.73046875" bestFit="1" customWidth="1"/>
    <col min="1803" max="1803" width="7.73046875" bestFit="1" customWidth="1"/>
    <col min="1804" max="1806" width="8.73046875" bestFit="1" customWidth="1"/>
    <col min="1807" max="1807" width="5.73046875" bestFit="1" customWidth="1"/>
    <col min="1808" max="1808" width="8.73046875" bestFit="1" customWidth="1"/>
    <col min="1809" max="1809" width="5.73046875" bestFit="1" customWidth="1"/>
    <col min="1810" max="1810" width="8.73046875" bestFit="1" customWidth="1"/>
    <col min="1811" max="1811" width="7.73046875" bestFit="1" customWidth="1"/>
    <col min="1812" max="1813" width="8.73046875" bestFit="1" customWidth="1"/>
    <col min="1814" max="1814" width="5.73046875" bestFit="1" customWidth="1"/>
    <col min="1815" max="1815" width="7.73046875" bestFit="1" customWidth="1"/>
    <col min="1816" max="1818" width="8.73046875" bestFit="1" customWidth="1"/>
    <col min="1819" max="1820" width="7.73046875" bestFit="1" customWidth="1"/>
    <col min="1821" max="1821" width="8.73046875" bestFit="1" customWidth="1"/>
    <col min="1822" max="1823" width="7.73046875" bestFit="1" customWidth="1"/>
    <col min="1824" max="1826" width="8.73046875" bestFit="1" customWidth="1"/>
    <col min="1827" max="1827" width="7.73046875" bestFit="1" customWidth="1"/>
    <col min="1828" max="1828" width="8.73046875" bestFit="1" customWidth="1"/>
    <col min="1829" max="1829" width="7.73046875" bestFit="1" customWidth="1"/>
    <col min="1830" max="1833" width="8.73046875" bestFit="1" customWidth="1"/>
    <col min="1834" max="1834" width="7.73046875" bestFit="1" customWidth="1"/>
    <col min="1835" max="1842" width="8.73046875" bestFit="1" customWidth="1"/>
    <col min="1843" max="1843" width="7.73046875" bestFit="1" customWidth="1"/>
    <col min="1844" max="1847" width="8.73046875" bestFit="1" customWidth="1"/>
    <col min="1848" max="1848" width="5.73046875" bestFit="1" customWidth="1"/>
    <col min="1849" max="1852" width="8.73046875" bestFit="1" customWidth="1"/>
    <col min="1853" max="1855" width="7.73046875" bestFit="1" customWidth="1"/>
    <col min="1856" max="1856" width="5.73046875" bestFit="1" customWidth="1"/>
    <col min="1857" max="1868" width="8.73046875" bestFit="1" customWidth="1"/>
    <col min="1869" max="1869" width="7.73046875" bestFit="1" customWidth="1"/>
    <col min="1870" max="1876" width="8.73046875" bestFit="1" customWidth="1"/>
    <col min="1877" max="1878" width="7.73046875" bestFit="1" customWidth="1"/>
    <col min="1879" max="1879" width="5.73046875" bestFit="1" customWidth="1"/>
    <col min="1880" max="1880" width="8.73046875" bestFit="1" customWidth="1"/>
    <col min="1881" max="1890" width="9.73046875" bestFit="1" customWidth="1"/>
    <col min="1891" max="1891" width="8.73046875" bestFit="1" customWidth="1"/>
    <col min="1892" max="1892" width="9.73046875" bestFit="1" customWidth="1"/>
    <col min="1893" max="1893" width="8.73046875" bestFit="1" customWidth="1"/>
    <col min="1894" max="1894" width="9.73046875" bestFit="1" customWidth="1"/>
    <col min="1895" max="1895" width="8.73046875" bestFit="1" customWidth="1"/>
    <col min="1896" max="1897" width="9.73046875" bestFit="1" customWidth="1"/>
    <col min="1898" max="1898" width="8.73046875" bestFit="1" customWidth="1"/>
    <col min="1899" max="1899" width="9.73046875" bestFit="1" customWidth="1"/>
    <col min="1900" max="1900" width="8.73046875" bestFit="1" customWidth="1"/>
    <col min="1901" max="1901" width="9.73046875" bestFit="1" customWidth="1"/>
    <col min="1902" max="1902" width="8.73046875" bestFit="1" customWidth="1"/>
    <col min="1903" max="1906" width="9.73046875" bestFit="1" customWidth="1"/>
    <col min="1907" max="1908" width="8.73046875" bestFit="1" customWidth="1"/>
    <col min="1909" max="1909" width="9.73046875" bestFit="1" customWidth="1"/>
    <col min="1910" max="1910" width="8.73046875" bestFit="1" customWidth="1"/>
    <col min="1911" max="1914" width="9.73046875" bestFit="1" customWidth="1"/>
    <col min="1915" max="1915" width="8.73046875" bestFit="1" customWidth="1"/>
    <col min="1916" max="1918" width="9.73046875" bestFit="1" customWidth="1"/>
    <col min="1919" max="1919" width="8.73046875" bestFit="1" customWidth="1"/>
    <col min="1920" max="1920" width="6.73046875" bestFit="1" customWidth="1"/>
    <col min="1921" max="1921" width="9.73046875" bestFit="1" customWidth="1"/>
    <col min="1922" max="1922" width="6.73046875" bestFit="1" customWidth="1"/>
    <col min="1923" max="1923" width="8.73046875" bestFit="1" customWidth="1"/>
    <col min="1924" max="1930" width="9.73046875" bestFit="1" customWidth="1"/>
    <col min="1931" max="1931" width="8.73046875" bestFit="1" customWidth="1"/>
    <col min="1932" max="1932" width="9.73046875" bestFit="1" customWidth="1"/>
    <col min="1933" max="1933" width="8.73046875" bestFit="1" customWidth="1"/>
    <col min="1934" max="1934" width="9.73046875" bestFit="1" customWidth="1"/>
    <col min="1935" max="1935" width="8.73046875" bestFit="1" customWidth="1"/>
    <col min="1936" max="1938" width="9.73046875" bestFit="1" customWidth="1"/>
    <col min="1939" max="1939" width="8.73046875" bestFit="1" customWidth="1"/>
    <col min="1940" max="1940" width="9.73046875" bestFit="1" customWidth="1"/>
    <col min="1941" max="1942" width="8.73046875" bestFit="1" customWidth="1"/>
    <col min="1943" max="1944" width="9.73046875" bestFit="1" customWidth="1"/>
    <col min="1945" max="1945" width="11.73046875" bestFit="1" customWidth="1"/>
  </cols>
  <sheetData>
    <row r="2" spans="1:22" x14ac:dyDescent="0.45">
      <c r="J2" s="19" t="s">
        <v>1489</v>
      </c>
      <c r="K2" t="s">
        <v>1466</v>
      </c>
      <c r="P2" s="19" t="s">
        <v>1488</v>
      </c>
      <c r="Q2" s="19" t="s">
        <v>1467</v>
      </c>
    </row>
    <row r="3" spans="1:22" x14ac:dyDescent="0.45">
      <c r="A3" t="s">
        <v>1463</v>
      </c>
      <c r="C3" s="19" t="s">
        <v>1473</v>
      </c>
      <c r="D3" t="s">
        <v>1492</v>
      </c>
      <c r="E3" t="s">
        <v>1466</v>
      </c>
      <c r="J3" s="20" t="s">
        <v>1468</v>
      </c>
      <c r="K3" s="16">
        <v>14005.790000000003</v>
      </c>
      <c r="P3" s="19" t="s">
        <v>1464</v>
      </c>
      <c r="Q3" t="s">
        <v>1468</v>
      </c>
      <c r="R3" t="s">
        <v>1469</v>
      </c>
      <c r="S3" t="s">
        <v>1470</v>
      </c>
      <c r="T3" t="s">
        <v>1471</v>
      </c>
      <c r="U3" t="s">
        <v>1472</v>
      </c>
      <c r="V3" t="s">
        <v>1465</v>
      </c>
    </row>
    <row r="4" spans="1:22" x14ac:dyDescent="0.45">
      <c r="A4" s="16">
        <v>39642220.810000107</v>
      </c>
      <c r="C4" s="20" t="s">
        <v>16</v>
      </c>
      <c r="D4" s="23">
        <v>6.5769805680119586E-2</v>
      </c>
      <c r="E4" s="16">
        <v>879680.63000000059</v>
      </c>
      <c r="J4" s="20" t="s">
        <v>1469</v>
      </c>
      <c r="K4" s="16">
        <v>37415058.220000051</v>
      </c>
      <c r="P4" s="20" t="s">
        <v>325</v>
      </c>
      <c r="T4">
        <v>1</v>
      </c>
      <c r="V4">
        <v>1</v>
      </c>
    </row>
    <row r="5" spans="1:22" x14ac:dyDescent="0.45">
      <c r="C5" s="20" t="s">
        <v>25</v>
      </c>
      <c r="D5" s="23">
        <v>0.22471350274040858</v>
      </c>
      <c r="E5" s="16">
        <v>12357447.300000004</v>
      </c>
      <c r="J5" s="20" t="s">
        <v>1470</v>
      </c>
      <c r="K5" s="16">
        <v>1380822.0500000005</v>
      </c>
      <c r="P5" s="20" t="s">
        <v>1312</v>
      </c>
      <c r="R5">
        <v>1</v>
      </c>
      <c r="V5">
        <v>1</v>
      </c>
    </row>
    <row r="6" spans="1:22" x14ac:dyDescent="0.45">
      <c r="C6" s="20" t="s">
        <v>8</v>
      </c>
      <c r="D6" s="23">
        <v>0.547085201793722</v>
      </c>
      <c r="E6" s="16">
        <v>14131950.930000003</v>
      </c>
      <c r="J6" s="20" t="s">
        <v>1471</v>
      </c>
      <c r="K6" s="16">
        <v>424662.84000000014</v>
      </c>
      <c r="P6" s="20" t="s">
        <v>809</v>
      </c>
      <c r="R6">
        <v>1</v>
      </c>
      <c r="V6">
        <v>1</v>
      </c>
    </row>
    <row r="7" spans="1:22" x14ac:dyDescent="0.45">
      <c r="C7" s="20" t="s">
        <v>464</v>
      </c>
      <c r="D7" s="23">
        <v>0.16243148978574987</v>
      </c>
      <c r="E7" s="16">
        <v>12273141.949999994</v>
      </c>
      <c r="J7" s="20" t="s">
        <v>1472</v>
      </c>
      <c r="K7" s="16">
        <v>407671.90999999957</v>
      </c>
      <c r="P7" s="20" t="s">
        <v>132</v>
      </c>
      <c r="R7">
        <v>1</v>
      </c>
      <c r="S7">
        <v>1</v>
      </c>
      <c r="T7">
        <v>1</v>
      </c>
      <c r="V7">
        <v>3</v>
      </c>
    </row>
    <row r="8" spans="1:22" x14ac:dyDescent="0.45">
      <c r="C8" s="20" t="s">
        <v>1465</v>
      </c>
      <c r="D8" s="23">
        <v>1</v>
      </c>
      <c r="E8" s="16">
        <v>39642220.810000107</v>
      </c>
      <c r="J8" s="20" t="s">
        <v>1465</v>
      </c>
      <c r="K8" s="16">
        <v>39642220.810000107</v>
      </c>
      <c r="P8" s="20" t="s">
        <v>677</v>
      </c>
      <c r="R8">
        <v>1</v>
      </c>
      <c r="V8">
        <v>1</v>
      </c>
    </row>
    <row r="9" spans="1:22" x14ac:dyDescent="0.45">
      <c r="P9" s="20" t="s">
        <v>222</v>
      </c>
      <c r="T9">
        <v>1</v>
      </c>
      <c r="U9">
        <v>1</v>
      </c>
      <c r="V9">
        <v>2</v>
      </c>
    </row>
    <row r="10" spans="1:22" x14ac:dyDescent="0.45">
      <c r="C10" s="19" t="s">
        <v>1474</v>
      </c>
      <c r="D10" s="19" t="s">
        <v>1467</v>
      </c>
      <c r="P10" s="20" t="s">
        <v>992</v>
      </c>
      <c r="R10">
        <v>1</v>
      </c>
      <c r="V10">
        <v>1</v>
      </c>
    </row>
    <row r="11" spans="1:22" x14ac:dyDescent="0.45">
      <c r="C11" s="19" t="s">
        <v>1464</v>
      </c>
      <c r="D11" t="s">
        <v>15</v>
      </c>
      <c r="E11" t="s">
        <v>11</v>
      </c>
      <c r="F11" t="s">
        <v>17</v>
      </c>
      <c r="G11" t="s">
        <v>1465</v>
      </c>
      <c r="P11" s="20" t="s">
        <v>1210</v>
      </c>
      <c r="R11">
        <v>1</v>
      </c>
      <c r="V11">
        <v>1</v>
      </c>
    </row>
    <row r="12" spans="1:22" x14ac:dyDescent="0.45">
      <c r="C12" s="20" t="s">
        <v>1468</v>
      </c>
      <c r="D12" s="16">
        <v>4497.1400000000003</v>
      </c>
      <c r="E12" s="16">
        <v>273.29999999999995</v>
      </c>
      <c r="F12" s="16">
        <v>9235.35</v>
      </c>
      <c r="G12" s="16">
        <v>14005.790000000003</v>
      </c>
      <c r="P12" s="20" t="s">
        <v>412</v>
      </c>
      <c r="T12">
        <v>1</v>
      </c>
      <c r="V12">
        <v>1</v>
      </c>
    </row>
    <row r="13" spans="1:22" x14ac:dyDescent="0.45">
      <c r="C13" s="20" t="s">
        <v>1469</v>
      </c>
      <c r="D13" s="16">
        <v>12808587.220000004</v>
      </c>
      <c r="E13" s="16">
        <v>12248566.479999999</v>
      </c>
      <c r="F13" s="16">
        <v>12357904.519999992</v>
      </c>
      <c r="G13" s="16">
        <v>37415058.220000051</v>
      </c>
      <c r="P13" s="20" t="s">
        <v>344</v>
      </c>
      <c r="U13">
        <v>2</v>
      </c>
      <c r="V13">
        <v>2</v>
      </c>
    </row>
    <row r="14" spans="1:22" x14ac:dyDescent="0.45">
      <c r="C14" s="20" t="s">
        <v>1470</v>
      </c>
      <c r="D14" s="16">
        <v>450499.77000000008</v>
      </c>
      <c r="E14" s="16">
        <v>497005.91000000003</v>
      </c>
      <c r="F14" s="16">
        <v>433316.37000000005</v>
      </c>
      <c r="G14" s="16">
        <v>1380822.0500000005</v>
      </c>
      <c r="P14" s="20" t="s">
        <v>227</v>
      </c>
      <c r="T14">
        <v>2</v>
      </c>
      <c r="V14">
        <v>2</v>
      </c>
    </row>
    <row r="15" spans="1:22" x14ac:dyDescent="0.45">
      <c r="C15" s="20" t="s">
        <v>1471</v>
      </c>
      <c r="D15" s="16">
        <v>160358.32999999993</v>
      </c>
      <c r="E15" s="16">
        <v>127582.70999999999</v>
      </c>
      <c r="F15" s="16">
        <v>136721.79999999999</v>
      </c>
      <c r="G15" s="16">
        <v>424662.84000000014</v>
      </c>
      <c r="P15" s="20" t="s">
        <v>634</v>
      </c>
      <c r="R15">
        <v>1</v>
      </c>
      <c r="V15">
        <v>1</v>
      </c>
    </row>
    <row r="16" spans="1:22" x14ac:dyDescent="0.45">
      <c r="C16" s="20" t="s">
        <v>1472</v>
      </c>
      <c r="D16" s="16">
        <v>92807.380000000048</v>
      </c>
      <c r="E16" s="16">
        <v>125728.67000000003</v>
      </c>
      <c r="F16" s="16">
        <v>189135.86</v>
      </c>
      <c r="G16" s="16">
        <v>407671.90999999957</v>
      </c>
      <c r="P16" s="20" t="s">
        <v>310</v>
      </c>
      <c r="R16">
        <v>2</v>
      </c>
      <c r="T16">
        <v>1</v>
      </c>
      <c r="V16">
        <v>3</v>
      </c>
    </row>
    <row r="17" spans="3:22" x14ac:dyDescent="0.45">
      <c r="C17" s="20" t="s">
        <v>1465</v>
      </c>
      <c r="D17" s="16">
        <v>13516749.840000004</v>
      </c>
      <c r="E17" s="16">
        <v>12999157.070000002</v>
      </c>
      <c r="F17" s="16">
        <v>13126313.899999995</v>
      </c>
      <c r="G17" s="16">
        <v>39642220.810000107</v>
      </c>
      <c r="P17" s="20" t="s">
        <v>271</v>
      </c>
      <c r="U17">
        <v>2</v>
      </c>
      <c r="V17">
        <v>2</v>
      </c>
    </row>
    <row r="18" spans="3:22" x14ac:dyDescent="0.45">
      <c r="P18" s="20" t="s">
        <v>196</v>
      </c>
      <c r="U18">
        <v>1</v>
      </c>
      <c r="V18">
        <v>1</v>
      </c>
    </row>
    <row r="19" spans="3:22" x14ac:dyDescent="0.45">
      <c r="C19" s="19" t="s">
        <v>1487</v>
      </c>
      <c r="D19" s="19" t="s">
        <v>1467</v>
      </c>
      <c r="P19" s="20" t="s">
        <v>256</v>
      </c>
      <c r="T19">
        <v>3</v>
      </c>
      <c r="V19">
        <v>3</v>
      </c>
    </row>
    <row r="20" spans="3:22" x14ac:dyDescent="0.45">
      <c r="C20" s="19" t="s">
        <v>1464</v>
      </c>
      <c r="D20" t="s">
        <v>16</v>
      </c>
      <c r="E20" t="s">
        <v>25</v>
      </c>
      <c r="F20" t="s">
        <v>8</v>
      </c>
      <c r="G20" t="s">
        <v>464</v>
      </c>
      <c r="H20" t="s">
        <v>1465</v>
      </c>
      <c r="P20" s="20" t="s">
        <v>419</v>
      </c>
      <c r="T20">
        <v>2</v>
      </c>
      <c r="V20">
        <v>2</v>
      </c>
    </row>
    <row r="21" spans="3:22" x14ac:dyDescent="0.45">
      <c r="C21" s="20" t="s">
        <v>1481</v>
      </c>
      <c r="D21" s="16">
        <v>59159.76</v>
      </c>
      <c r="E21" s="16">
        <v>1481145.2199999997</v>
      </c>
      <c r="F21" s="16">
        <v>1481742.43</v>
      </c>
      <c r="G21" s="16">
        <v>1375630.0300000003</v>
      </c>
      <c r="H21" s="16">
        <v>4397677.4400000004</v>
      </c>
      <c r="P21" s="20" t="s">
        <v>190</v>
      </c>
      <c r="R21">
        <v>1</v>
      </c>
      <c r="V21">
        <v>1</v>
      </c>
    </row>
    <row r="22" spans="3:22" x14ac:dyDescent="0.45">
      <c r="C22" s="20" t="s">
        <v>1480</v>
      </c>
      <c r="D22" s="16">
        <v>100795.6</v>
      </c>
      <c r="E22" s="16">
        <v>518049.63</v>
      </c>
      <c r="F22" s="16">
        <v>1225203.17</v>
      </c>
      <c r="G22" s="16">
        <v>1292696.02</v>
      </c>
      <c r="H22" s="16">
        <v>3136744.4200000009</v>
      </c>
      <c r="P22" s="20" t="s">
        <v>167</v>
      </c>
      <c r="T22">
        <v>5</v>
      </c>
      <c r="V22">
        <v>5</v>
      </c>
    </row>
    <row r="23" spans="3:22" x14ac:dyDescent="0.45">
      <c r="C23" s="20" t="s">
        <v>1483</v>
      </c>
      <c r="D23" s="16">
        <v>41774.49</v>
      </c>
      <c r="E23" s="16">
        <v>1023408.76</v>
      </c>
      <c r="F23" s="16">
        <v>952606.25999999978</v>
      </c>
      <c r="G23" s="16">
        <v>1043592.0500000002</v>
      </c>
      <c r="H23" s="16">
        <v>3061381.5600000005</v>
      </c>
      <c r="P23" s="20" t="s">
        <v>182</v>
      </c>
      <c r="U23">
        <v>3</v>
      </c>
      <c r="V23">
        <v>3</v>
      </c>
    </row>
    <row r="24" spans="3:22" x14ac:dyDescent="0.45">
      <c r="C24" s="20" t="s">
        <v>1477</v>
      </c>
      <c r="D24" s="16">
        <v>45678.899999999994</v>
      </c>
      <c r="E24" s="16">
        <v>1399362.24</v>
      </c>
      <c r="F24" s="16">
        <v>1015378.2899999999</v>
      </c>
      <c r="G24" s="16">
        <v>1051761.54</v>
      </c>
      <c r="H24" s="16">
        <v>3512180.9699999997</v>
      </c>
      <c r="P24" s="20" t="s">
        <v>285</v>
      </c>
      <c r="R24">
        <v>2</v>
      </c>
      <c r="V24">
        <v>2</v>
      </c>
    </row>
    <row r="25" spans="3:22" x14ac:dyDescent="0.45">
      <c r="C25" s="20" t="s">
        <v>1484</v>
      </c>
      <c r="D25" s="16">
        <v>60356.81</v>
      </c>
      <c r="E25" s="16">
        <v>799521.68</v>
      </c>
      <c r="F25" s="16">
        <v>1163822.7400000002</v>
      </c>
      <c r="G25" s="16">
        <v>1169530.7</v>
      </c>
      <c r="H25" s="16">
        <v>3193231.9299999992</v>
      </c>
      <c r="P25" s="20" t="s">
        <v>1296</v>
      </c>
      <c r="R25">
        <v>1</v>
      </c>
      <c r="V25">
        <v>1</v>
      </c>
    </row>
    <row r="26" spans="3:22" x14ac:dyDescent="0.45">
      <c r="C26" s="20" t="s">
        <v>1482</v>
      </c>
      <c r="D26" s="16">
        <v>71561.849999999991</v>
      </c>
      <c r="E26" s="16">
        <v>796858.24000000022</v>
      </c>
      <c r="F26" s="16">
        <v>1169542.6600000001</v>
      </c>
      <c r="G26" s="16">
        <v>1071736.7399999998</v>
      </c>
      <c r="H26" s="16">
        <v>3109699.49</v>
      </c>
      <c r="P26" s="20" t="s">
        <v>1220</v>
      </c>
      <c r="R26">
        <v>1</v>
      </c>
      <c r="V26">
        <v>1</v>
      </c>
    </row>
    <row r="27" spans="3:22" x14ac:dyDescent="0.45">
      <c r="C27" s="20" t="s">
        <v>1475</v>
      </c>
      <c r="D27" s="16">
        <v>38210.009999999995</v>
      </c>
      <c r="E27" s="16">
        <v>872846.79000000027</v>
      </c>
      <c r="F27" s="16">
        <v>1154075.49</v>
      </c>
      <c r="G27" s="16">
        <v>867105.65</v>
      </c>
      <c r="H27" s="16">
        <v>2932237.9399999981</v>
      </c>
      <c r="P27" s="20" t="s">
        <v>896</v>
      </c>
      <c r="R27">
        <v>1</v>
      </c>
      <c r="V27">
        <v>1</v>
      </c>
    </row>
    <row r="28" spans="3:22" x14ac:dyDescent="0.45">
      <c r="C28" s="20" t="s">
        <v>1478</v>
      </c>
      <c r="D28" s="16">
        <v>137027</v>
      </c>
      <c r="E28" s="16">
        <v>901186.3899999999</v>
      </c>
      <c r="F28" s="16">
        <v>1041562.8099999997</v>
      </c>
      <c r="G28" s="16">
        <v>1035416.5900000001</v>
      </c>
      <c r="H28" s="16">
        <v>3115192.7899999991</v>
      </c>
      <c r="P28" s="20" t="s">
        <v>480</v>
      </c>
      <c r="R28">
        <v>1</v>
      </c>
      <c r="V28">
        <v>1</v>
      </c>
    </row>
    <row r="29" spans="3:22" x14ac:dyDescent="0.45">
      <c r="C29" s="20" t="s">
        <v>1486</v>
      </c>
      <c r="D29" s="16">
        <v>57192.05</v>
      </c>
      <c r="E29" s="16">
        <v>867742.17999999993</v>
      </c>
      <c r="F29" s="16">
        <v>1403936.9</v>
      </c>
      <c r="G29" s="16">
        <v>677183.41999999993</v>
      </c>
      <c r="H29" s="16">
        <v>3006054.5499999993</v>
      </c>
      <c r="P29" s="20" t="s">
        <v>1325</v>
      </c>
      <c r="R29">
        <v>1</v>
      </c>
      <c r="V29">
        <v>1</v>
      </c>
    </row>
    <row r="30" spans="3:22" x14ac:dyDescent="0.45">
      <c r="C30" s="20" t="s">
        <v>1476</v>
      </c>
      <c r="D30" s="16">
        <v>43569.61</v>
      </c>
      <c r="E30" s="16">
        <v>1188777.6500000001</v>
      </c>
      <c r="F30" s="16">
        <v>1193223.7800000003</v>
      </c>
      <c r="G30" s="16">
        <v>609915.93000000005</v>
      </c>
      <c r="H30" s="16">
        <v>3035486.9699999997</v>
      </c>
      <c r="P30" s="20" t="s">
        <v>100</v>
      </c>
      <c r="S30">
        <v>1</v>
      </c>
      <c r="U30">
        <v>1</v>
      </c>
      <c r="V30">
        <v>2</v>
      </c>
    </row>
    <row r="31" spans="3:22" x14ac:dyDescent="0.45">
      <c r="C31" s="20" t="s">
        <v>1485</v>
      </c>
      <c r="D31" s="16">
        <v>46394.1</v>
      </c>
      <c r="E31" s="16">
        <v>949240.83000000007</v>
      </c>
      <c r="F31" s="16">
        <v>993620.5199999999</v>
      </c>
      <c r="G31" s="16">
        <v>1048695.7100000002</v>
      </c>
      <c r="H31" s="16">
        <v>3037951.16</v>
      </c>
      <c r="P31" s="20" t="s">
        <v>1126</v>
      </c>
      <c r="R31">
        <v>1</v>
      </c>
      <c r="V31">
        <v>1</v>
      </c>
    </row>
    <row r="32" spans="3:22" x14ac:dyDescent="0.45">
      <c r="C32" s="20" t="s">
        <v>1479</v>
      </c>
      <c r="D32" s="16">
        <v>177960.44999999998</v>
      </c>
      <c r="E32" s="16">
        <v>1559307.6900000002</v>
      </c>
      <c r="F32" s="16">
        <v>1337235.8800000001</v>
      </c>
      <c r="G32" s="16">
        <v>1029877.5699999997</v>
      </c>
      <c r="H32" s="16">
        <v>4104381.589999998</v>
      </c>
      <c r="P32" s="20" t="s">
        <v>748</v>
      </c>
      <c r="R32">
        <v>1</v>
      </c>
      <c r="V32">
        <v>1</v>
      </c>
    </row>
    <row r="33" spans="3:22" x14ac:dyDescent="0.45">
      <c r="C33" s="20" t="s">
        <v>1465</v>
      </c>
      <c r="D33" s="16">
        <v>879680.63000000059</v>
      </c>
      <c r="E33" s="16">
        <v>12357447.300000004</v>
      </c>
      <c r="F33" s="16">
        <v>14131950.930000003</v>
      </c>
      <c r="G33" s="16">
        <v>12273141.949999994</v>
      </c>
      <c r="H33" s="16">
        <v>39642220.810000107</v>
      </c>
      <c r="P33" s="20" t="s">
        <v>324</v>
      </c>
      <c r="T33">
        <v>1</v>
      </c>
      <c r="V33">
        <v>1</v>
      </c>
    </row>
    <row r="34" spans="3:22" x14ac:dyDescent="0.45">
      <c r="P34" s="20" t="s">
        <v>120</v>
      </c>
      <c r="R34">
        <v>1</v>
      </c>
      <c r="V34">
        <v>1</v>
      </c>
    </row>
    <row r="35" spans="3:22" x14ac:dyDescent="0.45">
      <c r="C35" s="19" t="s">
        <v>1491</v>
      </c>
      <c r="D35" s="19" t="s">
        <v>1467</v>
      </c>
      <c r="P35" s="20" t="s">
        <v>630</v>
      </c>
      <c r="S35">
        <v>1</v>
      </c>
      <c r="V35">
        <v>1</v>
      </c>
    </row>
    <row r="36" spans="3:22" x14ac:dyDescent="0.45">
      <c r="C36" s="19" t="s">
        <v>1489</v>
      </c>
      <c r="D36" t="s">
        <v>1468</v>
      </c>
      <c r="E36" t="s">
        <v>1469</v>
      </c>
      <c r="F36" t="s">
        <v>1470</v>
      </c>
      <c r="G36" t="s">
        <v>1471</v>
      </c>
      <c r="H36" t="s">
        <v>1472</v>
      </c>
      <c r="I36" t="s">
        <v>1465</v>
      </c>
      <c r="P36" s="20" t="s">
        <v>1355</v>
      </c>
      <c r="R36">
        <v>1</v>
      </c>
      <c r="V36">
        <v>1</v>
      </c>
    </row>
    <row r="37" spans="3:22" x14ac:dyDescent="0.45">
      <c r="C37" s="20" t="s">
        <v>1477</v>
      </c>
      <c r="D37" s="16"/>
      <c r="E37" s="16">
        <v>3373989.8899999997</v>
      </c>
      <c r="F37" s="16">
        <v>61294.75</v>
      </c>
      <c r="G37" s="16">
        <v>37868.910000000003</v>
      </c>
      <c r="H37" s="16">
        <v>39027.42</v>
      </c>
      <c r="I37" s="16">
        <v>3512180.9699999997</v>
      </c>
      <c r="P37" s="20" t="s">
        <v>327</v>
      </c>
      <c r="U37">
        <v>1</v>
      </c>
      <c r="V37">
        <v>1</v>
      </c>
    </row>
    <row r="38" spans="3:22" x14ac:dyDescent="0.45">
      <c r="C38" s="20" t="s">
        <v>1478</v>
      </c>
      <c r="D38" s="16"/>
      <c r="E38" s="16">
        <v>2993417.5799999987</v>
      </c>
      <c r="F38" s="16">
        <v>36421.800000000003</v>
      </c>
      <c r="G38" s="16">
        <v>47225.930000000008</v>
      </c>
      <c r="H38" s="16">
        <v>38127.480000000003</v>
      </c>
      <c r="I38" s="16">
        <v>3115192.7899999991</v>
      </c>
      <c r="P38" s="20" t="s">
        <v>1391</v>
      </c>
      <c r="R38">
        <v>1</v>
      </c>
      <c r="V38">
        <v>1</v>
      </c>
    </row>
    <row r="39" spans="3:22" x14ac:dyDescent="0.45">
      <c r="C39" s="20" t="s">
        <v>1479</v>
      </c>
      <c r="D39" s="16"/>
      <c r="E39" s="16">
        <v>3965047.5099999988</v>
      </c>
      <c r="F39" s="16">
        <v>80800.660000000033</v>
      </c>
      <c r="G39" s="16">
        <v>34651.719999999994</v>
      </c>
      <c r="H39" s="16">
        <v>23881.7</v>
      </c>
      <c r="I39" s="16">
        <v>4104381.589999998</v>
      </c>
      <c r="P39" s="20" t="s">
        <v>775</v>
      </c>
      <c r="R39">
        <v>1</v>
      </c>
      <c r="V39">
        <v>1</v>
      </c>
    </row>
    <row r="40" spans="3:22" x14ac:dyDescent="0.45">
      <c r="C40" s="20" t="s">
        <v>1480</v>
      </c>
      <c r="D40" s="16"/>
      <c r="E40" s="16">
        <v>3022527.4400000009</v>
      </c>
      <c r="F40" s="16">
        <v>40897.300000000003</v>
      </c>
      <c r="G40" s="16">
        <v>56613.23</v>
      </c>
      <c r="H40" s="16">
        <v>16706.45</v>
      </c>
      <c r="I40" s="16">
        <v>3136744.4200000009</v>
      </c>
      <c r="P40" s="20" t="s">
        <v>1288</v>
      </c>
      <c r="R40">
        <v>1</v>
      </c>
      <c r="V40">
        <v>1</v>
      </c>
    </row>
    <row r="41" spans="3:22" x14ac:dyDescent="0.45">
      <c r="C41" s="20" t="s">
        <v>1481</v>
      </c>
      <c r="D41" s="16"/>
      <c r="E41" s="16">
        <v>3415198.2800000003</v>
      </c>
      <c r="F41" s="16">
        <v>928666.29</v>
      </c>
      <c r="G41" s="16">
        <v>29554.889999999996</v>
      </c>
      <c r="H41" s="16">
        <v>24257.979999999996</v>
      </c>
      <c r="I41" s="16">
        <v>4397677.4400000004</v>
      </c>
      <c r="P41" s="20" t="s">
        <v>1345</v>
      </c>
      <c r="R41">
        <v>1</v>
      </c>
      <c r="V41">
        <v>1</v>
      </c>
    </row>
    <row r="42" spans="3:22" x14ac:dyDescent="0.45">
      <c r="C42" s="20" t="s">
        <v>1475</v>
      </c>
      <c r="D42" s="16">
        <v>4807.8100000000004</v>
      </c>
      <c r="E42" s="16">
        <v>2837636.5999999992</v>
      </c>
      <c r="F42" s="16">
        <v>17934.329999999998</v>
      </c>
      <c r="G42" s="16">
        <v>44547.219999999979</v>
      </c>
      <c r="H42" s="16">
        <v>27311.98</v>
      </c>
      <c r="I42" s="16">
        <v>2932237.9399999981</v>
      </c>
      <c r="P42" s="20" t="s">
        <v>672</v>
      </c>
      <c r="R42">
        <v>1</v>
      </c>
      <c r="V42">
        <v>1</v>
      </c>
    </row>
    <row r="43" spans="3:22" x14ac:dyDescent="0.45">
      <c r="C43" s="20" t="s">
        <v>1482</v>
      </c>
      <c r="D43" s="16"/>
      <c r="E43" s="16">
        <v>2981355.8400000008</v>
      </c>
      <c r="F43" s="16">
        <v>59327.780000000006</v>
      </c>
      <c r="G43" s="16">
        <v>13359.48</v>
      </c>
      <c r="H43" s="16">
        <v>55656.39</v>
      </c>
      <c r="I43" s="16">
        <v>3109699.49</v>
      </c>
      <c r="P43" s="20" t="s">
        <v>661</v>
      </c>
      <c r="R43">
        <v>1</v>
      </c>
      <c r="V43">
        <v>1</v>
      </c>
    </row>
    <row r="44" spans="3:22" x14ac:dyDescent="0.45">
      <c r="C44" s="20" t="s">
        <v>1483</v>
      </c>
      <c r="D44" s="16"/>
      <c r="E44" s="16">
        <v>2965038.1400000006</v>
      </c>
      <c r="F44" s="16">
        <v>20948.77</v>
      </c>
      <c r="G44" s="16">
        <v>16600.89</v>
      </c>
      <c r="H44" s="16">
        <v>58793.759999999995</v>
      </c>
      <c r="I44" s="16">
        <v>3061381.5600000005</v>
      </c>
      <c r="P44" s="20" t="s">
        <v>1192</v>
      </c>
      <c r="R44">
        <v>1</v>
      </c>
      <c r="V44">
        <v>1</v>
      </c>
    </row>
    <row r="45" spans="3:22" x14ac:dyDescent="0.45">
      <c r="C45" s="20" t="s">
        <v>1484</v>
      </c>
      <c r="D45" s="16"/>
      <c r="E45" s="16">
        <v>3107453.8699999987</v>
      </c>
      <c r="F45" s="16">
        <v>20238.14</v>
      </c>
      <c r="G45" s="16">
        <v>41361.81</v>
      </c>
      <c r="H45" s="16">
        <v>24178.11</v>
      </c>
      <c r="I45" s="16">
        <v>3193231.9299999992</v>
      </c>
      <c r="P45" s="20" t="s">
        <v>919</v>
      </c>
      <c r="R45">
        <v>1</v>
      </c>
      <c r="V45">
        <v>1</v>
      </c>
    </row>
    <row r="46" spans="3:22" x14ac:dyDescent="0.45">
      <c r="C46" s="20" t="s">
        <v>1485</v>
      </c>
      <c r="D46" s="16"/>
      <c r="E46" s="16">
        <v>2934465.95</v>
      </c>
      <c r="F46" s="16">
        <v>48517.919999999998</v>
      </c>
      <c r="G46" s="16">
        <v>42690.560000000005</v>
      </c>
      <c r="H46" s="16">
        <v>12276.730000000001</v>
      </c>
      <c r="I46" s="16">
        <v>3037951.16</v>
      </c>
      <c r="P46" s="20" t="s">
        <v>826</v>
      </c>
      <c r="R46">
        <v>1</v>
      </c>
      <c r="V46">
        <v>1</v>
      </c>
    </row>
    <row r="47" spans="3:22" x14ac:dyDescent="0.45">
      <c r="C47" s="20" t="s">
        <v>1476</v>
      </c>
      <c r="D47" s="16">
        <v>9197.98</v>
      </c>
      <c r="E47" s="16">
        <v>2914720.5000000005</v>
      </c>
      <c r="F47" s="16">
        <v>36416.05999999999</v>
      </c>
      <c r="G47" s="16">
        <v>30479.360000000001</v>
      </c>
      <c r="H47" s="16">
        <v>44673.069999999992</v>
      </c>
      <c r="I47" s="16">
        <v>3035486.9699999997</v>
      </c>
      <c r="P47" s="20" t="s">
        <v>537</v>
      </c>
      <c r="R47">
        <v>1</v>
      </c>
      <c r="V47">
        <v>1</v>
      </c>
    </row>
    <row r="48" spans="3:22" x14ac:dyDescent="0.45">
      <c r="C48" s="20" t="s">
        <v>1486</v>
      </c>
      <c r="D48" s="16"/>
      <c r="E48" s="16">
        <v>2904206.6199999992</v>
      </c>
      <c r="F48" s="16">
        <v>29358.25</v>
      </c>
      <c r="G48" s="16">
        <v>29708.840000000004</v>
      </c>
      <c r="H48" s="16">
        <v>42780.84</v>
      </c>
      <c r="I48" s="16">
        <v>3006054.5499999993</v>
      </c>
      <c r="P48" s="20" t="s">
        <v>719</v>
      </c>
      <c r="R48">
        <v>1</v>
      </c>
      <c r="V48">
        <v>1</v>
      </c>
    </row>
    <row r="49" spans="3:22" x14ac:dyDescent="0.45">
      <c r="C49" s="20" t="s">
        <v>1465</v>
      </c>
      <c r="D49" s="16">
        <v>14005.790000000003</v>
      </c>
      <c r="E49" s="16">
        <v>37415058.220000051</v>
      </c>
      <c r="F49" s="16">
        <v>1380822.0500000005</v>
      </c>
      <c r="G49" s="16">
        <v>424662.84000000014</v>
      </c>
      <c r="H49" s="16">
        <v>407671.90999999957</v>
      </c>
      <c r="I49" s="16">
        <v>39642220.810000107</v>
      </c>
      <c r="P49" s="20" t="s">
        <v>1287</v>
      </c>
      <c r="R49">
        <v>1</v>
      </c>
      <c r="V49">
        <v>1</v>
      </c>
    </row>
    <row r="50" spans="3:22" x14ac:dyDescent="0.45">
      <c r="P50" s="20" t="s">
        <v>819</v>
      </c>
      <c r="R50">
        <v>1</v>
      </c>
      <c r="V50">
        <v>1</v>
      </c>
    </row>
    <row r="51" spans="3:22" x14ac:dyDescent="0.45">
      <c r="C51" s="19" t="s">
        <v>1474</v>
      </c>
      <c r="D51" s="19" t="s">
        <v>1467</v>
      </c>
      <c r="P51" s="20" t="s">
        <v>486</v>
      </c>
      <c r="R51">
        <v>1</v>
      </c>
      <c r="V51">
        <v>1</v>
      </c>
    </row>
    <row r="52" spans="3:22" x14ac:dyDescent="0.45">
      <c r="C52" s="19" t="s">
        <v>1464</v>
      </c>
      <c r="D52" t="s">
        <v>15</v>
      </c>
      <c r="E52" t="s">
        <v>11</v>
      </c>
      <c r="F52" t="s">
        <v>17</v>
      </c>
      <c r="G52" t="s">
        <v>1465</v>
      </c>
      <c r="P52" s="20" t="s">
        <v>1239</v>
      </c>
      <c r="R52">
        <v>1</v>
      </c>
      <c r="V52">
        <v>1</v>
      </c>
    </row>
    <row r="53" spans="3:22" x14ac:dyDescent="0.45">
      <c r="C53" s="20" t="s">
        <v>1481</v>
      </c>
      <c r="D53" s="16">
        <v>967092.94</v>
      </c>
      <c r="E53" s="16">
        <v>1588317.5499999998</v>
      </c>
      <c r="F53" s="16">
        <v>1842266.95</v>
      </c>
      <c r="G53" s="16">
        <v>4397677.4400000004</v>
      </c>
      <c r="P53" s="20" t="s">
        <v>1390</v>
      </c>
      <c r="R53">
        <v>1</v>
      </c>
      <c r="V53">
        <v>1</v>
      </c>
    </row>
    <row r="54" spans="3:22" x14ac:dyDescent="0.45">
      <c r="C54" s="20" t="s">
        <v>1480</v>
      </c>
      <c r="D54" s="16">
        <v>1266556.48</v>
      </c>
      <c r="E54" s="16">
        <v>1097472.6300000001</v>
      </c>
      <c r="F54" s="16">
        <v>772715.31</v>
      </c>
      <c r="G54" s="16">
        <v>3136744.4200000009</v>
      </c>
      <c r="P54" s="20" t="s">
        <v>533</v>
      </c>
      <c r="R54">
        <v>1</v>
      </c>
      <c r="V54">
        <v>1</v>
      </c>
    </row>
    <row r="55" spans="3:22" x14ac:dyDescent="0.45">
      <c r="C55" s="20" t="s">
        <v>1483</v>
      </c>
      <c r="D55" s="16">
        <v>1225483.7699999998</v>
      </c>
      <c r="E55" s="16">
        <v>858220.30999999994</v>
      </c>
      <c r="F55" s="16">
        <v>977677.48</v>
      </c>
      <c r="G55" s="16">
        <v>3061381.5600000005</v>
      </c>
      <c r="P55" s="20" t="s">
        <v>576</v>
      </c>
      <c r="R55">
        <v>1</v>
      </c>
      <c r="V55">
        <v>1</v>
      </c>
    </row>
    <row r="56" spans="3:22" x14ac:dyDescent="0.45">
      <c r="C56" s="20" t="s">
        <v>1477</v>
      </c>
      <c r="D56" s="16">
        <v>1626772.77</v>
      </c>
      <c r="E56" s="16">
        <v>875081.92</v>
      </c>
      <c r="F56" s="16">
        <v>1010326.28</v>
      </c>
      <c r="G56" s="16">
        <v>3512180.9699999997</v>
      </c>
      <c r="P56" s="20" t="s">
        <v>893</v>
      </c>
      <c r="R56">
        <v>1</v>
      </c>
      <c r="V56">
        <v>1</v>
      </c>
    </row>
    <row r="57" spans="3:22" x14ac:dyDescent="0.45">
      <c r="C57" s="20" t="s">
        <v>1484</v>
      </c>
      <c r="D57" s="16">
        <v>1067291.9700000002</v>
      </c>
      <c r="E57" s="16">
        <v>1098950.8799999999</v>
      </c>
      <c r="F57" s="16">
        <v>1026989.0800000001</v>
      </c>
      <c r="G57" s="16">
        <v>3193231.9299999992</v>
      </c>
      <c r="P57" s="20" t="s">
        <v>1268</v>
      </c>
      <c r="R57">
        <v>1</v>
      </c>
      <c r="V57">
        <v>1</v>
      </c>
    </row>
    <row r="58" spans="3:22" x14ac:dyDescent="0.45">
      <c r="C58" s="20" t="s">
        <v>1482</v>
      </c>
      <c r="D58" s="16">
        <v>783467.84999999974</v>
      </c>
      <c r="E58" s="16">
        <v>1156780.42</v>
      </c>
      <c r="F58" s="16">
        <v>1169451.2200000002</v>
      </c>
      <c r="G58" s="16">
        <v>3109699.49</v>
      </c>
      <c r="P58" s="20" t="s">
        <v>609</v>
      </c>
      <c r="R58">
        <v>1</v>
      </c>
      <c r="V58">
        <v>1</v>
      </c>
    </row>
    <row r="59" spans="3:22" x14ac:dyDescent="0.45">
      <c r="C59" s="20" t="s">
        <v>1475</v>
      </c>
      <c r="D59" s="16">
        <v>866030.72</v>
      </c>
      <c r="E59" s="16">
        <v>1037874.2400000001</v>
      </c>
      <c r="F59" s="16">
        <v>1028332.9800000001</v>
      </c>
      <c r="G59" s="16">
        <v>2932237.9399999981</v>
      </c>
      <c r="P59" s="20" t="s">
        <v>879</v>
      </c>
      <c r="R59">
        <v>1</v>
      </c>
      <c r="V59">
        <v>1</v>
      </c>
    </row>
    <row r="60" spans="3:22" x14ac:dyDescent="0.45">
      <c r="C60" s="20" t="s">
        <v>1478</v>
      </c>
      <c r="D60" s="16">
        <v>1422310.9399999997</v>
      </c>
      <c r="E60" s="16">
        <v>832884.88999999966</v>
      </c>
      <c r="F60" s="16">
        <v>859996.95999999985</v>
      </c>
      <c r="G60" s="16">
        <v>3115192.7899999991</v>
      </c>
      <c r="P60" s="20" t="s">
        <v>965</v>
      </c>
      <c r="R60">
        <v>1</v>
      </c>
      <c r="V60">
        <v>1</v>
      </c>
    </row>
    <row r="61" spans="3:22" x14ac:dyDescent="0.45">
      <c r="C61" s="20" t="s">
        <v>1486</v>
      </c>
      <c r="D61" s="16">
        <v>1231871.81</v>
      </c>
      <c r="E61" s="16">
        <v>811191.78999999992</v>
      </c>
      <c r="F61" s="16">
        <v>962990.95</v>
      </c>
      <c r="G61" s="16">
        <v>3006054.5499999993</v>
      </c>
      <c r="P61" s="20" t="s">
        <v>1363</v>
      </c>
      <c r="R61">
        <v>1</v>
      </c>
      <c r="V61">
        <v>1</v>
      </c>
    </row>
    <row r="62" spans="3:22" x14ac:dyDescent="0.45">
      <c r="C62" s="20" t="s">
        <v>1476</v>
      </c>
      <c r="D62" s="16">
        <v>1022718.29</v>
      </c>
      <c r="E62" s="16">
        <v>1330939.9200000002</v>
      </c>
      <c r="F62" s="16">
        <v>681828.76000000013</v>
      </c>
      <c r="G62" s="16">
        <v>3035486.9699999997</v>
      </c>
      <c r="P62" s="20" t="s">
        <v>892</v>
      </c>
      <c r="R62">
        <v>1</v>
      </c>
      <c r="V62">
        <v>1</v>
      </c>
    </row>
    <row r="63" spans="3:22" x14ac:dyDescent="0.45">
      <c r="C63" s="20" t="s">
        <v>1485</v>
      </c>
      <c r="D63" s="16">
        <v>911025.82000000007</v>
      </c>
      <c r="E63" s="16">
        <v>1226858.7</v>
      </c>
      <c r="F63" s="16">
        <v>900066.64000000013</v>
      </c>
      <c r="G63" s="16">
        <v>3037951.16</v>
      </c>
      <c r="P63" s="20" t="s">
        <v>1440</v>
      </c>
      <c r="R63">
        <v>1</v>
      </c>
      <c r="V63">
        <v>1</v>
      </c>
    </row>
    <row r="64" spans="3:22" x14ac:dyDescent="0.45">
      <c r="C64" s="20" t="s">
        <v>1479</v>
      </c>
      <c r="D64" s="16">
        <v>1126126.48</v>
      </c>
      <c r="E64" s="16">
        <v>1084583.82</v>
      </c>
      <c r="F64" s="16">
        <v>1893671.29</v>
      </c>
      <c r="G64" s="16">
        <v>4104381.589999998</v>
      </c>
      <c r="P64" s="20" t="s">
        <v>223</v>
      </c>
      <c r="S64">
        <v>2</v>
      </c>
      <c r="V64">
        <v>2</v>
      </c>
    </row>
    <row r="65" spans="3:22" x14ac:dyDescent="0.45">
      <c r="C65" s="20" t="s">
        <v>1465</v>
      </c>
      <c r="D65" s="16">
        <v>13516749.840000004</v>
      </c>
      <c r="E65" s="16">
        <v>12999157.070000002</v>
      </c>
      <c r="F65" s="16">
        <v>13126313.899999995</v>
      </c>
      <c r="G65" s="16">
        <v>39642220.810000107</v>
      </c>
      <c r="P65" s="20" t="s">
        <v>437</v>
      </c>
      <c r="S65">
        <v>1</v>
      </c>
      <c r="V65">
        <v>1</v>
      </c>
    </row>
    <row r="66" spans="3:22" x14ac:dyDescent="0.45">
      <c r="P66" s="20" t="s">
        <v>1199</v>
      </c>
      <c r="R66">
        <v>1</v>
      </c>
      <c r="V66">
        <v>1</v>
      </c>
    </row>
    <row r="67" spans="3:22" x14ac:dyDescent="0.45">
      <c r="P67" s="20" t="s">
        <v>1257</v>
      </c>
      <c r="R67">
        <v>1</v>
      </c>
      <c r="V67">
        <v>1</v>
      </c>
    </row>
    <row r="68" spans="3:22" x14ac:dyDescent="0.45">
      <c r="P68" s="20" t="s">
        <v>1365</v>
      </c>
      <c r="R68">
        <v>1</v>
      </c>
      <c r="V68">
        <v>1</v>
      </c>
    </row>
    <row r="69" spans="3:22" x14ac:dyDescent="0.45">
      <c r="P69" s="20" t="s">
        <v>1132</v>
      </c>
      <c r="R69">
        <v>1</v>
      </c>
      <c r="V69">
        <v>1</v>
      </c>
    </row>
    <row r="70" spans="3:22" x14ac:dyDescent="0.45">
      <c r="P70" s="20" t="s">
        <v>995</v>
      </c>
      <c r="R70">
        <v>1</v>
      </c>
      <c r="V70">
        <v>1</v>
      </c>
    </row>
    <row r="71" spans="3:22" x14ac:dyDescent="0.45">
      <c r="P71" s="20" t="s">
        <v>773</v>
      </c>
      <c r="R71">
        <v>1</v>
      </c>
      <c r="V71">
        <v>1</v>
      </c>
    </row>
    <row r="72" spans="3:22" x14ac:dyDescent="0.45">
      <c r="P72" s="20" t="s">
        <v>1149</v>
      </c>
      <c r="R72">
        <v>1</v>
      </c>
      <c r="V72">
        <v>1</v>
      </c>
    </row>
    <row r="73" spans="3:22" x14ac:dyDescent="0.45">
      <c r="P73" s="20" t="s">
        <v>723</v>
      </c>
      <c r="R73">
        <v>1</v>
      </c>
      <c r="V73">
        <v>1</v>
      </c>
    </row>
    <row r="74" spans="3:22" x14ac:dyDescent="0.45">
      <c r="P74" s="20" t="s">
        <v>447</v>
      </c>
      <c r="T74">
        <v>2</v>
      </c>
      <c r="V74">
        <v>2</v>
      </c>
    </row>
    <row r="75" spans="3:22" x14ac:dyDescent="0.45">
      <c r="P75" s="20" t="s">
        <v>202</v>
      </c>
      <c r="S75">
        <v>1</v>
      </c>
      <c r="V75">
        <v>1</v>
      </c>
    </row>
    <row r="76" spans="3:22" x14ac:dyDescent="0.45">
      <c r="P76" s="20" t="s">
        <v>530</v>
      </c>
      <c r="R76">
        <v>1</v>
      </c>
      <c r="V76">
        <v>1</v>
      </c>
    </row>
    <row r="77" spans="3:22" x14ac:dyDescent="0.45">
      <c r="P77" s="20" t="s">
        <v>742</v>
      </c>
      <c r="R77">
        <v>1</v>
      </c>
      <c r="V77">
        <v>1</v>
      </c>
    </row>
    <row r="78" spans="3:22" x14ac:dyDescent="0.45">
      <c r="P78" s="20" t="s">
        <v>577</v>
      </c>
      <c r="R78">
        <v>1</v>
      </c>
      <c r="V78">
        <v>1</v>
      </c>
    </row>
    <row r="79" spans="3:22" x14ac:dyDescent="0.45">
      <c r="P79" s="20" t="s">
        <v>962</v>
      </c>
      <c r="R79">
        <v>1</v>
      </c>
      <c r="V79">
        <v>1</v>
      </c>
    </row>
    <row r="80" spans="3:22" x14ac:dyDescent="0.45">
      <c r="P80" s="20" t="s">
        <v>1374</v>
      </c>
      <c r="R80">
        <v>1</v>
      </c>
      <c r="V80">
        <v>1</v>
      </c>
    </row>
    <row r="81" spans="16:22" x14ac:dyDescent="0.45">
      <c r="P81" s="20" t="s">
        <v>857</v>
      </c>
      <c r="R81">
        <v>1</v>
      </c>
      <c r="V81">
        <v>1</v>
      </c>
    </row>
    <row r="82" spans="16:22" x14ac:dyDescent="0.45">
      <c r="P82" s="20" t="s">
        <v>840</v>
      </c>
      <c r="R82">
        <v>1</v>
      </c>
      <c r="V82">
        <v>1</v>
      </c>
    </row>
    <row r="83" spans="16:22" x14ac:dyDescent="0.45">
      <c r="P83" s="20" t="s">
        <v>1367</v>
      </c>
      <c r="R83">
        <v>1</v>
      </c>
      <c r="V83">
        <v>1</v>
      </c>
    </row>
    <row r="84" spans="16:22" x14ac:dyDescent="0.45">
      <c r="P84" s="20" t="s">
        <v>734</v>
      </c>
      <c r="R84">
        <v>1</v>
      </c>
      <c r="V84">
        <v>1</v>
      </c>
    </row>
    <row r="85" spans="16:22" x14ac:dyDescent="0.45">
      <c r="P85" s="20" t="s">
        <v>1194</v>
      </c>
      <c r="R85">
        <v>1</v>
      </c>
      <c r="V85">
        <v>1</v>
      </c>
    </row>
    <row r="86" spans="16:22" x14ac:dyDescent="0.45">
      <c r="P86" s="20" t="s">
        <v>1381</v>
      </c>
      <c r="R86">
        <v>1</v>
      </c>
      <c r="V86">
        <v>1</v>
      </c>
    </row>
    <row r="87" spans="16:22" x14ac:dyDescent="0.45">
      <c r="P87" s="20" t="s">
        <v>1351</v>
      </c>
      <c r="R87">
        <v>1</v>
      </c>
      <c r="V87">
        <v>1</v>
      </c>
    </row>
    <row r="88" spans="16:22" x14ac:dyDescent="0.45">
      <c r="P88" s="20" t="s">
        <v>566</v>
      </c>
      <c r="R88">
        <v>1</v>
      </c>
      <c r="V88">
        <v>1</v>
      </c>
    </row>
    <row r="89" spans="16:22" x14ac:dyDescent="0.45">
      <c r="P89" s="20" t="s">
        <v>1223</v>
      </c>
      <c r="R89">
        <v>1</v>
      </c>
      <c r="V89">
        <v>1</v>
      </c>
    </row>
    <row r="90" spans="16:22" x14ac:dyDescent="0.45">
      <c r="P90" s="20" t="s">
        <v>300</v>
      </c>
      <c r="R90">
        <v>2</v>
      </c>
      <c r="V90">
        <v>2</v>
      </c>
    </row>
    <row r="91" spans="16:22" x14ac:dyDescent="0.45">
      <c r="P91" s="20" t="s">
        <v>395</v>
      </c>
      <c r="R91">
        <v>2</v>
      </c>
      <c r="V91">
        <v>2</v>
      </c>
    </row>
    <row r="92" spans="16:22" x14ac:dyDescent="0.45">
      <c r="P92" s="20" t="s">
        <v>1202</v>
      </c>
      <c r="R92">
        <v>1</v>
      </c>
      <c r="V92">
        <v>1</v>
      </c>
    </row>
    <row r="93" spans="16:22" x14ac:dyDescent="0.45">
      <c r="P93" s="20" t="s">
        <v>373</v>
      </c>
      <c r="S93">
        <v>2</v>
      </c>
      <c r="V93">
        <v>2</v>
      </c>
    </row>
    <row r="94" spans="16:22" x14ac:dyDescent="0.45">
      <c r="P94" s="20" t="s">
        <v>1227</v>
      </c>
      <c r="R94">
        <v>1</v>
      </c>
      <c r="V94">
        <v>1</v>
      </c>
    </row>
    <row r="95" spans="16:22" x14ac:dyDescent="0.45">
      <c r="P95" s="20" t="s">
        <v>845</v>
      </c>
      <c r="R95">
        <v>1</v>
      </c>
      <c r="V95">
        <v>1</v>
      </c>
    </row>
    <row r="96" spans="16:22" x14ac:dyDescent="0.45">
      <c r="P96" s="20" t="s">
        <v>379</v>
      </c>
      <c r="R96">
        <v>1</v>
      </c>
      <c r="S96">
        <v>1</v>
      </c>
      <c r="V96">
        <v>2</v>
      </c>
    </row>
    <row r="97" spans="16:22" x14ac:dyDescent="0.45">
      <c r="P97" s="20" t="s">
        <v>417</v>
      </c>
      <c r="S97">
        <v>2</v>
      </c>
      <c r="V97">
        <v>2</v>
      </c>
    </row>
    <row r="98" spans="16:22" x14ac:dyDescent="0.45">
      <c r="P98" s="20" t="s">
        <v>424</v>
      </c>
      <c r="T98">
        <v>1</v>
      </c>
      <c r="V98">
        <v>1</v>
      </c>
    </row>
    <row r="99" spans="16:22" x14ac:dyDescent="0.45">
      <c r="P99" s="20" t="s">
        <v>500</v>
      </c>
      <c r="R99">
        <v>1</v>
      </c>
      <c r="V99">
        <v>1</v>
      </c>
    </row>
    <row r="100" spans="16:22" x14ac:dyDescent="0.45">
      <c r="P100" s="20" t="s">
        <v>33</v>
      </c>
      <c r="T100">
        <v>1</v>
      </c>
      <c r="V100">
        <v>1</v>
      </c>
    </row>
    <row r="101" spans="16:22" x14ac:dyDescent="0.45">
      <c r="P101" s="20" t="s">
        <v>1184</v>
      </c>
      <c r="R101">
        <v>1</v>
      </c>
      <c r="V101">
        <v>1</v>
      </c>
    </row>
    <row r="102" spans="16:22" x14ac:dyDescent="0.45">
      <c r="P102" s="20" t="s">
        <v>1200</v>
      </c>
      <c r="R102">
        <v>1</v>
      </c>
      <c r="V102">
        <v>1</v>
      </c>
    </row>
    <row r="103" spans="16:22" x14ac:dyDescent="0.45">
      <c r="P103" s="20" t="s">
        <v>173</v>
      </c>
      <c r="T103">
        <v>6</v>
      </c>
      <c r="V103">
        <v>6</v>
      </c>
    </row>
    <row r="104" spans="16:22" x14ac:dyDescent="0.45">
      <c r="P104" s="20" t="s">
        <v>268</v>
      </c>
      <c r="U104">
        <v>3</v>
      </c>
      <c r="V104">
        <v>3</v>
      </c>
    </row>
    <row r="105" spans="16:22" x14ac:dyDescent="0.45">
      <c r="P105" s="20" t="s">
        <v>1293</v>
      </c>
      <c r="R105">
        <v>1</v>
      </c>
      <c r="V105">
        <v>1</v>
      </c>
    </row>
    <row r="106" spans="16:22" x14ac:dyDescent="0.45">
      <c r="P106" s="20" t="s">
        <v>1442</v>
      </c>
      <c r="R106">
        <v>1</v>
      </c>
      <c r="V106">
        <v>1</v>
      </c>
    </row>
    <row r="107" spans="16:22" x14ac:dyDescent="0.45">
      <c r="P107" s="20" t="s">
        <v>876</v>
      </c>
      <c r="R107">
        <v>1</v>
      </c>
      <c r="V107">
        <v>1</v>
      </c>
    </row>
    <row r="108" spans="16:22" x14ac:dyDescent="0.45">
      <c r="P108" s="20" t="s">
        <v>883</v>
      </c>
      <c r="R108">
        <v>1</v>
      </c>
      <c r="V108">
        <v>1</v>
      </c>
    </row>
    <row r="109" spans="16:22" x14ac:dyDescent="0.45">
      <c r="P109" s="20" t="s">
        <v>326</v>
      </c>
      <c r="T109">
        <v>2</v>
      </c>
      <c r="V109">
        <v>2</v>
      </c>
    </row>
    <row r="110" spans="16:22" x14ac:dyDescent="0.45">
      <c r="P110" s="20" t="s">
        <v>1449</v>
      </c>
      <c r="R110">
        <v>1</v>
      </c>
      <c r="V110">
        <v>1</v>
      </c>
    </row>
    <row r="111" spans="16:22" x14ac:dyDescent="0.45">
      <c r="P111" s="20" t="s">
        <v>1274</v>
      </c>
      <c r="R111">
        <v>1</v>
      </c>
      <c r="V111">
        <v>1</v>
      </c>
    </row>
    <row r="112" spans="16:22" x14ac:dyDescent="0.45">
      <c r="P112" s="20" t="s">
        <v>110</v>
      </c>
      <c r="R112">
        <v>1</v>
      </c>
      <c r="T112">
        <v>2</v>
      </c>
      <c r="U112">
        <v>1</v>
      </c>
      <c r="V112">
        <v>4</v>
      </c>
    </row>
    <row r="113" spans="16:22" x14ac:dyDescent="0.45">
      <c r="P113" s="20" t="s">
        <v>1399</v>
      </c>
      <c r="R113">
        <v>1</v>
      </c>
      <c r="V113">
        <v>1</v>
      </c>
    </row>
    <row r="114" spans="16:22" x14ac:dyDescent="0.45">
      <c r="P114" s="20" t="s">
        <v>629</v>
      </c>
      <c r="R114">
        <v>1</v>
      </c>
      <c r="V114">
        <v>1</v>
      </c>
    </row>
    <row r="115" spans="16:22" x14ac:dyDescent="0.45">
      <c r="P115" s="20" t="s">
        <v>1361</v>
      </c>
      <c r="R115">
        <v>1</v>
      </c>
      <c r="V115">
        <v>1</v>
      </c>
    </row>
    <row r="116" spans="16:22" x14ac:dyDescent="0.45">
      <c r="P116" s="20" t="s">
        <v>1026</v>
      </c>
      <c r="R116">
        <v>1</v>
      </c>
      <c r="V116">
        <v>1</v>
      </c>
    </row>
    <row r="117" spans="16:22" x14ac:dyDescent="0.45">
      <c r="P117" s="20" t="s">
        <v>1240</v>
      </c>
      <c r="R117">
        <v>1</v>
      </c>
      <c r="V117">
        <v>1</v>
      </c>
    </row>
    <row r="118" spans="16:22" x14ac:dyDescent="0.45">
      <c r="P118" s="20" t="s">
        <v>730</v>
      </c>
      <c r="R118">
        <v>1</v>
      </c>
      <c r="V118">
        <v>1</v>
      </c>
    </row>
    <row r="119" spans="16:22" x14ac:dyDescent="0.45">
      <c r="P119" s="20" t="s">
        <v>123</v>
      </c>
      <c r="U119">
        <v>1</v>
      </c>
      <c r="V119">
        <v>1</v>
      </c>
    </row>
    <row r="120" spans="16:22" x14ac:dyDescent="0.45">
      <c r="P120" s="20" t="s">
        <v>1060</v>
      </c>
      <c r="R120">
        <v>1</v>
      </c>
      <c r="V120">
        <v>1</v>
      </c>
    </row>
    <row r="121" spans="16:22" x14ac:dyDescent="0.45">
      <c r="P121" s="20" t="s">
        <v>1388</v>
      </c>
      <c r="R121">
        <v>1</v>
      </c>
      <c r="V121">
        <v>1</v>
      </c>
    </row>
    <row r="122" spans="16:22" x14ac:dyDescent="0.45">
      <c r="P122" s="20" t="s">
        <v>404</v>
      </c>
      <c r="R122">
        <v>3</v>
      </c>
      <c r="U122">
        <v>2</v>
      </c>
      <c r="V122">
        <v>5</v>
      </c>
    </row>
    <row r="123" spans="16:22" x14ac:dyDescent="0.45">
      <c r="P123" s="20" t="s">
        <v>171</v>
      </c>
      <c r="R123">
        <v>2</v>
      </c>
      <c r="S123">
        <v>1</v>
      </c>
      <c r="V123">
        <v>3</v>
      </c>
    </row>
    <row r="124" spans="16:22" x14ac:dyDescent="0.45">
      <c r="P124" s="20" t="s">
        <v>68</v>
      </c>
      <c r="R124">
        <v>1</v>
      </c>
      <c r="S124">
        <v>1</v>
      </c>
      <c r="U124">
        <v>2</v>
      </c>
      <c r="V124">
        <v>4</v>
      </c>
    </row>
    <row r="125" spans="16:22" x14ac:dyDescent="0.45">
      <c r="P125" s="20" t="s">
        <v>232</v>
      </c>
      <c r="S125">
        <v>2</v>
      </c>
      <c r="T125">
        <v>3</v>
      </c>
      <c r="U125">
        <v>1</v>
      </c>
      <c r="V125">
        <v>6</v>
      </c>
    </row>
    <row r="126" spans="16:22" x14ac:dyDescent="0.45">
      <c r="P126" s="20" t="s">
        <v>22</v>
      </c>
      <c r="R126">
        <v>1</v>
      </c>
      <c r="V126">
        <v>1</v>
      </c>
    </row>
    <row r="127" spans="16:22" x14ac:dyDescent="0.45">
      <c r="P127" s="20" t="s">
        <v>72</v>
      </c>
      <c r="S127">
        <v>1</v>
      </c>
      <c r="T127">
        <v>1</v>
      </c>
      <c r="V127">
        <v>2</v>
      </c>
    </row>
    <row r="128" spans="16:22" x14ac:dyDescent="0.45">
      <c r="P128" s="20" t="s">
        <v>535</v>
      </c>
      <c r="R128">
        <v>1</v>
      </c>
      <c r="V128">
        <v>1</v>
      </c>
    </row>
    <row r="129" spans="16:22" x14ac:dyDescent="0.45">
      <c r="P129" s="20" t="s">
        <v>911</v>
      </c>
      <c r="R129">
        <v>1</v>
      </c>
      <c r="V129">
        <v>1</v>
      </c>
    </row>
    <row r="130" spans="16:22" x14ac:dyDescent="0.45">
      <c r="P130" s="20" t="s">
        <v>811</v>
      </c>
      <c r="R130">
        <v>1</v>
      </c>
      <c r="V130">
        <v>1</v>
      </c>
    </row>
    <row r="131" spans="16:22" x14ac:dyDescent="0.45">
      <c r="P131" s="20" t="s">
        <v>375</v>
      </c>
      <c r="R131">
        <v>2</v>
      </c>
      <c r="V131">
        <v>2</v>
      </c>
    </row>
    <row r="132" spans="16:22" x14ac:dyDescent="0.45">
      <c r="P132" s="20" t="s">
        <v>1308</v>
      </c>
      <c r="R132">
        <v>1</v>
      </c>
      <c r="V132">
        <v>1</v>
      </c>
    </row>
    <row r="133" spans="16:22" x14ac:dyDescent="0.45">
      <c r="P133" s="20" t="s">
        <v>426</v>
      </c>
      <c r="U133">
        <v>1</v>
      </c>
      <c r="V133">
        <v>1</v>
      </c>
    </row>
    <row r="134" spans="16:22" x14ac:dyDescent="0.45">
      <c r="P134" s="20" t="s">
        <v>627</v>
      </c>
      <c r="R134">
        <v>1</v>
      </c>
      <c r="V134">
        <v>1</v>
      </c>
    </row>
    <row r="135" spans="16:22" x14ac:dyDescent="0.45">
      <c r="P135" s="20" t="s">
        <v>1405</v>
      </c>
      <c r="R135">
        <v>1</v>
      </c>
      <c r="V135">
        <v>1</v>
      </c>
    </row>
    <row r="136" spans="16:22" x14ac:dyDescent="0.45">
      <c r="P136" s="20" t="s">
        <v>1277</v>
      </c>
      <c r="R136">
        <v>1</v>
      </c>
      <c r="V136">
        <v>1</v>
      </c>
    </row>
    <row r="137" spans="16:22" x14ac:dyDescent="0.45">
      <c r="P137" s="20" t="s">
        <v>194</v>
      </c>
      <c r="U137">
        <v>2</v>
      </c>
      <c r="V137">
        <v>2</v>
      </c>
    </row>
    <row r="138" spans="16:22" x14ac:dyDescent="0.45">
      <c r="P138" s="20" t="s">
        <v>49</v>
      </c>
      <c r="U138">
        <v>2</v>
      </c>
      <c r="V138">
        <v>2</v>
      </c>
    </row>
    <row r="139" spans="16:22" x14ac:dyDescent="0.45">
      <c r="P139" s="20" t="s">
        <v>155</v>
      </c>
      <c r="U139">
        <v>1</v>
      </c>
      <c r="V139">
        <v>1</v>
      </c>
    </row>
    <row r="140" spans="16:22" x14ac:dyDescent="0.45">
      <c r="P140" s="20" t="s">
        <v>408</v>
      </c>
      <c r="R140">
        <v>2</v>
      </c>
      <c r="V140">
        <v>2</v>
      </c>
    </row>
    <row r="141" spans="16:22" x14ac:dyDescent="0.45">
      <c r="P141" s="20" t="s">
        <v>39</v>
      </c>
      <c r="R141">
        <v>3</v>
      </c>
      <c r="V141">
        <v>3</v>
      </c>
    </row>
    <row r="142" spans="16:22" x14ac:dyDescent="0.45">
      <c r="P142" s="20" t="s">
        <v>179</v>
      </c>
      <c r="R142">
        <v>2</v>
      </c>
      <c r="V142">
        <v>2</v>
      </c>
    </row>
    <row r="143" spans="16:22" x14ac:dyDescent="0.45">
      <c r="P143" s="20" t="s">
        <v>278</v>
      </c>
      <c r="R143">
        <v>1</v>
      </c>
      <c r="V143">
        <v>1</v>
      </c>
    </row>
    <row r="144" spans="16:22" x14ac:dyDescent="0.45">
      <c r="P144" s="20" t="s">
        <v>345</v>
      </c>
      <c r="T144">
        <v>1</v>
      </c>
      <c r="V144">
        <v>1</v>
      </c>
    </row>
    <row r="145" spans="16:22" x14ac:dyDescent="0.45">
      <c r="P145" s="20" t="s">
        <v>1190</v>
      </c>
      <c r="R145">
        <v>1</v>
      </c>
      <c r="V145">
        <v>1</v>
      </c>
    </row>
    <row r="146" spans="16:22" x14ac:dyDescent="0.45">
      <c r="P146" s="20" t="s">
        <v>1294</v>
      </c>
      <c r="R146">
        <v>1</v>
      </c>
      <c r="V146">
        <v>1</v>
      </c>
    </row>
    <row r="147" spans="16:22" x14ac:dyDescent="0.45">
      <c r="P147" s="20" t="s">
        <v>188</v>
      </c>
      <c r="R147">
        <v>1</v>
      </c>
      <c r="V147">
        <v>1</v>
      </c>
    </row>
    <row r="148" spans="16:22" x14ac:dyDescent="0.45">
      <c r="P148" s="20" t="s">
        <v>1247</v>
      </c>
      <c r="R148">
        <v>1</v>
      </c>
      <c r="V148">
        <v>1</v>
      </c>
    </row>
    <row r="149" spans="16:22" x14ac:dyDescent="0.45">
      <c r="P149" s="20" t="s">
        <v>374</v>
      </c>
      <c r="S149">
        <v>1</v>
      </c>
      <c r="V149">
        <v>1</v>
      </c>
    </row>
    <row r="150" spans="16:22" x14ac:dyDescent="0.45">
      <c r="P150" s="20" t="s">
        <v>495</v>
      </c>
      <c r="R150">
        <v>1</v>
      </c>
      <c r="V150">
        <v>1</v>
      </c>
    </row>
    <row r="151" spans="16:22" x14ac:dyDescent="0.45">
      <c r="P151" s="20" t="s">
        <v>1144</v>
      </c>
      <c r="R151">
        <v>1</v>
      </c>
      <c r="V151">
        <v>1</v>
      </c>
    </row>
    <row r="152" spans="16:22" x14ac:dyDescent="0.45">
      <c r="P152" s="20" t="s">
        <v>82</v>
      </c>
      <c r="U152">
        <v>2</v>
      </c>
      <c r="V152">
        <v>2</v>
      </c>
    </row>
    <row r="153" spans="16:22" x14ac:dyDescent="0.45">
      <c r="P153" s="20" t="s">
        <v>429</v>
      </c>
      <c r="T153">
        <v>1</v>
      </c>
      <c r="V153">
        <v>1</v>
      </c>
    </row>
    <row r="154" spans="16:22" x14ac:dyDescent="0.45">
      <c r="P154" s="20" t="s">
        <v>239</v>
      </c>
      <c r="T154">
        <v>2</v>
      </c>
      <c r="V154">
        <v>2</v>
      </c>
    </row>
    <row r="155" spans="16:22" x14ac:dyDescent="0.45">
      <c r="P155" s="20" t="s">
        <v>251</v>
      </c>
      <c r="R155">
        <v>1</v>
      </c>
      <c r="S155">
        <v>2</v>
      </c>
      <c r="V155">
        <v>3</v>
      </c>
    </row>
    <row r="156" spans="16:22" x14ac:dyDescent="0.45">
      <c r="P156" s="20" t="s">
        <v>1447</v>
      </c>
      <c r="R156">
        <v>1</v>
      </c>
      <c r="V156">
        <v>1</v>
      </c>
    </row>
    <row r="157" spans="16:22" x14ac:dyDescent="0.45">
      <c r="P157" s="20" t="s">
        <v>601</v>
      </c>
      <c r="R157">
        <v>1</v>
      </c>
      <c r="V157">
        <v>1</v>
      </c>
    </row>
    <row r="158" spans="16:22" x14ac:dyDescent="0.45">
      <c r="P158" s="20" t="s">
        <v>226</v>
      </c>
      <c r="T158">
        <v>3</v>
      </c>
      <c r="U158">
        <v>3</v>
      </c>
      <c r="V158">
        <v>6</v>
      </c>
    </row>
    <row r="159" spans="16:22" x14ac:dyDescent="0.45">
      <c r="P159" s="20" t="s">
        <v>320</v>
      </c>
      <c r="S159">
        <v>1</v>
      </c>
      <c r="U159">
        <v>1</v>
      </c>
      <c r="V159">
        <v>2</v>
      </c>
    </row>
    <row r="160" spans="16:22" x14ac:dyDescent="0.45">
      <c r="P160" s="20" t="s">
        <v>1148</v>
      </c>
      <c r="R160">
        <v>1</v>
      </c>
      <c r="V160">
        <v>1</v>
      </c>
    </row>
    <row r="161" spans="16:22" x14ac:dyDescent="0.45">
      <c r="P161" s="20" t="s">
        <v>272</v>
      </c>
      <c r="U161">
        <v>1</v>
      </c>
      <c r="V161">
        <v>1</v>
      </c>
    </row>
    <row r="162" spans="16:22" x14ac:dyDescent="0.45">
      <c r="P162" s="20" t="s">
        <v>37</v>
      </c>
      <c r="R162">
        <v>2</v>
      </c>
      <c r="S162">
        <v>1</v>
      </c>
      <c r="T162">
        <v>1</v>
      </c>
      <c r="V162">
        <v>4</v>
      </c>
    </row>
    <row r="163" spans="16:22" x14ac:dyDescent="0.45">
      <c r="P163" s="20" t="s">
        <v>269</v>
      </c>
      <c r="R163">
        <v>1</v>
      </c>
      <c r="T163">
        <v>1</v>
      </c>
      <c r="U163">
        <v>1</v>
      </c>
      <c r="V163">
        <v>3</v>
      </c>
    </row>
    <row r="164" spans="16:22" x14ac:dyDescent="0.45">
      <c r="P164" s="20" t="s">
        <v>1213</v>
      </c>
      <c r="R164">
        <v>1</v>
      </c>
      <c r="V164">
        <v>1</v>
      </c>
    </row>
    <row r="165" spans="16:22" x14ac:dyDescent="0.45">
      <c r="P165" s="20" t="s">
        <v>265</v>
      </c>
      <c r="R165">
        <v>1</v>
      </c>
      <c r="V165">
        <v>1</v>
      </c>
    </row>
    <row r="166" spans="16:22" x14ac:dyDescent="0.45">
      <c r="P166" s="20" t="s">
        <v>565</v>
      </c>
      <c r="R166">
        <v>1</v>
      </c>
      <c r="V166">
        <v>1</v>
      </c>
    </row>
    <row r="167" spans="16:22" x14ac:dyDescent="0.45">
      <c r="P167" s="20" t="s">
        <v>570</v>
      </c>
      <c r="R167">
        <v>1</v>
      </c>
      <c r="V167">
        <v>1</v>
      </c>
    </row>
    <row r="168" spans="16:22" x14ac:dyDescent="0.45">
      <c r="P168" s="20" t="s">
        <v>774</v>
      </c>
      <c r="R168">
        <v>1</v>
      </c>
      <c r="V168">
        <v>1</v>
      </c>
    </row>
    <row r="169" spans="16:22" x14ac:dyDescent="0.45">
      <c r="P169" s="20" t="s">
        <v>1414</v>
      </c>
      <c r="R169">
        <v>1</v>
      </c>
      <c r="V169">
        <v>1</v>
      </c>
    </row>
    <row r="170" spans="16:22" x14ac:dyDescent="0.45">
      <c r="P170" s="20" t="s">
        <v>761</v>
      </c>
      <c r="R170">
        <v>1</v>
      </c>
      <c r="V170">
        <v>1</v>
      </c>
    </row>
    <row r="171" spans="16:22" x14ac:dyDescent="0.45">
      <c r="P171" s="20" t="s">
        <v>1317</v>
      </c>
      <c r="R171">
        <v>1</v>
      </c>
      <c r="V171">
        <v>1</v>
      </c>
    </row>
    <row r="172" spans="16:22" x14ac:dyDescent="0.45">
      <c r="P172" s="20" t="s">
        <v>1068</v>
      </c>
      <c r="R172">
        <v>1</v>
      </c>
      <c r="V172">
        <v>1</v>
      </c>
    </row>
    <row r="173" spans="16:22" x14ac:dyDescent="0.45">
      <c r="P173" s="20" t="s">
        <v>230</v>
      </c>
      <c r="S173">
        <v>5</v>
      </c>
      <c r="V173">
        <v>5</v>
      </c>
    </row>
    <row r="174" spans="16:22" x14ac:dyDescent="0.45">
      <c r="P174" s="20" t="s">
        <v>998</v>
      </c>
      <c r="R174">
        <v>1</v>
      </c>
      <c r="V174">
        <v>1</v>
      </c>
    </row>
    <row r="175" spans="16:22" x14ac:dyDescent="0.45">
      <c r="P175" s="20" t="s">
        <v>859</v>
      </c>
      <c r="R175">
        <v>1</v>
      </c>
      <c r="V175">
        <v>1</v>
      </c>
    </row>
    <row r="176" spans="16:22" x14ac:dyDescent="0.45">
      <c r="P176" s="20" t="s">
        <v>986</v>
      </c>
      <c r="R176">
        <v>1</v>
      </c>
      <c r="V176">
        <v>1</v>
      </c>
    </row>
    <row r="177" spans="16:22" x14ac:dyDescent="0.45">
      <c r="P177" s="20" t="s">
        <v>510</v>
      </c>
      <c r="R177">
        <v>1</v>
      </c>
      <c r="V177">
        <v>1</v>
      </c>
    </row>
    <row r="178" spans="16:22" x14ac:dyDescent="0.45">
      <c r="P178" s="20" t="s">
        <v>985</v>
      </c>
      <c r="R178">
        <v>1</v>
      </c>
      <c r="V178">
        <v>1</v>
      </c>
    </row>
    <row r="179" spans="16:22" x14ac:dyDescent="0.45">
      <c r="P179" s="20" t="s">
        <v>954</v>
      </c>
      <c r="R179">
        <v>1</v>
      </c>
      <c r="V179">
        <v>1</v>
      </c>
    </row>
    <row r="180" spans="16:22" x14ac:dyDescent="0.45">
      <c r="P180" s="20" t="s">
        <v>1062</v>
      </c>
      <c r="R180">
        <v>1</v>
      </c>
      <c r="V180">
        <v>1</v>
      </c>
    </row>
    <row r="181" spans="16:22" x14ac:dyDescent="0.45">
      <c r="P181" s="20" t="s">
        <v>370</v>
      </c>
      <c r="R181">
        <v>3</v>
      </c>
      <c r="V181">
        <v>3</v>
      </c>
    </row>
    <row r="182" spans="16:22" x14ac:dyDescent="0.45">
      <c r="P182" s="20" t="s">
        <v>987</v>
      </c>
      <c r="R182">
        <v>1</v>
      </c>
      <c r="V182">
        <v>1</v>
      </c>
    </row>
    <row r="183" spans="16:22" x14ac:dyDescent="0.45">
      <c r="P183" s="20" t="s">
        <v>1431</v>
      </c>
      <c r="R183">
        <v>1</v>
      </c>
      <c r="V183">
        <v>1</v>
      </c>
    </row>
    <row r="184" spans="16:22" x14ac:dyDescent="0.45">
      <c r="P184" s="20" t="s">
        <v>728</v>
      </c>
      <c r="R184">
        <v>1</v>
      </c>
      <c r="V184">
        <v>1</v>
      </c>
    </row>
    <row r="185" spans="16:22" x14ac:dyDescent="0.45">
      <c r="P185" s="20" t="s">
        <v>673</v>
      </c>
      <c r="R185">
        <v>1</v>
      </c>
      <c r="V185">
        <v>1</v>
      </c>
    </row>
    <row r="186" spans="16:22" x14ac:dyDescent="0.45">
      <c r="P186" s="20" t="s">
        <v>1008</v>
      </c>
      <c r="R186">
        <v>1</v>
      </c>
      <c r="V186">
        <v>1</v>
      </c>
    </row>
    <row r="187" spans="16:22" x14ac:dyDescent="0.45">
      <c r="P187" s="20" t="s">
        <v>1358</v>
      </c>
      <c r="R187">
        <v>1</v>
      </c>
      <c r="V187">
        <v>1</v>
      </c>
    </row>
    <row r="188" spans="16:22" x14ac:dyDescent="0.45">
      <c r="P188" s="20" t="s">
        <v>189</v>
      </c>
      <c r="R188">
        <v>3</v>
      </c>
      <c r="S188">
        <v>1</v>
      </c>
      <c r="U188">
        <v>2</v>
      </c>
      <c r="V188">
        <v>6</v>
      </c>
    </row>
    <row r="189" spans="16:22" x14ac:dyDescent="0.45">
      <c r="P189" s="20" t="s">
        <v>779</v>
      </c>
      <c r="R189">
        <v>1</v>
      </c>
      <c r="V189">
        <v>1</v>
      </c>
    </row>
    <row r="190" spans="16:22" x14ac:dyDescent="0.45">
      <c r="P190" s="20" t="s">
        <v>1087</v>
      </c>
      <c r="R190">
        <v>1</v>
      </c>
      <c r="V190">
        <v>1</v>
      </c>
    </row>
    <row r="191" spans="16:22" x14ac:dyDescent="0.45">
      <c r="P191" s="20" t="s">
        <v>1050</v>
      </c>
      <c r="R191">
        <v>1</v>
      </c>
      <c r="V191">
        <v>1</v>
      </c>
    </row>
    <row r="192" spans="16:22" x14ac:dyDescent="0.45">
      <c r="P192" s="20" t="s">
        <v>604</v>
      </c>
      <c r="R192">
        <v>1</v>
      </c>
      <c r="V192">
        <v>1</v>
      </c>
    </row>
    <row r="193" spans="16:22" x14ac:dyDescent="0.45">
      <c r="P193" s="20" t="s">
        <v>738</v>
      </c>
      <c r="R193">
        <v>1</v>
      </c>
      <c r="V193">
        <v>1</v>
      </c>
    </row>
    <row r="194" spans="16:22" x14ac:dyDescent="0.45">
      <c r="P194" s="20" t="s">
        <v>508</v>
      </c>
      <c r="R194">
        <v>1</v>
      </c>
      <c r="V194">
        <v>1</v>
      </c>
    </row>
    <row r="195" spans="16:22" x14ac:dyDescent="0.45">
      <c r="P195" s="20" t="s">
        <v>1181</v>
      </c>
      <c r="R195">
        <v>1</v>
      </c>
      <c r="V195">
        <v>1</v>
      </c>
    </row>
    <row r="196" spans="16:22" x14ac:dyDescent="0.45">
      <c r="P196" s="20" t="s">
        <v>1197</v>
      </c>
      <c r="S196">
        <v>1</v>
      </c>
      <c r="V196">
        <v>1</v>
      </c>
    </row>
    <row r="197" spans="16:22" x14ac:dyDescent="0.45">
      <c r="P197" s="20" t="s">
        <v>1152</v>
      </c>
      <c r="R197">
        <v>1</v>
      </c>
      <c r="V197">
        <v>1</v>
      </c>
    </row>
    <row r="198" spans="16:22" x14ac:dyDescent="0.45">
      <c r="P198" s="20" t="s">
        <v>863</v>
      </c>
      <c r="R198">
        <v>1</v>
      </c>
      <c r="V198">
        <v>1</v>
      </c>
    </row>
    <row r="199" spans="16:22" x14ac:dyDescent="0.45">
      <c r="P199" s="20" t="s">
        <v>823</v>
      </c>
      <c r="R199">
        <v>1</v>
      </c>
      <c r="V199">
        <v>1</v>
      </c>
    </row>
    <row r="200" spans="16:22" x14ac:dyDescent="0.45">
      <c r="P200" s="20" t="s">
        <v>1290</v>
      </c>
      <c r="R200">
        <v>1</v>
      </c>
      <c r="V200">
        <v>1</v>
      </c>
    </row>
    <row r="201" spans="16:22" x14ac:dyDescent="0.45">
      <c r="P201" s="20" t="s">
        <v>430</v>
      </c>
      <c r="U201">
        <v>2</v>
      </c>
      <c r="V201">
        <v>2</v>
      </c>
    </row>
    <row r="202" spans="16:22" x14ac:dyDescent="0.45">
      <c r="P202" s="20" t="s">
        <v>800</v>
      </c>
      <c r="R202">
        <v>1</v>
      </c>
      <c r="V202">
        <v>1</v>
      </c>
    </row>
    <row r="203" spans="16:22" x14ac:dyDescent="0.45">
      <c r="P203" s="20" t="s">
        <v>328</v>
      </c>
      <c r="U203">
        <v>1</v>
      </c>
      <c r="V203">
        <v>1</v>
      </c>
    </row>
    <row r="204" spans="16:22" x14ac:dyDescent="0.45">
      <c r="P204" s="20" t="s">
        <v>323</v>
      </c>
      <c r="S204">
        <v>1</v>
      </c>
      <c r="V204">
        <v>1</v>
      </c>
    </row>
    <row r="205" spans="16:22" x14ac:dyDescent="0.45">
      <c r="P205" s="20" t="s">
        <v>540</v>
      </c>
      <c r="R205">
        <v>1</v>
      </c>
      <c r="V205">
        <v>1</v>
      </c>
    </row>
    <row r="206" spans="16:22" x14ac:dyDescent="0.45">
      <c r="P206" s="20" t="s">
        <v>541</v>
      </c>
      <c r="R206">
        <v>1</v>
      </c>
      <c r="V206">
        <v>1</v>
      </c>
    </row>
    <row r="207" spans="16:22" x14ac:dyDescent="0.45">
      <c r="P207" s="20" t="s">
        <v>763</v>
      </c>
      <c r="R207">
        <v>1</v>
      </c>
      <c r="V207">
        <v>1</v>
      </c>
    </row>
    <row r="208" spans="16:22" x14ac:dyDescent="0.45">
      <c r="P208" s="20" t="s">
        <v>1407</v>
      </c>
      <c r="R208">
        <v>1</v>
      </c>
      <c r="V208">
        <v>1</v>
      </c>
    </row>
    <row r="209" spans="16:22" x14ac:dyDescent="0.45">
      <c r="P209" s="20" t="s">
        <v>276</v>
      </c>
      <c r="T209">
        <v>2</v>
      </c>
      <c r="V209">
        <v>2</v>
      </c>
    </row>
    <row r="210" spans="16:22" x14ac:dyDescent="0.45">
      <c r="P210" s="20" t="s">
        <v>1457</v>
      </c>
      <c r="R210">
        <v>1</v>
      </c>
      <c r="V210">
        <v>1</v>
      </c>
    </row>
    <row r="211" spans="16:22" x14ac:dyDescent="0.45">
      <c r="P211" s="20" t="s">
        <v>836</v>
      </c>
      <c r="R211">
        <v>1</v>
      </c>
      <c r="V211">
        <v>1</v>
      </c>
    </row>
    <row r="212" spans="16:22" x14ac:dyDescent="0.45">
      <c r="P212" s="20" t="s">
        <v>614</v>
      </c>
      <c r="R212">
        <v>1</v>
      </c>
      <c r="V212">
        <v>1</v>
      </c>
    </row>
    <row r="213" spans="16:22" x14ac:dyDescent="0.45">
      <c r="P213" s="20" t="s">
        <v>803</v>
      </c>
      <c r="R213">
        <v>1</v>
      </c>
      <c r="V213">
        <v>1</v>
      </c>
    </row>
    <row r="214" spans="16:22" x14ac:dyDescent="0.45">
      <c r="P214" s="20" t="s">
        <v>1434</v>
      </c>
      <c r="R214">
        <v>1</v>
      </c>
      <c r="V214">
        <v>1</v>
      </c>
    </row>
    <row r="215" spans="16:22" x14ac:dyDescent="0.45">
      <c r="P215" s="20" t="s">
        <v>887</v>
      </c>
      <c r="R215">
        <v>1</v>
      </c>
      <c r="V215">
        <v>1</v>
      </c>
    </row>
    <row r="216" spans="16:22" x14ac:dyDescent="0.45">
      <c r="P216" s="20" t="s">
        <v>676</v>
      </c>
      <c r="R216">
        <v>1</v>
      </c>
      <c r="V216">
        <v>1</v>
      </c>
    </row>
    <row r="217" spans="16:22" x14ac:dyDescent="0.45">
      <c r="P217" s="20" t="s">
        <v>662</v>
      </c>
      <c r="R217">
        <v>1</v>
      </c>
      <c r="V217">
        <v>1</v>
      </c>
    </row>
    <row r="218" spans="16:22" x14ac:dyDescent="0.45">
      <c r="P218" s="20" t="s">
        <v>1180</v>
      </c>
      <c r="R218">
        <v>1</v>
      </c>
      <c r="V218">
        <v>1</v>
      </c>
    </row>
    <row r="219" spans="16:22" x14ac:dyDescent="0.45">
      <c r="P219" s="20" t="s">
        <v>65</v>
      </c>
      <c r="T219">
        <v>1</v>
      </c>
      <c r="V219">
        <v>1</v>
      </c>
    </row>
    <row r="220" spans="16:22" x14ac:dyDescent="0.45">
      <c r="P220" s="20" t="s">
        <v>1411</v>
      </c>
      <c r="R220">
        <v>1</v>
      </c>
      <c r="V220">
        <v>1</v>
      </c>
    </row>
    <row r="221" spans="16:22" x14ac:dyDescent="0.45">
      <c r="P221" s="20" t="s">
        <v>58</v>
      </c>
      <c r="R221">
        <v>2</v>
      </c>
      <c r="T221">
        <v>1</v>
      </c>
      <c r="V221">
        <v>3</v>
      </c>
    </row>
    <row r="222" spans="16:22" x14ac:dyDescent="0.45">
      <c r="P222" s="20" t="s">
        <v>708</v>
      </c>
      <c r="R222">
        <v>1</v>
      </c>
      <c r="V222">
        <v>1</v>
      </c>
    </row>
    <row r="223" spans="16:22" x14ac:dyDescent="0.45">
      <c r="P223" s="20" t="s">
        <v>78</v>
      </c>
      <c r="T223">
        <v>2</v>
      </c>
      <c r="V223">
        <v>2</v>
      </c>
    </row>
    <row r="224" spans="16:22" x14ac:dyDescent="0.45">
      <c r="P224" s="20" t="s">
        <v>597</v>
      </c>
      <c r="R224">
        <v>1</v>
      </c>
      <c r="V224">
        <v>1</v>
      </c>
    </row>
    <row r="225" spans="16:22" x14ac:dyDescent="0.45">
      <c r="P225" s="20" t="s">
        <v>160</v>
      </c>
      <c r="S225">
        <v>1</v>
      </c>
      <c r="T225">
        <v>2</v>
      </c>
      <c r="V225">
        <v>3</v>
      </c>
    </row>
    <row r="226" spans="16:22" x14ac:dyDescent="0.45">
      <c r="P226" s="20" t="s">
        <v>367</v>
      </c>
      <c r="S226">
        <v>2</v>
      </c>
      <c r="V226">
        <v>2</v>
      </c>
    </row>
    <row r="227" spans="16:22" x14ac:dyDescent="0.45">
      <c r="P227" s="20" t="s">
        <v>749</v>
      </c>
      <c r="R227">
        <v>1</v>
      </c>
      <c r="V227">
        <v>1</v>
      </c>
    </row>
    <row r="228" spans="16:22" x14ac:dyDescent="0.45">
      <c r="P228" s="20" t="s">
        <v>104</v>
      </c>
      <c r="U228">
        <v>2</v>
      </c>
      <c r="V228">
        <v>2</v>
      </c>
    </row>
    <row r="229" spans="16:22" x14ac:dyDescent="0.45">
      <c r="P229" s="20" t="s">
        <v>340</v>
      </c>
      <c r="R229">
        <v>4</v>
      </c>
      <c r="S229">
        <v>1</v>
      </c>
      <c r="V229">
        <v>5</v>
      </c>
    </row>
    <row r="230" spans="16:22" x14ac:dyDescent="0.45">
      <c r="P230" s="20" t="s">
        <v>73</v>
      </c>
      <c r="S230">
        <v>5</v>
      </c>
      <c r="V230">
        <v>5</v>
      </c>
    </row>
    <row r="231" spans="16:22" x14ac:dyDescent="0.45">
      <c r="P231" s="20" t="s">
        <v>969</v>
      </c>
      <c r="R231">
        <v>1</v>
      </c>
      <c r="V231">
        <v>1</v>
      </c>
    </row>
    <row r="232" spans="16:22" x14ac:dyDescent="0.45">
      <c r="P232" s="20" t="s">
        <v>787</v>
      </c>
      <c r="R232">
        <v>1</v>
      </c>
      <c r="V232">
        <v>1</v>
      </c>
    </row>
    <row r="233" spans="16:22" x14ac:dyDescent="0.45">
      <c r="P233" s="20" t="s">
        <v>704</v>
      </c>
      <c r="R233">
        <v>1</v>
      </c>
      <c r="V233">
        <v>1</v>
      </c>
    </row>
    <row r="234" spans="16:22" x14ac:dyDescent="0.45">
      <c r="P234" s="20" t="s">
        <v>215</v>
      </c>
      <c r="S234">
        <v>1</v>
      </c>
      <c r="V234">
        <v>1</v>
      </c>
    </row>
    <row r="235" spans="16:22" x14ac:dyDescent="0.45">
      <c r="P235" s="20" t="s">
        <v>151</v>
      </c>
      <c r="T235">
        <v>1</v>
      </c>
      <c r="V235">
        <v>1</v>
      </c>
    </row>
    <row r="236" spans="16:22" x14ac:dyDescent="0.45">
      <c r="P236" s="20" t="s">
        <v>959</v>
      </c>
      <c r="R236">
        <v>1</v>
      </c>
      <c r="V236">
        <v>1</v>
      </c>
    </row>
    <row r="237" spans="16:22" x14ac:dyDescent="0.45">
      <c r="P237" s="20" t="s">
        <v>1000</v>
      </c>
      <c r="R237">
        <v>1</v>
      </c>
      <c r="V237">
        <v>1</v>
      </c>
    </row>
    <row r="238" spans="16:22" x14ac:dyDescent="0.45">
      <c r="P238" s="20" t="s">
        <v>88</v>
      </c>
      <c r="S238">
        <v>2</v>
      </c>
      <c r="T238">
        <v>1</v>
      </c>
      <c r="V238">
        <v>3</v>
      </c>
    </row>
    <row r="239" spans="16:22" x14ac:dyDescent="0.45">
      <c r="P239" s="20" t="s">
        <v>1451</v>
      </c>
      <c r="R239">
        <v>1</v>
      </c>
      <c r="V239">
        <v>1</v>
      </c>
    </row>
    <row r="240" spans="16:22" x14ac:dyDescent="0.45">
      <c r="P240" s="20" t="s">
        <v>1099</v>
      </c>
      <c r="R240">
        <v>1</v>
      </c>
      <c r="V240">
        <v>1</v>
      </c>
    </row>
    <row r="241" spans="16:22" x14ac:dyDescent="0.45">
      <c r="P241" s="20" t="s">
        <v>1282</v>
      </c>
      <c r="R241">
        <v>1</v>
      </c>
      <c r="V241">
        <v>1</v>
      </c>
    </row>
    <row r="242" spans="16:22" x14ac:dyDescent="0.45">
      <c r="P242" s="20" t="s">
        <v>284</v>
      </c>
      <c r="R242">
        <v>4</v>
      </c>
      <c r="V242">
        <v>4</v>
      </c>
    </row>
    <row r="243" spans="16:22" x14ac:dyDescent="0.45">
      <c r="P243" s="20" t="s">
        <v>1269</v>
      </c>
      <c r="R243">
        <v>1</v>
      </c>
      <c r="V243">
        <v>1</v>
      </c>
    </row>
    <row r="244" spans="16:22" x14ac:dyDescent="0.45">
      <c r="P244" s="20" t="s">
        <v>767</v>
      </c>
      <c r="R244">
        <v>1</v>
      </c>
      <c r="V244">
        <v>1</v>
      </c>
    </row>
    <row r="245" spans="16:22" x14ac:dyDescent="0.45">
      <c r="P245" s="20" t="s">
        <v>942</v>
      </c>
      <c r="R245">
        <v>1</v>
      </c>
      <c r="V245">
        <v>1</v>
      </c>
    </row>
    <row r="246" spans="16:22" x14ac:dyDescent="0.45">
      <c r="P246" s="20" t="s">
        <v>1270</v>
      </c>
      <c r="R246">
        <v>1</v>
      </c>
      <c r="V246">
        <v>1</v>
      </c>
    </row>
    <row r="247" spans="16:22" x14ac:dyDescent="0.45">
      <c r="P247" s="20" t="s">
        <v>574</v>
      </c>
      <c r="R247">
        <v>1</v>
      </c>
      <c r="V247">
        <v>1</v>
      </c>
    </row>
    <row r="248" spans="16:22" x14ac:dyDescent="0.45">
      <c r="P248" s="20" t="s">
        <v>425</v>
      </c>
      <c r="T248">
        <v>1</v>
      </c>
      <c r="V248">
        <v>1</v>
      </c>
    </row>
    <row r="249" spans="16:22" x14ac:dyDescent="0.45">
      <c r="P249" s="20" t="s">
        <v>1121</v>
      </c>
      <c r="R249">
        <v>1</v>
      </c>
      <c r="V249">
        <v>1</v>
      </c>
    </row>
    <row r="250" spans="16:22" x14ac:dyDescent="0.45">
      <c r="P250" s="20" t="s">
        <v>606</v>
      </c>
      <c r="R250">
        <v>1</v>
      </c>
      <c r="V250">
        <v>1</v>
      </c>
    </row>
    <row r="251" spans="16:22" x14ac:dyDescent="0.45">
      <c r="P251" s="20" t="s">
        <v>257</v>
      </c>
      <c r="T251">
        <v>1</v>
      </c>
      <c r="V251">
        <v>1</v>
      </c>
    </row>
    <row r="252" spans="16:22" x14ac:dyDescent="0.45">
      <c r="P252" s="20" t="s">
        <v>1316</v>
      </c>
      <c r="R252">
        <v>1</v>
      </c>
      <c r="V252">
        <v>1</v>
      </c>
    </row>
    <row r="253" spans="16:22" x14ac:dyDescent="0.45">
      <c r="P253" s="20" t="s">
        <v>740</v>
      </c>
      <c r="R253">
        <v>1</v>
      </c>
      <c r="V253">
        <v>1</v>
      </c>
    </row>
    <row r="254" spans="16:22" x14ac:dyDescent="0.45">
      <c r="P254" s="20" t="s">
        <v>1373</v>
      </c>
      <c r="R254">
        <v>1</v>
      </c>
      <c r="V254">
        <v>1</v>
      </c>
    </row>
    <row r="255" spans="16:22" x14ac:dyDescent="0.45">
      <c r="P255" s="20" t="s">
        <v>651</v>
      </c>
      <c r="R255">
        <v>1</v>
      </c>
      <c r="V255">
        <v>1</v>
      </c>
    </row>
    <row r="256" spans="16:22" x14ac:dyDescent="0.45">
      <c r="P256" s="20" t="s">
        <v>469</v>
      </c>
      <c r="R256">
        <v>1</v>
      </c>
      <c r="V256">
        <v>1</v>
      </c>
    </row>
    <row r="257" spans="16:22" x14ac:dyDescent="0.45">
      <c r="P257" s="20" t="s">
        <v>1225</v>
      </c>
      <c r="R257">
        <v>1</v>
      </c>
      <c r="V257">
        <v>1</v>
      </c>
    </row>
    <row r="258" spans="16:22" x14ac:dyDescent="0.45">
      <c r="P258" s="20" t="s">
        <v>961</v>
      </c>
      <c r="R258">
        <v>1</v>
      </c>
      <c r="V258">
        <v>1</v>
      </c>
    </row>
    <row r="259" spans="16:22" x14ac:dyDescent="0.45">
      <c r="P259" s="20" t="s">
        <v>829</v>
      </c>
      <c r="R259">
        <v>1</v>
      </c>
      <c r="V259">
        <v>1</v>
      </c>
    </row>
    <row r="260" spans="16:22" x14ac:dyDescent="0.45">
      <c r="P260" s="20" t="s">
        <v>999</v>
      </c>
      <c r="R260">
        <v>1</v>
      </c>
      <c r="V260">
        <v>1</v>
      </c>
    </row>
    <row r="261" spans="16:22" x14ac:dyDescent="0.45">
      <c r="P261" s="20" t="s">
        <v>1413</v>
      </c>
      <c r="R261">
        <v>1</v>
      </c>
      <c r="V261">
        <v>1</v>
      </c>
    </row>
    <row r="262" spans="16:22" x14ac:dyDescent="0.45">
      <c r="P262" s="20" t="s">
        <v>1400</v>
      </c>
      <c r="R262">
        <v>1</v>
      </c>
      <c r="V262">
        <v>1</v>
      </c>
    </row>
    <row r="263" spans="16:22" x14ac:dyDescent="0.45">
      <c r="P263" s="20" t="s">
        <v>1443</v>
      </c>
      <c r="R263">
        <v>1</v>
      </c>
      <c r="V263">
        <v>1</v>
      </c>
    </row>
    <row r="264" spans="16:22" x14ac:dyDescent="0.45">
      <c r="P264" s="20" t="s">
        <v>343</v>
      </c>
      <c r="R264">
        <v>1</v>
      </c>
      <c r="V264">
        <v>1</v>
      </c>
    </row>
    <row r="265" spans="16:22" x14ac:dyDescent="0.45">
      <c r="P265" s="20" t="s">
        <v>319</v>
      </c>
      <c r="R265">
        <v>1</v>
      </c>
      <c r="U265">
        <v>2</v>
      </c>
      <c r="V265">
        <v>3</v>
      </c>
    </row>
    <row r="266" spans="16:22" x14ac:dyDescent="0.45">
      <c r="P266" s="20" t="s">
        <v>1402</v>
      </c>
      <c r="R266">
        <v>1</v>
      </c>
      <c r="V266">
        <v>1</v>
      </c>
    </row>
    <row r="267" spans="16:22" x14ac:dyDescent="0.45">
      <c r="P267" s="20" t="s">
        <v>281</v>
      </c>
      <c r="T267">
        <v>2</v>
      </c>
      <c r="V267">
        <v>2</v>
      </c>
    </row>
    <row r="268" spans="16:22" x14ac:dyDescent="0.45">
      <c r="P268" s="20" t="s">
        <v>532</v>
      </c>
      <c r="R268">
        <v>1</v>
      </c>
      <c r="V268">
        <v>1</v>
      </c>
    </row>
    <row r="269" spans="16:22" x14ac:dyDescent="0.45">
      <c r="P269" s="20" t="s">
        <v>812</v>
      </c>
      <c r="R269">
        <v>1</v>
      </c>
      <c r="V269">
        <v>1</v>
      </c>
    </row>
    <row r="270" spans="16:22" x14ac:dyDescent="0.45">
      <c r="P270" s="20" t="s">
        <v>368</v>
      </c>
      <c r="U270">
        <v>1</v>
      </c>
      <c r="V270">
        <v>1</v>
      </c>
    </row>
    <row r="271" spans="16:22" x14ac:dyDescent="0.45">
      <c r="P271" s="20" t="s">
        <v>512</v>
      </c>
      <c r="R271">
        <v>1</v>
      </c>
      <c r="V271">
        <v>1</v>
      </c>
    </row>
    <row r="272" spans="16:22" x14ac:dyDescent="0.45">
      <c r="P272" s="20" t="s">
        <v>1160</v>
      </c>
      <c r="R272">
        <v>1</v>
      </c>
      <c r="V272">
        <v>1</v>
      </c>
    </row>
    <row r="273" spans="16:22" x14ac:dyDescent="0.45">
      <c r="P273" s="20" t="s">
        <v>233</v>
      </c>
      <c r="R273">
        <v>1</v>
      </c>
      <c r="T273">
        <v>1</v>
      </c>
      <c r="V273">
        <v>2</v>
      </c>
    </row>
    <row r="274" spans="16:22" x14ac:dyDescent="0.45">
      <c r="P274" s="20" t="s">
        <v>1300</v>
      </c>
      <c r="R274">
        <v>1</v>
      </c>
      <c r="V274">
        <v>1</v>
      </c>
    </row>
    <row r="275" spans="16:22" x14ac:dyDescent="0.45">
      <c r="P275" s="20" t="s">
        <v>1178</v>
      </c>
      <c r="R275">
        <v>1</v>
      </c>
      <c r="V275">
        <v>1</v>
      </c>
    </row>
    <row r="276" spans="16:22" x14ac:dyDescent="0.45">
      <c r="P276" s="20" t="s">
        <v>322</v>
      </c>
      <c r="S276">
        <v>2</v>
      </c>
      <c r="V276">
        <v>2</v>
      </c>
    </row>
    <row r="277" spans="16:22" x14ac:dyDescent="0.45">
      <c r="P277" s="20" t="s">
        <v>1185</v>
      </c>
      <c r="R277">
        <v>1</v>
      </c>
      <c r="V277">
        <v>1</v>
      </c>
    </row>
    <row r="278" spans="16:22" x14ac:dyDescent="0.45">
      <c r="P278" s="20" t="s">
        <v>711</v>
      </c>
      <c r="R278">
        <v>1</v>
      </c>
      <c r="V278">
        <v>1</v>
      </c>
    </row>
    <row r="279" spans="16:22" x14ac:dyDescent="0.45">
      <c r="P279" s="20" t="s">
        <v>750</v>
      </c>
      <c r="R279">
        <v>1</v>
      </c>
      <c r="V279">
        <v>1</v>
      </c>
    </row>
    <row r="280" spans="16:22" x14ac:dyDescent="0.45">
      <c r="P280" s="20" t="s">
        <v>1104</v>
      </c>
      <c r="R280">
        <v>1</v>
      </c>
      <c r="V280">
        <v>1</v>
      </c>
    </row>
    <row r="281" spans="16:22" x14ac:dyDescent="0.45">
      <c r="P281" s="20" t="s">
        <v>240</v>
      </c>
      <c r="R281">
        <v>4</v>
      </c>
      <c r="S281">
        <v>1</v>
      </c>
      <c r="U281">
        <v>3</v>
      </c>
      <c r="V281">
        <v>8</v>
      </c>
    </row>
    <row r="282" spans="16:22" x14ac:dyDescent="0.45">
      <c r="P282" s="20" t="s">
        <v>660</v>
      </c>
      <c r="R282">
        <v>1</v>
      </c>
      <c r="V282">
        <v>1</v>
      </c>
    </row>
    <row r="283" spans="16:22" x14ac:dyDescent="0.45">
      <c r="P283" s="20" t="s">
        <v>1258</v>
      </c>
      <c r="R283">
        <v>1</v>
      </c>
      <c r="V283">
        <v>1</v>
      </c>
    </row>
    <row r="284" spans="16:22" x14ac:dyDescent="0.45">
      <c r="P284" s="20" t="s">
        <v>519</v>
      </c>
      <c r="R284">
        <v>1</v>
      </c>
      <c r="V284">
        <v>1</v>
      </c>
    </row>
    <row r="285" spans="16:22" x14ac:dyDescent="0.45">
      <c r="P285" s="20" t="s">
        <v>933</v>
      </c>
      <c r="R285">
        <v>1</v>
      </c>
      <c r="V285">
        <v>1</v>
      </c>
    </row>
    <row r="286" spans="16:22" x14ac:dyDescent="0.45">
      <c r="P286" s="20" t="s">
        <v>1076</v>
      </c>
      <c r="R286">
        <v>1</v>
      </c>
      <c r="V286">
        <v>1</v>
      </c>
    </row>
    <row r="287" spans="16:22" x14ac:dyDescent="0.45">
      <c r="P287" s="20" t="s">
        <v>260</v>
      </c>
      <c r="R287">
        <v>1</v>
      </c>
      <c r="U287">
        <v>1</v>
      </c>
      <c r="V287">
        <v>2</v>
      </c>
    </row>
    <row r="288" spans="16:22" x14ac:dyDescent="0.45">
      <c r="P288" s="20" t="s">
        <v>707</v>
      </c>
      <c r="R288">
        <v>1</v>
      </c>
      <c r="V288">
        <v>1</v>
      </c>
    </row>
    <row r="289" spans="16:22" x14ac:dyDescent="0.45">
      <c r="P289" s="20" t="s">
        <v>433</v>
      </c>
      <c r="S289">
        <v>4</v>
      </c>
      <c r="V289">
        <v>4</v>
      </c>
    </row>
    <row r="290" spans="16:22" x14ac:dyDescent="0.45">
      <c r="P290" s="20" t="s">
        <v>1134</v>
      </c>
      <c r="R290">
        <v>1</v>
      </c>
      <c r="V290">
        <v>1</v>
      </c>
    </row>
    <row r="291" spans="16:22" x14ac:dyDescent="0.45">
      <c r="P291" s="20" t="s">
        <v>229</v>
      </c>
      <c r="U291">
        <v>3</v>
      </c>
      <c r="V291">
        <v>3</v>
      </c>
    </row>
    <row r="292" spans="16:22" x14ac:dyDescent="0.45">
      <c r="P292" s="20" t="s">
        <v>113</v>
      </c>
      <c r="U292">
        <v>1</v>
      </c>
      <c r="V292">
        <v>1</v>
      </c>
    </row>
    <row r="293" spans="16:22" x14ac:dyDescent="0.45">
      <c r="P293" s="20" t="s">
        <v>209</v>
      </c>
      <c r="U293">
        <v>1</v>
      </c>
      <c r="V293">
        <v>1</v>
      </c>
    </row>
    <row r="294" spans="16:22" x14ac:dyDescent="0.45">
      <c r="P294" s="20" t="s">
        <v>69</v>
      </c>
      <c r="R294">
        <v>1</v>
      </c>
      <c r="T294">
        <v>1</v>
      </c>
      <c r="V294">
        <v>2</v>
      </c>
    </row>
    <row r="295" spans="16:22" x14ac:dyDescent="0.45">
      <c r="P295" s="20" t="s">
        <v>675</v>
      </c>
      <c r="R295">
        <v>1</v>
      </c>
      <c r="V295">
        <v>1</v>
      </c>
    </row>
    <row r="296" spans="16:22" x14ac:dyDescent="0.45">
      <c r="P296" s="20" t="s">
        <v>1163</v>
      </c>
      <c r="R296">
        <v>1</v>
      </c>
      <c r="V296">
        <v>1</v>
      </c>
    </row>
    <row r="297" spans="16:22" x14ac:dyDescent="0.45">
      <c r="P297" s="20" t="s">
        <v>342</v>
      </c>
      <c r="R297">
        <v>3</v>
      </c>
      <c r="S297">
        <v>2</v>
      </c>
      <c r="V297">
        <v>5</v>
      </c>
    </row>
    <row r="298" spans="16:22" x14ac:dyDescent="0.45">
      <c r="P298" s="20" t="s">
        <v>526</v>
      </c>
      <c r="R298">
        <v>1</v>
      </c>
      <c r="V298">
        <v>1</v>
      </c>
    </row>
    <row r="299" spans="16:22" x14ac:dyDescent="0.45">
      <c r="P299" s="20" t="s">
        <v>616</v>
      </c>
      <c r="R299">
        <v>1</v>
      </c>
      <c r="V299">
        <v>1</v>
      </c>
    </row>
    <row r="300" spans="16:22" x14ac:dyDescent="0.45">
      <c r="P300" s="20" t="s">
        <v>148</v>
      </c>
      <c r="S300">
        <v>3</v>
      </c>
      <c r="V300">
        <v>3</v>
      </c>
    </row>
    <row r="301" spans="16:22" x14ac:dyDescent="0.45">
      <c r="P301" s="20" t="s">
        <v>869</v>
      </c>
      <c r="R301">
        <v>1</v>
      </c>
      <c r="V301">
        <v>1</v>
      </c>
    </row>
    <row r="302" spans="16:22" x14ac:dyDescent="0.45">
      <c r="P302" s="20" t="s">
        <v>816</v>
      </c>
      <c r="R302">
        <v>1</v>
      </c>
      <c r="V302">
        <v>1</v>
      </c>
    </row>
    <row r="303" spans="16:22" x14ac:dyDescent="0.45">
      <c r="P303" s="20" t="s">
        <v>353</v>
      </c>
      <c r="T303">
        <v>2</v>
      </c>
      <c r="V303">
        <v>2</v>
      </c>
    </row>
    <row r="304" spans="16:22" x14ac:dyDescent="0.45">
      <c r="P304" s="20" t="s">
        <v>474</v>
      </c>
      <c r="R304">
        <v>1</v>
      </c>
      <c r="V304">
        <v>1</v>
      </c>
    </row>
    <row r="305" spans="16:22" x14ac:dyDescent="0.45">
      <c r="P305" s="20" t="s">
        <v>1333</v>
      </c>
      <c r="R305">
        <v>1</v>
      </c>
      <c r="V305">
        <v>1</v>
      </c>
    </row>
    <row r="306" spans="16:22" x14ac:dyDescent="0.45">
      <c r="P306" s="20" t="s">
        <v>135</v>
      </c>
      <c r="R306">
        <v>2</v>
      </c>
      <c r="T306">
        <v>1</v>
      </c>
      <c r="V306">
        <v>3</v>
      </c>
    </row>
    <row r="307" spans="16:22" x14ac:dyDescent="0.45">
      <c r="P307" s="20" t="s">
        <v>581</v>
      </c>
      <c r="R307">
        <v>1</v>
      </c>
      <c r="V307">
        <v>1</v>
      </c>
    </row>
    <row r="308" spans="16:22" x14ac:dyDescent="0.45">
      <c r="P308" s="20" t="s">
        <v>28</v>
      </c>
      <c r="S308">
        <v>2</v>
      </c>
      <c r="V308">
        <v>2</v>
      </c>
    </row>
    <row r="309" spans="16:22" x14ac:dyDescent="0.45">
      <c r="P309" s="20" t="s">
        <v>1167</v>
      </c>
      <c r="R309">
        <v>1</v>
      </c>
      <c r="V309">
        <v>1</v>
      </c>
    </row>
    <row r="310" spans="16:22" x14ac:dyDescent="0.45">
      <c r="P310" s="20" t="s">
        <v>1393</v>
      </c>
      <c r="S310">
        <v>1</v>
      </c>
      <c r="V310">
        <v>1</v>
      </c>
    </row>
    <row r="311" spans="16:22" x14ac:dyDescent="0.45">
      <c r="P311" s="20" t="s">
        <v>861</v>
      </c>
      <c r="R311">
        <v>1</v>
      </c>
      <c r="V311">
        <v>1</v>
      </c>
    </row>
    <row r="312" spans="16:22" x14ac:dyDescent="0.45">
      <c r="P312" s="20" t="s">
        <v>1417</v>
      </c>
      <c r="R312">
        <v>1</v>
      </c>
      <c r="V312">
        <v>1</v>
      </c>
    </row>
    <row r="313" spans="16:22" x14ac:dyDescent="0.45">
      <c r="P313" s="20" t="s">
        <v>587</v>
      </c>
      <c r="R313">
        <v>1</v>
      </c>
      <c r="V313">
        <v>1</v>
      </c>
    </row>
    <row r="314" spans="16:22" x14ac:dyDescent="0.45">
      <c r="P314" s="20" t="s">
        <v>421</v>
      </c>
      <c r="U314">
        <v>1</v>
      </c>
      <c r="V314">
        <v>1</v>
      </c>
    </row>
    <row r="315" spans="16:22" x14ac:dyDescent="0.45">
      <c r="P315" s="20" t="s">
        <v>827</v>
      </c>
      <c r="S315">
        <v>1</v>
      </c>
      <c r="V315">
        <v>1</v>
      </c>
    </row>
    <row r="316" spans="16:22" x14ac:dyDescent="0.45">
      <c r="P316" s="20" t="s">
        <v>538</v>
      </c>
      <c r="R316">
        <v>1</v>
      </c>
      <c r="V316">
        <v>1</v>
      </c>
    </row>
    <row r="317" spans="16:22" x14ac:dyDescent="0.45">
      <c r="P317" s="20" t="s">
        <v>1226</v>
      </c>
      <c r="R317">
        <v>1</v>
      </c>
      <c r="V317">
        <v>1</v>
      </c>
    </row>
    <row r="318" spans="16:22" x14ac:dyDescent="0.45">
      <c r="P318" s="20" t="s">
        <v>1314</v>
      </c>
      <c r="R318">
        <v>1</v>
      </c>
      <c r="V318">
        <v>1</v>
      </c>
    </row>
    <row r="319" spans="16:22" x14ac:dyDescent="0.45">
      <c r="P319" s="20" t="s">
        <v>545</v>
      </c>
      <c r="R319">
        <v>1</v>
      </c>
      <c r="V319">
        <v>1</v>
      </c>
    </row>
    <row r="320" spans="16:22" x14ac:dyDescent="0.45">
      <c r="P320" s="20" t="s">
        <v>1353</v>
      </c>
      <c r="R320">
        <v>1</v>
      </c>
      <c r="V320">
        <v>1</v>
      </c>
    </row>
    <row r="321" spans="16:22" x14ac:dyDescent="0.45">
      <c r="P321" s="20" t="s">
        <v>436</v>
      </c>
      <c r="U321">
        <v>2</v>
      </c>
      <c r="V321">
        <v>2</v>
      </c>
    </row>
    <row r="322" spans="16:22" x14ac:dyDescent="0.45">
      <c r="P322" s="20" t="s">
        <v>331</v>
      </c>
      <c r="T322">
        <v>1</v>
      </c>
      <c r="V322">
        <v>1</v>
      </c>
    </row>
    <row r="323" spans="16:22" x14ac:dyDescent="0.45">
      <c r="P323" s="20" t="s">
        <v>1348</v>
      </c>
      <c r="R323">
        <v>1</v>
      </c>
      <c r="V323">
        <v>1</v>
      </c>
    </row>
    <row r="324" spans="16:22" x14ac:dyDescent="0.45">
      <c r="P324" s="20" t="s">
        <v>785</v>
      </c>
      <c r="R324">
        <v>1</v>
      </c>
      <c r="V324">
        <v>1</v>
      </c>
    </row>
    <row r="325" spans="16:22" x14ac:dyDescent="0.45">
      <c r="P325" s="20" t="s">
        <v>691</v>
      </c>
      <c r="R325">
        <v>1</v>
      </c>
      <c r="V325">
        <v>1</v>
      </c>
    </row>
    <row r="326" spans="16:22" x14ac:dyDescent="0.45">
      <c r="P326" s="20" t="s">
        <v>1350</v>
      </c>
      <c r="R326">
        <v>1</v>
      </c>
      <c r="V326">
        <v>1</v>
      </c>
    </row>
    <row r="327" spans="16:22" x14ac:dyDescent="0.45">
      <c r="P327" s="20" t="s">
        <v>777</v>
      </c>
      <c r="R327">
        <v>1</v>
      </c>
      <c r="V327">
        <v>1</v>
      </c>
    </row>
    <row r="328" spans="16:22" x14ac:dyDescent="0.45">
      <c r="P328" s="20" t="s">
        <v>622</v>
      </c>
      <c r="R328">
        <v>1</v>
      </c>
      <c r="V328">
        <v>1</v>
      </c>
    </row>
    <row r="329" spans="16:22" x14ac:dyDescent="0.45">
      <c r="P329" s="20" t="s">
        <v>1012</v>
      </c>
      <c r="R329">
        <v>1</v>
      </c>
      <c r="V329">
        <v>1</v>
      </c>
    </row>
    <row r="330" spans="16:22" x14ac:dyDescent="0.45">
      <c r="P330" s="20" t="s">
        <v>390</v>
      </c>
      <c r="S330">
        <v>1</v>
      </c>
      <c r="V330">
        <v>1</v>
      </c>
    </row>
    <row r="331" spans="16:22" x14ac:dyDescent="0.45">
      <c r="P331" s="20" t="s">
        <v>782</v>
      </c>
      <c r="R331">
        <v>1</v>
      </c>
      <c r="V331">
        <v>1</v>
      </c>
    </row>
    <row r="332" spans="16:22" x14ac:dyDescent="0.45">
      <c r="P332" s="20" t="s">
        <v>1109</v>
      </c>
      <c r="R332">
        <v>1</v>
      </c>
      <c r="V332">
        <v>1</v>
      </c>
    </row>
    <row r="333" spans="16:22" x14ac:dyDescent="0.45">
      <c r="P333" s="20" t="s">
        <v>1019</v>
      </c>
      <c r="R333">
        <v>1</v>
      </c>
      <c r="V333">
        <v>1</v>
      </c>
    </row>
    <row r="334" spans="16:22" x14ac:dyDescent="0.45">
      <c r="P334" s="20" t="s">
        <v>513</v>
      </c>
      <c r="R334">
        <v>1</v>
      </c>
      <c r="V334">
        <v>1</v>
      </c>
    </row>
    <row r="335" spans="16:22" x14ac:dyDescent="0.45">
      <c r="P335" s="20" t="s">
        <v>1030</v>
      </c>
      <c r="R335">
        <v>1</v>
      </c>
      <c r="V335">
        <v>1</v>
      </c>
    </row>
    <row r="336" spans="16:22" x14ac:dyDescent="0.45">
      <c r="P336" s="20" t="s">
        <v>1168</v>
      </c>
      <c r="R336">
        <v>1</v>
      </c>
      <c r="V336">
        <v>1</v>
      </c>
    </row>
    <row r="337" spans="16:22" x14ac:dyDescent="0.45">
      <c r="P337" s="20" t="s">
        <v>724</v>
      </c>
      <c r="R337">
        <v>1</v>
      </c>
      <c r="V337">
        <v>1</v>
      </c>
    </row>
    <row r="338" spans="16:22" x14ac:dyDescent="0.45">
      <c r="P338" s="20" t="s">
        <v>979</v>
      </c>
      <c r="R338">
        <v>1</v>
      </c>
      <c r="V338">
        <v>1</v>
      </c>
    </row>
    <row r="339" spans="16:22" x14ac:dyDescent="0.45">
      <c r="P339" s="20" t="s">
        <v>839</v>
      </c>
      <c r="R339">
        <v>1</v>
      </c>
      <c r="V339">
        <v>1</v>
      </c>
    </row>
    <row r="340" spans="16:22" x14ac:dyDescent="0.45">
      <c r="P340" s="20" t="s">
        <v>1036</v>
      </c>
      <c r="R340">
        <v>1</v>
      </c>
      <c r="V340">
        <v>1</v>
      </c>
    </row>
    <row r="341" spans="16:22" x14ac:dyDescent="0.45">
      <c r="P341" s="20" t="s">
        <v>1406</v>
      </c>
      <c r="R341">
        <v>1</v>
      </c>
      <c r="V341">
        <v>1</v>
      </c>
    </row>
    <row r="342" spans="16:22" x14ac:dyDescent="0.45">
      <c r="P342" s="20" t="s">
        <v>539</v>
      </c>
      <c r="R342">
        <v>1</v>
      </c>
      <c r="V342">
        <v>1</v>
      </c>
    </row>
    <row r="343" spans="16:22" x14ac:dyDescent="0.45">
      <c r="P343" s="20" t="s">
        <v>52</v>
      </c>
      <c r="R343">
        <v>2</v>
      </c>
      <c r="V343">
        <v>2</v>
      </c>
    </row>
    <row r="344" spans="16:22" x14ac:dyDescent="0.45">
      <c r="P344" s="20" t="s">
        <v>799</v>
      </c>
      <c r="R344">
        <v>1</v>
      </c>
      <c r="V344">
        <v>1</v>
      </c>
    </row>
    <row r="345" spans="16:22" x14ac:dyDescent="0.45">
      <c r="P345" s="20" t="s">
        <v>705</v>
      </c>
      <c r="R345">
        <v>1</v>
      </c>
      <c r="V345">
        <v>1</v>
      </c>
    </row>
    <row r="346" spans="16:22" x14ac:dyDescent="0.45">
      <c r="P346" s="20" t="s">
        <v>1444</v>
      </c>
      <c r="R346">
        <v>1</v>
      </c>
      <c r="V346">
        <v>1</v>
      </c>
    </row>
    <row r="347" spans="16:22" x14ac:dyDescent="0.45">
      <c r="P347" s="20" t="s">
        <v>1356</v>
      </c>
      <c r="R347">
        <v>1</v>
      </c>
      <c r="V347">
        <v>1</v>
      </c>
    </row>
    <row r="348" spans="16:22" x14ac:dyDescent="0.45">
      <c r="P348" s="20" t="s">
        <v>559</v>
      </c>
      <c r="R348">
        <v>1</v>
      </c>
      <c r="V348">
        <v>1</v>
      </c>
    </row>
    <row r="349" spans="16:22" x14ac:dyDescent="0.45">
      <c r="P349" s="20" t="s">
        <v>1159</v>
      </c>
      <c r="R349">
        <v>1</v>
      </c>
      <c r="V349">
        <v>1</v>
      </c>
    </row>
    <row r="350" spans="16:22" x14ac:dyDescent="0.45">
      <c r="P350" s="20" t="s">
        <v>67</v>
      </c>
      <c r="T350">
        <v>1</v>
      </c>
      <c r="V350">
        <v>1</v>
      </c>
    </row>
    <row r="351" spans="16:22" x14ac:dyDescent="0.45">
      <c r="P351" s="20" t="s">
        <v>91</v>
      </c>
      <c r="T351">
        <v>1</v>
      </c>
      <c r="V351">
        <v>1</v>
      </c>
    </row>
    <row r="352" spans="16:22" x14ac:dyDescent="0.45">
      <c r="P352" s="20" t="s">
        <v>79</v>
      </c>
      <c r="U352">
        <v>2</v>
      </c>
      <c r="V352">
        <v>2</v>
      </c>
    </row>
    <row r="353" spans="16:22" x14ac:dyDescent="0.45">
      <c r="P353" s="20" t="s">
        <v>164</v>
      </c>
      <c r="R353">
        <v>1</v>
      </c>
      <c r="T353">
        <v>2</v>
      </c>
      <c r="V353">
        <v>3</v>
      </c>
    </row>
    <row r="354" spans="16:22" x14ac:dyDescent="0.45">
      <c r="P354" s="20" t="s">
        <v>762</v>
      </c>
      <c r="R354">
        <v>1</v>
      </c>
      <c r="V354">
        <v>1</v>
      </c>
    </row>
    <row r="355" spans="16:22" x14ac:dyDescent="0.45">
      <c r="P355" s="20" t="s">
        <v>950</v>
      </c>
      <c r="R355">
        <v>1</v>
      </c>
      <c r="V355">
        <v>1</v>
      </c>
    </row>
    <row r="356" spans="16:22" x14ac:dyDescent="0.45">
      <c r="P356" s="20" t="s">
        <v>640</v>
      </c>
      <c r="R356">
        <v>1</v>
      </c>
      <c r="V356">
        <v>1</v>
      </c>
    </row>
    <row r="357" spans="16:22" x14ac:dyDescent="0.45">
      <c r="P357" s="20" t="s">
        <v>1065</v>
      </c>
      <c r="R357">
        <v>1</v>
      </c>
      <c r="V357">
        <v>1</v>
      </c>
    </row>
    <row r="358" spans="16:22" x14ac:dyDescent="0.45">
      <c r="P358" s="20" t="s">
        <v>753</v>
      </c>
      <c r="R358">
        <v>1</v>
      </c>
      <c r="V358">
        <v>1</v>
      </c>
    </row>
    <row r="359" spans="16:22" x14ac:dyDescent="0.45">
      <c r="P359" s="20" t="s">
        <v>105</v>
      </c>
      <c r="T359">
        <v>1</v>
      </c>
      <c r="U359">
        <v>1</v>
      </c>
      <c r="V359">
        <v>2</v>
      </c>
    </row>
    <row r="360" spans="16:22" x14ac:dyDescent="0.45">
      <c r="P360" s="20" t="s">
        <v>831</v>
      </c>
      <c r="R360">
        <v>1</v>
      </c>
      <c r="V360">
        <v>1</v>
      </c>
    </row>
    <row r="361" spans="16:22" x14ac:dyDescent="0.45">
      <c r="P361" s="20" t="s">
        <v>882</v>
      </c>
      <c r="R361">
        <v>1</v>
      </c>
      <c r="V361">
        <v>1</v>
      </c>
    </row>
    <row r="362" spans="16:22" x14ac:dyDescent="0.45">
      <c r="P362" s="20" t="s">
        <v>1421</v>
      </c>
      <c r="R362">
        <v>1</v>
      </c>
      <c r="V362">
        <v>1</v>
      </c>
    </row>
    <row r="363" spans="16:22" x14ac:dyDescent="0.45">
      <c r="P363" s="20" t="s">
        <v>1211</v>
      </c>
      <c r="R363">
        <v>1</v>
      </c>
      <c r="V363">
        <v>1</v>
      </c>
    </row>
    <row r="364" spans="16:22" x14ac:dyDescent="0.45">
      <c r="P364" s="20" t="s">
        <v>394</v>
      </c>
      <c r="U364">
        <v>1</v>
      </c>
      <c r="V364">
        <v>1</v>
      </c>
    </row>
    <row r="365" spans="16:22" x14ac:dyDescent="0.45">
      <c r="P365" s="20" t="s">
        <v>889</v>
      </c>
      <c r="R365">
        <v>1</v>
      </c>
      <c r="V365">
        <v>1</v>
      </c>
    </row>
    <row r="366" spans="16:22" x14ac:dyDescent="0.45">
      <c r="P366" s="20" t="s">
        <v>1328</v>
      </c>
      <c r="R366">
        <v>1</v>
      </c>
      <c r="V366">
        <v>1</v>
      </c>
    </row>
    <row r="367" spans="16:22" x14ac:dyDescent="0.45">
      <c r="P367" s="20" t="s">
        <v>898</v>
      </c>
      <c r="R367">
        <v>1</v>
      </c>
      <c r="V367">
        <v>1</v>
      </c>
    </row>
    <row r="368" spans="16:22" x14ac:dyDescent="0.45">
      <c r="P368" s="20" t="s">
        <v>578</v>
      </c>
      <c r="R368">
        <v>1</v>
      </c>
      <c r="V368">
        <v>1</v>
      </c>
    </row>
    <row r="369" spans="16:22" x14ac:dyDescent="0.45">
      <c r="P369" s="20" t="s">
        <v>983</v>
      </c>
      <c r="R369">
        <v>1</v>
      </c>
      <c r="V369">
        <v>1</v>
      </c>
    </row>
    <row r="370" spans="16:22" x14ac:dyDescent="0.45">
      <c r="P370" s="20" t="s">
        <v>641</v>
      </c>
      <c r="R370">
        <v>1</v>
      </c>
      <c r="V370">
        <v>1</v>
      </c>
    </row>
    <row r="371" spans="16:22" x14ac:dyDescent="0.45">
      <c r="P371" s="20" t="s">
        <v>262</v>
      </c>
      <c r="S371">
        <v>2</v>
      </c>
      <c r="V371">
        <v>2</v>
      </c>
    </row>
    <row r="372" spans="16:22" x14ac:dyDescent="0.45">
      <c r="P372" s="20" t="s">
        <v>976</v>
      </c>
      <c r="R372">
        <v>1</v>
      </c>
      <c r="V372">
        <v>1</v>
      </c>
    </row>
    <row r="373" spans="16:22" x14ac:dyDescent="0.45">
      <c r="P373" s="20" t="s">
        <v>667</v>
      </c>
      <c r="R373">
        <v>1</v>
      </c>
      <c r="V373">
        <v>1</v>
      </c>
    </row>
    <row r="374" spans="16:22" x14ac:dyDescent="0.45">
      <c r="P374" s="20" t="s">
        <v>443</v>
      </c>
      <c r="U374">
        <v>1</v>
      </c>
      <c r="V374">
        <v>1</v>
      </c>
    </row>
    <row r="375" spans="16:22" x14ac:dyDescent="0.45">
      <c r="P375" s="20" t="s">
        <v>833</v>
      </c>
      <c r="R375">
        <v>1</v>
      </c>
      <c r="V375">
        <v>1</v>
      </c>
    </row>
    <row r="376" spans="16:22" x14ac:dyDescent="0.45">
      <c r="P376" s="20" t="s">
        <v>55</v>
      </c>
      <c r="S376">
        <v>1</v>
      </c>
      <c r="V376">
        <v>1</v>
      </c>
    </row>
    <row r="377" spans="16:22" x14ac:dyDescent="0.45">
      <c r="P377" s="20" t="s">
        <v>1396</v>
      </c>
      <c r="R377">
        <v>1</v>
      </c>
      <c r="V377">
        <v>1</v>
      </c>
    </row>
    <row r="378" spans="16:22" x14ac:dyDescent="0.45">
      <c r="P378" s="20" t="s">
        <v>471</v>
      </c>
      <c r="R378">
        <v>1</v>
      </c>
      <c r="V378">
        <v>1</v>
      </c>
    </row>
    <row r="379" spans="16:22" x14ac:dyDescent="0.45">
      <c r="P379" s="20" t="s">
        <v>177</v>
      </c>
      <c r="S379">
        <v>2</v>
      </c>
      <c r="U379">
        <v>1</v>
      </c>
      <c r="V379">
        <v>3</v>
      </c>
    </row>
    <row r="380" spans="16:22" x14ac:dyDescent="0.45">
      <c r="P380" s="20" t="s">
        <v>1208</v>
      </c>
      <c r="R380">
        <v>1</v>
      </c>
      <c r="V380">
        <v>1</v>
      </c>
    </row>
    <row r="381" spans="16:22" x14ac:dyDescent="0.45">
      <c r="P381" s="20" t="s">
        <v>1221</v>
      </c>
      <c r="R381">
        <v>1</v>
      </c>
      <c r="V381">
        <v>1</v>
      </c>
    </row>
    <row r="382" spans="16:22" x14ac:dyDescent="0.45">
      <c r="P382" s="20" t="s">
        <v>867</v>
      </c>
      <c r="R382">
        <v>1</v>
      </c>
      <c r="V382">
        <v>1</v>
      </c>
    </row>
    <row r="383" spans="16:22" x14ac:dyDescent="0.45">
      <c r="P383" s="20" t="s">
        <v>894</v>
      </c>
      <c r="R383">
        <v>1</v>
      </c>
      <c r="V383">
        <v>1</v>
      </c>
    </row>
    <row r="384" spans="16:22" x14ac:dyDescent="0.45">
      <c r="P384" s="20" t="s">
        <v>1362</v>
      </c>
      <c r="R384">
        <v>1</v>
      </c>
      <c r="V384">
        <v>1</v>
      </c>
    </row>
    <row r="385" spans="16:22" x14ac:dyDescent="0.45">
      <c r="P385" s="20" t="s">
        <v>880</v>
      </c>
      <c r="R385">
        <v>1</v>
      </c>
      <c r="V385">
        <v>1</v>
      </c>
    </row>
    <row r="386" spans="16:22" x14ac:dyDescent="0.45">
      <c r="P386" s="20" t="s">
        <v>1157</v>
      </c>
      <c r="R386">
        <v>1</v>
      </c>
      <c r="V386">
        <v>1</v>
      </c>
    </row>
    <row r="387" spans="16:22" x14ac:dyDescent="0.45">
      <c r="P387" s="20" t="s">
        <v>595</v>
      </c>
      <c r="R387">
        <v>1</v>
      </c>
      <c r="V387">
        <v>1</v>
      </c>
    </row>
    <row r="388" spans="16:22" x14ac:dyDescent="0.45">
      <c r="P388" s="20" t="s">
        <v>652</v>
      </c>
      <c r="R388">
        <v>1</v>
      </c>
      <c r="V388">
        <v>1</v>
      </c>
    </row>
    <row r="389" spans="16:22" x14ac:dyDescent="0.45">
      <c r="P389" s="20" t="s">
        <v>1279</v>
      </c>
      <c r="R389">
        <v>1</v>
      </c>
      <c r="V389">
        <v>1</v>
      </c>
    </row>
    <row r="390" spans="16:22" x14ac:dyDescent="0.45">
      <c r="P390" s="20" t="s">
        <v>841</v>
      </c>
      <c r="R390">
        <v>1</v>
      </c>
      <c r="V390">
        <v>1</v>
      </c>
    </row>
    <row r="391" spans="16:22" x14ac:dyDescent="0.45">
      <c r="P391" s="20" t="s">
        <v>1153</v>
      </c>
      <c r="R391">
        <v>1</v>
      </c>
      <c r="V391">
        <v>1</v>
      </c>
    </row>
    <row r="392" spans="16:22" x14ac:dyDescent="0.45">
      <c r="P392" s="20" t="s">
        <v>695</v>
      </c>
      <c r="R392">
        <v>1</v>
      </c>
      <c r="V392">
        <v>1</v>
      </c>
    </row>
    <row r="393" spans="16:22" x14ac:dyDescent="0.45">
      <c r="P393" s="20" t="s">
        <v>312</v>
      </c>
      <c r="S393">
        <v>4</v>
      </c>
      <c r="V393">
        <v>4</v>
      </c>
    </row>
    <row r="394" spans="16:22" x14ac:dyDescent="0.45">
      <c r="P394" s="20" t="s">
        <v>302</v>
      </c>
      <c r="R394">
        <v>2</v>
      </c>
      <c r="S394">
        <v>1</v>
      </c>
      <c r="U394">
        <v>2</v>
      </c>
      <c r="V394">
        <v>5</v>
      </c>
    </row>
    <row r="395" spans="16:22" x14ac:dyDescent="0.45">
      <c r="P395" s="20" t="s">
        <v>305</v>
      </c>
      <c r="U395">
        <v>2</v>
      </c>
      <c r="V395">
        <v>2</v>
      </c>
    </row>
    <row r="396" spans="16:22" x14ac:dyDescent="0.45">
      <c r="P396" s="20" t="s">
        <v>555</v>
      </c>
      <c r="R396">
        <v>1</v>
      </c>
      <c r="V396">
        <v>1</v>
      </c>
    </row>
    <row r="397" spans="16:22" x14ac:dyDescent="0.45">
      <c r="P397" s="20" t="s">
        <v>842</v>
      </c>
      <c r="R397">
        <v>1</v>
      </c>
      <c r="V397">
        <v>1</v>
      </c>
    </row>
    <row r="398" spans="16:22" x14ac:dyDescent="0.45">
      <c r="P398" s="20" t="s">
        <v>1343</v>
      </c>
      <c r="R398">
        <v>1</v>
      </c>
      <c r="V398">
        <v>1</v>
      </c>
    </row>
    <row r="399" spans="16:22" x14ac:dyDescent="0.45">
      <c r="P399" s="20" t="s">
        <v>339</v>
      </c>
      <c r="R399">
        <v>2</v>
      </c>
      <c r="T399">
        <v>1</v>
      </c>
      <c r="V399">
        <v>3</v>
      </c>
    </row>
    <row r="400" spans="16:22" x14ac:dyDescent="0.45">
      <c r="P400" s="20" t="s">
        <v>384</v>
      </c>
      <c r="T400">
        <v>1</v>
      </c>
      <c r="V400">
        <v>1</v>
      </c>
    </row>
    <row r="401" spans="16:22" x14ac:dyDescent="0.45">
      <c r="P401" s="20" t="s">
        <v>944</v>
      </c>
      <c r="R401">
        <v>1</v>
      </c>
      <c r="V401">
        <v>1</v>
      </c>
    </row>
    <row r="402" spans="16:22" x14ac:dyDescent="0.45">
      <c r="P402" s="20" t="s">
        <v>1082</v>
      </c>
      <c r="R402">
        <v>1</v>
      </c>
      <c r="V402">
        <v>1</v>
      </c>
    </row>
    <row r="403" spans="16:22" x14ac:dyDescent="0.45">
      <c r="P403" s="20" t="s">
        <v>244</v>
      </c>
      <c r="R403">
        <v>2</v>
      </c>
      <c r="V403">
        <v>2</v>
      </c>
    </row>
    <row r="404" spans="16:22" x14ac:dyDescent="0.45">
      <c r="P404" s="20" t="s">
        <v>1305</v>
      </c>
      <c r="R404">
        <v>1</v>
      </c>
      <c r="V404">
        <v>1</v>
      </c>
    </row>
    <row r="405" spans="16:22" x14ac:dyDescent="0.45">
      <c r="P405" s="20" t="s">
        <v>739</v>
      </c>
      <c r="R405">
        <v>1</v>
      </c>
      <c r="V405">
        <v>1</v>
      </c>
    </row>
    <row r="406" spans="16:22" x14ac:dyDescent="0.45">
      <c r="P406" s="20" t="s">
        <v>1371</v>
      </c>
      <c r="R406">
        <v>1</v>
      </c>
      <c r="V406">
        <v>1</v>
      </c>
    </row>
    <row r="407" spans="16:22" x14ac:dyDescent="0.45">
      <c r="P407" s="20" t="s">
        <v>956</v>
      </c>
      <c r="S407">
        <v>1</v>
      </c>
      <c r="V407">
        <v>1</v>
      </c>
    </row>
    <row r="408" spans="16:22" x14ac:dyDescent="0.45">
      <c r="P408" s="20" t="s">
        <v>747</v>
      </c>
      <c r="R408">
        <v>1</v>
      </c>
      <c r="V408">
        <v>1</v>
      </c>
    </row>
    <row r="409" spans="16:22" x14ac:dyDescent="0.45">
      <c r="P409" s="20" t="s">
        <v>1235</v>
      </c>
      <c r="R409">
        <v>1</v>
      </c>
      <c r="V409">
        <v>1</v>
      </c>
    </row>
    <row r="410" spans="16:22" x14ac:dyDescent="0.45">
      <c r="P410" s="20" t="s">
        <v>1090</v>
      </c>
      <c r="R410">
        <v>1</v>
      </c>
      <c r="V410">
        <v>1</v>
      </c>
    </row>
    <row r="411" spans="16:22" x14ac:dyDescent="0.45">
      <c r="P411" s="20" t="s">
        <v>531</v>
      </c>
      <c r="R411">
        <v>1</v>
      </c>
      <c r="V411">
        <v>1</v>
      </c>
    </row>
    <row r="412" spans="16:22" x14ac:dyDescent="0.45">
      <c r="P412" s="20" t="s">
        <v>1445</v>
      </c>
      <c r="R412">
        <v>1</v>
      </c>
      <c r="V412">
        <v>1</v>
      </c>
    </row>
    <row r="413" spans="16:22" x14ac:dyDescent="0.45">
      <c r="P413" s="20" t="s">
        <v>1117</v>
      </c>
      <c r="R413">
        <v>1</v>
      </c>
      <c r="V413">
        <v>1</v>
      </c>
    </row>
    <row r="414" spans="16:22" x14ac:dyDescent="0.45">
      <c r="P414" s="20" t="s">
        <v>1133</v>
      </c>
      <c r="R414">
        <v>1</v>
      </c>
      <c r="V414">
        <v>1</v>
      </c>
    </row>
    <row r="415" spans="16:22" x14ac:dyDescent="0.45">
      <c r="P415" s="20" t="s">
        <v>1217</v>
      </c>
      <c r="R415">
        <v>1</v>
      </c>
      <c r="V415">
        <v>1</v>
      </c>
    </row>
    <row r="416" spans="16:22" x14ac:dyDescent="0.45">
      <c r="P416" s="20" t="s">
        <v>470</v>
      </c>
      <c r="R416">
        <v>1</v>
      </c>
      <c r="V416">
        <v>1</v>
      </c>
    </row>
    <row r="417" spans="16:22" x14ac:dyDescent="0.45">
      <c r="P417" s="20" t="s">
        <v>515</v>
      </c>
      <c r="R417">
        <v>1</v>
      </c>
      <c r="V417">
        <v>1</v>
      </c>
    </row>
    <row r="418" spans="16:22" x14ac:dyDescent="0.45">
      <c r="P418" s="20" t="s">
        <v>441</v>
      </c>
      <c r="U418">
        <v>1</v>
      </c>
      <c r="V418">
        <v>1</v>
      </c>
    </row>
    <row r="419" spans="16:22" x14ac:dyDescent="0.45">
      <c r="P419" s="20" t="s">
        <v>369</v>
      </c>
      <c r="U419">
        <v>1</v>
      </c>
      <c r="V419">
        <v>1</v>
      </c>
    </row>
    <row r="420" spans="16:22" x14ac:dyDescent="0.45">
      <c r="P420" s="20" t="s">
        <v>161</v>
      </c>
      <c r="T420">
        <v>2</v>
      </c>
      <c r="U420">
        <v>1</v>
      </c>
      <c r="V420">
        <v>3</v>
      </c>
    </row>
    <row r="421" spans="16:22" x14ac:dyDescent="0.45">
      <c r="P421" s="20" t="s">
        <v>1326</v>
      </c>
      <c r="R421">
        <v>1</v>
      </c>
      <c r="V421">
        <v>1</v>
      </c>
    </row>
    <row r="422" spans="16:22" x14ac:dyDescent="0.45">
      <c r="P422" s="20" t="s">
        <v>1454</v>
      </c>
      <c r="S422">
        <v>1</v>
      </c>
      <c r="V422">
        <v>1</v>
      </c>
    </row>
    <row r="423" spans="16:22" x14ac:dyDescent="0.45">
      <c r="P423" s="20" t="s">
        <v>1064</v>
      </c>
      <c r="R423">
        <v>1</v>
      </c>
      <c r="V423">
        <v>1</v>
      </c>
    </row>
    <row r="424" spans="16:22" x14ac:dyDescent="0.45">
      <c r="P424" s="20" t="s">
        <v>1354</v>
      </c>
      <c r="R424">
        <v>1</v>
      </c>
      <c r="V424">
        <v>1</v>
      </c>
    </row>
    <row r="425" spans="16:22" x14ac:dyDescent="0.45">
      <c r="P425" s="20" t="s">
        <v>1334</v>
      </c>
      <c r="R425">
        <v>1</v>
      </c>
      <c r="V425">
        <v>1</v>
      </c>
    </row>
    <row r="426" spans="16:22" x14ac:dyDescent="0.45">
      <c r="P426" s="20" t="s">
        <v>506</v>
      </c>
      <c r="R426">
        <v>1</v>
      </c>
      <c r="V426">
        <v>1</v>
      </c>
    </row>
    <row r="427" spans="16:22" x14ac:dyDescent="0.45">
      <c r="P427" s="20" t="s">
        <v>990</v>
      </c>
      <c r="R427">
        <v>1</v>
      </c>
      <c r="V427">
        <v>1</v>
      </c>
    </row>
    <row r="428" spans="16:22" x14ac:dyDescent="0.45">
      <c r="P428" s="20" t="s">
        <v>85</v>
      </c>
      <c r="S428">
        <v>1</v>
      </c>
      <c r="V428">
        <v>1</v>
      </c>
    </row>
    <row r="429" spans="16:22" x14ac:dyDescent="0.45">
      <c r="P429" s="20" t="s">
        <v>908</v>
      </c>
      <c r="R429">
        <v>1</v>
      </c>
      <c r="V429">
        <v>1</v>
      </c>
    </row>
    <row r="430" spans="16:22" x14ac:dyDescent="0.45">
      <c r="P430" s="20" t="s">
        <v>317</v>
      </c>
      <c r="S430">
        <v>1</v>
      </c>
      <c r="T430">
        <v>3</v>
      </c>
      <c r="V430">
        <v>4</v>
      </c>
    </row>
    <row r="431" spans="16:22" x14ac:dyDescent="0.45">
      <c r="P431" s="20" t="s">
        <v>48</v>
      </c>
      <c r="R431">
        <v>1</v>
      </c>
      <c r="V431">
        <v>1</v>
      </c>
    </row>
    <row r="432" spans="16:22" x14ac:dyDescent="0.45">
      <c r="P432" s="20" t="s">
        <v>591</v>
      </c>
      <c r="R432">
        <v>1</v>
      </c>
      <c r="V432">
        <v>1</v>
      </c>
    </row>
    <row r="433" spans="16:22" x14ac:dyDescent="0.45">
      <c r="P433" s="20" t="s">
        <v>1122</v>
      </c>
      <c r="R433">
        <v>1</v>
      </c>
      <c r="V433">
        <v>1</v>
      </c>
    </row>
    <row r="434" spans="16:22" x14ac:dyDescent="0.45">
      <c r="P434" s="20" t="s">
        <v>1024</v>
      </c>
      <c r="S434">
        <v>1</v>
      </c>
      <c r="V434">
        <v>1</v>
      </c>
    </row>
    <row r="435" spans="16:22" x14ac:dyDescent="0.45">
      <c r="P435" s="20" t="s">
        <v>824</v>
      </c>
      <c r="R435">
        <v>1</v>
      </c>
      <c r="V435">
        <v>1</v>
      </c>
    </row>
    <row r="436" spans="16:22" x14ac:dyDescent="0.45">
      <c r="P436" s="20" t="s">
        <v>84</v>
      </c>
      <c r="R436">
        <v>1</v>
      </c>
      <c r="T436">
        <v>1</v>
      </c>
      <c r="V436">
        <v>2</v>
      </c>
    </row>
    <row r="437" spans="16:22" x14ac:dyDescent="0.45">
      <c r="P437" s="20" t="s">
        <v>1161</v>
      </c>
      <c r="R437">
        <v>1</v>
      </c>
      <c r="V437">
        <v>1</v>
      </c>
    </row>
    <row r="438" spans="16:22" x14ac:dyDescent="0.45">
      <c r="P438" s="20" t="s">
        <v>478</v>
      </c>
      <c r="R438">
        <v>1</v>
      </c>
      <c r="V438">
        <v>1</v>
      </c>
    </row>
    <row r="439" spans="16:22" x14ac:dyDescent="0.45">
      <c r="P439" s="20" t="s">
        <v>127</v>
      </c>
      <c r="T439">
        <v>1</v>
      </c>
      <c r="U439">
        <v>4</v>
      </c>
      <c r="V439">
        <v>5</v>
      </c>
    </row>
    <row r="440" spans="16:22" x14ac:dyDescent="0.45">
      <c r="P440" s="20" t="s">
        <v>150</v>
      </c>
      <c r="R440">
        <v>2</v>
      </c>
      <c r="V440">
        <v>2</v>
      </c>
    </row>
    <row r="441" spans="16:22" x14ac:dyDescent="0.45">
      <c r="P441" s="20" t="s">
        <v>172</v>
      </c>
      <c r="U441">
        <v>2</v>
      </c>
      <c r="V441">
        <v>2</v>
      </c>
    </row>
    <row r="442" spans="16:22" x14ac:dyDescent="0.45">
      <c r="P442" s="20" t="s">
        <v>274</v>
      </c>
      <c r="T442">
        <v>1</v>
      </c>
      <c r="V442">
        <v>1</v>
      </c>
    </row>
    <row r="443" spans="16:22" x14ac:dyDescent="0.45">
      <c r="P443" s="20" t="s">
        <v>793</v>
      </c>
      <c r="R443">
        <v>1</v>
      </c>
      <c r="V443">
        <v>1</v>
      </c>
    </row>
    <row r="444" spans="16:22" x14ac:dyDescent="0.45">
      <c r="P444" s="20" t="s">
        <v>1448</v>
      </c>
      <c r="R444">
        <v>1</v>
      </c>
      <c r="V444">
        <v>1</v>
      </c>
    </row>
    <row r="445" spans="16:22" x14ac:dyDescent="0.45">
      <c r="P445" s="20" t="s">
        <v>255</v>
      </c>
      <c r="S445">
        <v>1</v>
      </c>
      <c r="V445">
        <v>1</v>
      </c>
    </row>
    <row r="446" spans="16:22" x14ac:dyDescent="0.45">
      <c r="P446" s="20" t="s">
        <v>1403</v>
      </c>
      <c r="R446">
        <v>1</v>
      </c>
      <c r="V446">
        <v>1</v>
      </c>
    </row>
    <row r="447" spans="16:22" x14ac:dyDescent="0.45">
      <c r="P447" s="20" t="s">
        <v>106</v>
      </c>
      <c r="S447">
        <v>3</v>
      </c>
      <c r="V447">
        <v>3</v>
      </c>
    </row>
    <row r="448" spans="16:22" x14ac:dyDescent="0.45">
      <c r="P448" s="20" t="s">
        <v>917</v>
      </c>
      <c r="R448">
        <v>1</v>
      </c>
      <c r="V448">
        <v>1</v>
      </c>
    </row>
    <row r="449" spans="16:22" x14ac:dyDescent="0.45">
      <c r="P449" s="20" t="s">
        <v>234</v>
      </c>
      <c r="S449">
        <v>2</v>
      </c>
      <c r="V449">
        <v>2</v>
      </c>
    </row>
    <row r="450" spans="16:22" x14ac:dyDescent="0.45">
      <c r="P450" s="20" t="s">
        <v>1310</v>
      </c>
      <c r="R450">
        <v>1</v>
      </c>
      <c r="V450">
        <v>1</v>
      </c>
    </row>
    <row r="451" spans="16:22" x14ac:dyDescent="0.45">
      <c r="P451" s="20" t="s">
        <v>583</v>
      </c>
      <c r="R451">
        <v>1</v>
      </c>
      <c r="V451">
        <v>1</v>
      </c>
    </row>
    <row r="452" spans="16:22" x14ac:dyDescent="0.45">
      <c r="P452" s="20" t="s">
        <v>655</v>
      </c>
      <c r="R452">
        <v>1</v>
      </c>
      <c r="V452">
        <v>1</v>
      </c>
    </row>
    <row r="453" spans="16:22" x14ac:dyDescent="0.45">
      <c r="P453" s="20" t="s">
        <v>860</v>
      </c>
      <c r="R453">
        <v>1</v>
      </c>
      <c r="V453">
        <v>1</v>
      </c>
    </row>
    <row r="454" spans="16:22" x14ac:dyDescent="0.45">
      <c r="P454" s="20" t="s">
        <v>643</v>
      </c>
      <c r="R454">
        <v>1</v>
      </c>
      <c r="V454">
        <v>1</v>
      </c>
    </row>
    <row r="455" spans="16:22" x14ac:dyDescent="0.45">
      <c r="P455" s="20" t="s">
        <v>400</v>
      </c>
      <c r="T455">
        <v>2</v>
      </c>
      <c r="V455">
        <v>2</v>
      </c>
    </row>
    <row r="456" spans="16:22" x14ac:dyDescent="0.45">
      <c r="P456" s="20" t="s">
        <v>208</v>
      </c>
      <c r="R456">
        <v>2</v>
      </c>
      <c r="S456">
        <v>1</v>
      </c>
      <c r="V456">
        <v>3</v>
      </c>
    </row>
    <row r="457" spans="16:22" x14ac:dyDescent="0.45">
      <c r="P457" s="20" t="s">
        <v>689</v>
      </c>
      <c r="R457">
        <v>1</v>
      </c>
      <c r="V457">
        <v>1</v>
      </c>
    </row>
    <row r="458" spans="16:22" x14ac:dyDescent="0.45">
      <c r="P458" s="20" t="s">
        <v>139</v>
      </c>
      <c r="U458">
        <v>4</v>
      </c>
      <c r="V458">
        <v>4</v>
      </c>
    </row>
    <row r="459" spans="16:22" x14ac:dyDescent="0.45">
      <c r="P459" s="20" t="s">
        <v>958</v>
      </c>
      <c r="R459">
        <v>1</v>
      </c>
      <c r="V459">
        <v>1</v>
      </c>
    </row>
    <row r="460" spans="16:22" x14ac:dyDescent="0.45">
      <c r="P460" s="20" t="s">
        <v>31</v>
      </c>
      <c r="S460">
        <v>2</v>
      </c>
      <c r="V460">
        <v>2</v>
      </c>
    </row>
    <row r="461" spans="16:22" x14ac:dyDescent="0.45">
      <c r="P461" s="20" t="s">
        <v>1408</v>
      </c>
      <c r="R461">
        <v>1</v>
      </c>
      <c r="V461">
        <v>1</v>
      </c>
    </row>
    <row r="462" spans="16:22" x14ac:dyDescent="0.45">
      <c r="P462" s="20" t="s">
        <v>497</v>
      </c>
      <c r="R462">
        <v>1</v>
      </c>
      <c r="V462">
        <v>1</v>
      </c>
    </row>
    <row r="463" spans="16:22" x14ac:dyDescent="0.45">
      <c r="P463" s="20" t="s">
        <v>849</v>
      </c>
      <c r="R463">
        <v>1</v>
      </c>
      <c r="V463">
        <v>1</v>
      </c>
    </row>
    <row r="464" spans="16:22" x14ac:dyDescent="0.45">
      <c r="P464" s="20" t="s">
        <v>216</v>
      </c>
      <c r="R464">
        <v>3</v>
      </c>
      <c r="S464">
        <v>1</v>
      </c>
      <c r="T464">
        <v>1</v>
      </c>
      <c r="V464">
        <v>5</v>
      </c>
    </row>
    <row r="465" spans="16:22" x14ac:dyDescent="0.45">
      <c r="P465" s="20" t="s">
        <v>974</v>
      </c>
      <c r="R465">
        <v>1</v>
      </c>
      <c r="V465">
        <v>1</v>
      </c>
    </row>
    <row r="466" spans="16:22" x14ac:dyDescent="0.45">
      <c r="P466" s="20" t="s">
        <v>1052</v>
      </c>
      <c r="R466">
        <v>1</v>
      </c>
      <c r="V466">
        <v>1</v>
      </c>
    </row>
    <row r="467" spans="16:22" x14ac:dyDescent="0.45">
      <c r="P467" s="20" t="s">
        <v>688</v>
      </c>
      <c r="R467">
        <v>1</v>
      </c>
      <c r="V467">
        <v>1</v>
      </c>
    </row>
    <row r="468" spans="16:22" x14ac:dyDescent="0.45">
      <c r="P468" s="20" t="s">
        <v>980</v>
      </c>
      <c r="R468">
        <v>1</v>
      </c>
      <c r="V468">
        <v>1</v>
      </c>
    </row>
    <row r="469" spans="16:22" x14ac:dyDescent="0.45">
      <c r="P469" s="20" t="s">
        <v>401</v>
      </c>
      <c r="S469">
        <v>1</v>
      </c>
      <c r="V469">
        <v>1</v>
      </c>
    </row>
    <row r="470" spans="16:22" x14ac:dyDescent="0.45">
      <c r="P470" s="20" t="s">
        <v>916</v>
      </c>
      <c r="R470">
        <v>1</v>
      </c>
      <c r="V470">
        <v>1</v>
      </c>
    </row>
    <row r="471" spans="16:22" x14ac:dyDescent="0.45">
      <c r="P471" s="20" t="s">
        <v>1387</v>
      </c>
      <c r="R471">
        <v>1</v>
      </c>
      <c r="V471">
        <v>1</v>
      </c>
    </row>
    <row r="472" spans="16:22" x14ac:dyDescent="0.45">
      <c r="P472" s="20" t="s">
        <v>966</v>
      </c>
      <c r="R472">
        <v>1</v>
      </c>
      <c r="V472">
        <v>1</v>
      </c>
    </row>
    <row r="473" spans="16:22" x14ac:dyDescent="0.45">
      <c r="P473" s="20" t="s">
        <v>796</v>
      </c>
      <c r="R473">
        <v>1</v>
      </c>
      <c r="V473">
        <v>1</v>
      </c>
    </row>
    <row r="474" spans="16:22" x14ac:dyDescent="0.45">
      <c r="P474" s="20" t="s">
        <v>334</v>
      </c>
      <c r="R474">
        <v>1</v>
      </c>
      <c r="U474">
        <v>1</v>
      </c>
      <c r="V474">
        <v>2</v>
      </c>
    </row>
    <row r="475" spans="16:22" x14ac:dyDescent="0.45">
      <c r="P475" s="20" t="s">
        <v>1319</v>
      </c>
      <c r="R475">
        <v>1</v>
      </c>
      <c r="V475">
        <v>1</v>
      </c>
    </row>
    <row r="476" spans="16:22" x14ac:dyDescent="0.45">
      <c r="P476" s="20" t="s">
        <v>612</v>
      </c>
      <c r="R476">
        <v>1</v>
      </c>
      <c r="V476">
        <v>1</v>
      </c>
    </row>
    <row r="477" spans="16:22" x14ac:dyDescent="0.45">
      <c r="P477" s="20" t="s">
        <v>1058</v>
      </c>
      <c r="R477">
        <v>1</v>
      </c>
      <c r="V477">
        <v>1</v>
      </c>
    </row>
    <row r="478" spans="16:22" x14ac:dyDescent="0.45">
      <c r="P478" s="20" t="s">
        <v>1139</v>
      </c>
      <c r="R478">
        <v>1</v>
      </c>
      <c r="V478">
        <v>1</v>
      </c>
    </row>
    <row r="479" spans="16:22" x14ac:dyDescent="0.45">
      <c r="P479" s="20" t="s">
        <v>1352</v>
      </c>
      <c r="R479">
        <v>1</v>
      </c>
      <c r="V479">
        <v>1</v>
      </c>
    </row>
    <row r="480" spans="16:22" x14ac:dyDescent="0.45">
      <c r="P480" s="20" t="s">
        <v>438</v>
      </c>
      <c r="T480">
        <v>1</v>
      </c>
      <c r="V480">
        <v>1</v>
      </c>
    </row>
    <row r="481" spans="16:22" x14ac:dyDescent="0.45">
      <c r="P481" s="20" t="s">
        <v>984</v>
      </c>
      <c r="R481">
        <v>1</v>
      </c>
      <c r="V481">
        <v>1</v>
      </c>
    </row>
    <row r="482" spans="16:22" x14ac:dyDescent="0.45">
      <c r="P482" s="20" t="s">
        <v>43</v>
      </c>
      <c r="R482">
        <v>1</v>
      </c>
      <c r="S482">
        <v>2</v>
      </c>
      <c r="V482">
        <v>3</v>
      </c>
    </row>
    <row r="483" spans="16:22" x14ac:dyDescent="0.45">
      <c r="P483" s="20" t="s">
        <v>309</v>
      </c>
      <c r="S483">
        <v>1</v>
      </c>
      <c r="V483">
        <v>1</v>
      </c>
    </row>
    <row r="484" spans="16:22" x14ac:dyDescent="0.45">
      <c r="P484" s="20" t="s">
        <v>680</v>
      </c>
      <c r="R484">
        <v>1</v>
      </c>
      <c r="V484">
        <v>1</v>
      </c>
    </row>
    <row r="485" spans="16:22" x14ac:dyDescent="0.45">
      <c r="P485" s="20" t="s">
        <v>1245</v>
      </c>
      <c r="R485">
        <v>1</v>
      </c>
      <c r="V485">
        <v>1</v>
      </c>
    </row>
    <row r="486" spans="16:22" x14ac:dyDescent="0.45">
      <c r="P486" s="20" t="s">
        <v>628</v>
      </c>
      <c r="S486">
        <v>1</v>
      </c>
      <c r="V486">
        <v>1</v>
      </c>
    </row>
    <row r="487" spans="16:22" x14ac:dyDescent="0.45">
      <c r="P487" s="20" t="s">
        <v>247</v>
      </c>
      <c r="R487">
        <v>3</v>
      </c>
      <c r="V487">
        <v>3</v>
      </c>
    </row>
    <row r="488" spans="16:22" x14ac:dyDescent="0.45">
      <c r="P488" s="20" t="s">
        <v>102</v>
      </c>
      <c r="R488">
        <v>2</v>
      </c>
      <c r="T488">
        <v>1</v>
      </c>
      <c r="U488">
        <v>1</v>
      </c>
      <c r="V488">
        <v>4</v>
      </c>
    </row>
    <row r="489" spans="16:22" x14ac:dyDescent="0.45">
      <c r="P489" s="20" t="s">
        <v>649</v>
      </c>
      <c r="R489">
        <v>1</v>
      </c>
      <c r="V489">
        <v>1</v>
      </c>
    </row>
    <row r="490" spans="16:22" x14ac:dyDescent="0.45">
      <c r="P490" s="20" t="s">
        <v>307</v>
      </c>
      <c r="S490">
        <v>3</v>
      </c>
      <c r="U490">
        <v>2</v>
      </c>
      <c r="V490">
        <v>5</v>
      </c>
    </row>
    <row r="491" spans="16:22" x14ac:dyDescent="0.45">
      <c r="P491" s="20" t="s">
        <v>1389</v>
      </c>
      <c r="R491">
        <v>1</v>
      </c>
      <c r="V491">
        <v>1</v>
      </c>
    </row>
    <row r="492" spans="16:22" x14ac:dyDescent="0.45">
      <c r="P492" s="20" t="s">
        <v>1446</v>
      </c>
      <c r="R492">
        <v>1</v>
      </c>
      <c r="V492">
        <v>1</v>
      </c>
    </row>
    <row r="493" spans="16:22" x14ac:dyDescent="0.45">
      <c r="P493" s="20" t="s">
        <v>683</v>
      </c>
      <c r="R493">
        <v>1</v>
      </c>
      <c r="V493">
        <v>1</v>
      </c>
    </row>
    <row r="494" spans="16:22" x14ac:dyDescent="0.45">
      <c r="P494" s="20" t="s">
        <v>399</v>
      </c>
      <c r="U494">
        <v>3</v>
      </c>
      <c r="V494">
        <v>3</v>
      </c>
    </row>
    <row r="495" spans="16:22" x14ac:dyDescent="0.45">
      <c r="P495" s="20" t="s">
        <v>371</v>
      </c>
      <c r="T495">
        <v>1</v>
      </c>
      <c r="V495">
        <v>1</v>
      </c>
    </row>
    <row r="496" spans="16:22" x14ac:dyDescent="0.45">
      <c r="P496" s="20" t="s">
        <v>53</v>
      </c>
      <c r="U496">
        <v>1</v>
      </c>
      <c r="V496">
        <v>1</v>
      </c>
    </row>
    <row r="497" spans="16:22" x14ac:dyDescent="0.45">
      <c r="P497" s="20" t="s">
        <v>149</v>
      </c>
      <c r="S497">
        <v>1</v>
      </c>
      <c r="V497">
        <v>1</v>
      </c>
    </row>
    <row r="498" spans="16:22" x14ac:dyDescent="0.45">
      <c r="P498" s="20" t="s">
        <v>378</v>
      </c>
      <c r="S498">
        <v>1</v>
      </c>
      <c r="V498">
        <v>1</v>
      </c>
    </row>
    <row r="499" spans="16:22" x14ac:dyDescent="0.45">
      <c r="P499" s="20" t="s">
        <v>1107</v>
      </c>
      <c r="R499">
        <v>1</v>
      </c>
      <c r="V499">
        <v>1</v>
      </c>
    </row>
    <row r="500" spans="16:22" x14ac:dyDescent="0.45">
      <c r="P500" s="20" t="s">
        <v>376</v>
      </c>
      <c r="S500">
        <v>3</v>
      </c>
      <c r="V500">
        <v>3</v>
      </c>
    </row>
    <row r="501" spans="16:22" x14ac:dyDescent="0.45">
      <c r="P501" s="20" t="s">
        <v>217</v>
      </c>
      <c r="T501">
        <v>1</v>
      </c>
      <c r="V501">
        <v>1</v>
      </c>
    </row>
    <row r="502" spans="16:22" x14ac:dyDescent="0.45">
      <c r="P502" s="20" t="s">
        <v>1176</v>
      </c>
      <c r="R502">
        <v>1</v>
      </c>
      <c r="V502">
        <v>1</v>
      </c>
    </row>
    <row r="503" spans="16:22" x14ac:dyDescent="0.45">
      <c r="P503" s="20" t="s">
        <v>1254</v>
      </c>
      <c r="R503">
        <v>1</v>
      </c>
      <c r="V503">
        <v>1</v>
      </c>
    </row>
    <row r="504" spans="16:22" x14ac:dyDescent="0.45">
      <c r="P504" s="20" t="s">
        <v>1029</v>
      </c>
      <c r="R504">
        <v>1</v>
      </c>
      <c r="V504">
        <v>1</v>
      </c>
    </row>
    <row r="505" spans="16:22" x14ac:dyDescent="0.45">
      <c r="P505" s="20" t="s">
        <v>1127</v>
      </c>
      <c r="R505">
        <v>1</v>
      </c>
      <c r="V505">
        <v>1</v>
      </c>
    </row>
    <row r="506" spans="16:22" x14ac:dyDescent="0.45">
      <c r="P506" s="20" t="s">
        <v>1035</v>
      </c>
      <c r="R506">
        <v>1</v>
      </c>
      <c r="V506">
        <v>1</v>
      </c>
    </row>
    <row r="507" spans="16:22" x14ac:dyDescent="0.45">
      <c r="P507" s="20" t="s">
        <v>952</v>
      </c>
      <c r="R507">
        <v>1</v>
      </c>
      <c r="V507">
        <v>1</v>
      </c>
    </row>
    <row r="508" spans="16:22" x14ac:dyDescent="0.45">
      <c r="P508" s="20" t="s">
        <v>997</v>
      </c>
      <c r="R508">
        <v>1</v>
      </c>
      <c r="V508">
        <v>1</v>
      </c>
    </row>
    <row r="509" spans="16:22" x14ac:dyDescent="0.45">
      <c r="P509" s="20" t="s">
        <v>1309</v>
      </c>
      <c r="R509">
        <v>1</v>
      </c>
      <c r="V509">
        <v>1</v>
      </c>
    </row>
    <row r="510" spans="16:22" x14ac:dyDescent="0.45">
      <c r="P510" s="20" t="s">
        <v>814</v>
      </c>
      <c r="R510">
        <v>1</v>
      </c>
      <c r="V510">
        <v>1</v>
      </c>
    </row>
    <row r="511" spans="16:22" x14ac:dyDescent="0.45">
      <c r="P511" s="20" t="s">
        <v>381</v>
      </c>
      <c r="U511">
        <v>1</v>
      </c>
      <c r="V511">
        <v>1</v>
      </c>
    </row>
    <row r="512" spans="16:22" x14ac:dyDescent="0.45">
      <c r="P512" s="20" t="s">
        <v>288</v>
      </c>
      <c r="R512">
        <v>1</v>
      </c>
      <c r="V512">
        <v>1</v>
      </c>
    </row>
    <row r="513" spans="16:22" x14ac:dyDescent="0.45">
      <c r="P513" s="20" t="s">
        <v>875</v>
      </c>
      <c r="R513">
        <v>1</v>
      </c>
      <c r="V513">
        <v>1</v>
      </c>
    </row>
    <row r="514" spans="16:22" x14ac:dyDescent="0.45">
      <c r="P514" s="20" t="s">
        <v>1249</v>
      </c>
      <c r="R514">
        <v>1</v>
      </c>
      <c r="V514">
        <v>1</v>
      </c>
    </row>
    <row r="515" spans="16:22" x14ac:dyDescent="0.45">
      <c r="P515" s="20" t="s">
        <v>282</v>
      </c>
      <c r="R515">
        <v>2</v>
      </c>
      <c r="S515">
        <v>2</v>
      </c>
      <c r="T515">
        <v>1</v>
      </c>
      <c r="V515">
        <v>5</v>
      </c>
    </row>
    <row r="516" spans="16:22" x14ac:dyDescent="0.45">
      <c r="P516" s="20" t="s">
        <v>743</v>
      </c>
      <c r="R516">
        <v>1</v>
      </c>
      <c r="V516">
        <v>1</v>
      </c>
    </row>
    <row r="517" spans="16:22" x14ac:dyDescent="0.45">
      <c r="P517" s="20" t="s">
        <v>596</v>
      </c>
      <c r="R517">
        <v>1</v>
      </c>
      <c r="V517">
        <v>1</v>
      </c>
    </row>
    <row r="518" spans="16:22" x14ac:dyDescent="0.45">
      <c r="P518" s="20" t="s">
        <v>1027</v>
      </c>
      <c r="R518">
        <v>1</v>
      </c>
      <c r="V518">
        <v>1</v>
      </c>
    </row>
    <row r="519" spans="16:22" x14ac:dyDescent="0.45">
      <c r="P519" s="20" t="s">
        <v>1433</v>
      </c>
      <c r="R519">
        <v>1</v>
      </c>
      <c r="V519">
        <v>1</v>
      </c>
    </row>
    <row r="520" spans="16:22" x14ac:dyDescent="0.45">
      <c r="P520" s="20" t="s">
        <v>1106</v>
      </c>
      <c r="R520">
        <v>1</v>
      </c>
      <c r="V520">
        <v>1</v>
      </c>
    </row>
    <row r="521" spans="16:22" x14ac:dyDescent="0.45">
      <c r="P521" s="20" t="s">
        <v>286</v>
      </c>
      <c r="S521">
        <v>1</v>
      </c>
      <c r="U521">
        <v>2</v>
      </c>
      <c r="V521">
        <v>3</v>
      </c>
    </row>
    <row r="522" spans="16:22" x14ac:dyDescent="0.45">
      <c r="P522" s="20" t="s">
        <v>444</v>
      </c>
      <c r="T522">
        <v>1</v>
      </c>
      <c r="V522">
        <v>1</v>
      </c>
    </row>
    <row r="523" spans="16:22" x14ac:dyDescent="0.45">
      <c r="P523" s="20" t="s">
        <v>1095</v>
      </c>
      <c r="R523">
        <v>1</v>
      </c>
      <c r="V523">
        <v>1</v>
      </c>
    </row>
    <row r="524" spans="16:22" x14ac:dyDescent="0.45">
      <c r="P524" s="20" t="s">
        <v>1083</v>
      </c>
      <c r="R524">
        <v>1</v>
      </c>
      <c r="V524">
        <v>1</v>
      </c>
    </row>
    <row r="525" spans="16:22" x14ac:dyDescent="0.45">
      <c r="P525" s="20" t="s">
        <v>295</v>
      </c>
      <c r="U525">
        <v>1</v>
      </c>
      <c r="V525">
        <v>1</v>
      </c>
    </row>
    <row r="526" spans="16:22" x14ac:dyDescent="0.45">
      <c r="P526" s="20" t="s">
        <v>351</v>
      </c>
      <c r="R526">
        <v>3</v>
      </c>
      <c r="T526">
        <v>2</v>
      </c>
      <c r="V526">
        <v>5</v>
      </c>
    </row>
    <row r="527" spans="16:22" x14ac:dyDescent="0.45">
      <c r="P527" s="20" t="s">
        <v>51</v>
      </c>
      <c r="U527">
        <v>2</v>
      </c>
      <c r="V527">
        <v>2</v>
      </c>
    </row>
    <row r="528" spans="16:22" x14ac:dyDescent="0.45">
      <c r="P528" s="20" t="s">
        <v>211</v>
      </c>
      <c r="T528">
        <v>1</v>
      </c>
      <c r="U528">
        <v>3</v>
      </c>
      <c r="V528">
        <v>4</v>
      </c>
    </row>
    <row r="529" spans="16:22" x14ac:dyDescent="0.45">
      <c r="P529" s="20" t="s">
        <v>210</v>
      </c>
      <c r="S529">
        <v>1</v>
      </c>
      <c r="V529">
        <v>1</v>
      </c>
    </row>
    <row r="530" spans="16:22" x14ac:dyDescent="0.45">
      <c r="P530" s="20" t="s">
        <v>158</v>
      </c>
      <c r="S530">
        <v>1</v>
      </c>
      <c r="U530">
        <v>1</v>
      </c>
      <c r="V530">
        <v>2</v>
      </c>
    </row>
    <row r="531" spans="16:22" x14ac:dyDescent="0.45">
      <c r="P531" s="20" t="s">
        <v>1038</v>
      </c>
      <c r="R531">
        <v>1</v>
      </c>
      <c r="V531">
        <v>1</v>
      </c>
    </row>
    <row r="532" spans="16:22" x14ac:dyDescent="0.45">
      <c r="P532" s="20" t="s">
        <v>1455</v>
      </c>
      <c r="R532">
        <v>1</v>
      </c>
      <c r="V532">
        <v>1</v>
      </c>
    </row>
    <row r="533" spans="16:22" x14ac:dyDescent="0.45">
      <c r="P533" s="20" t="s">
        <v>131</v>
      </c>
      <c r="R533">
        <v>1</v>
      </c>
      <c r="U533">
        <v>1</v>
      </c>
      <c r="V533">
        <v>2</v>
      </c>
    </row>
    <row r="534" spans="16:22" x14ac:dyDescent="0.45">
      <c r="P534" s="20" t="s">
        <v>393</v>
      </c>
      <c r="S534">
        <v>1</v>
      </c>
      <c r="V534">
        <v>1</v>
      </c>
    </row>
    <row r="535" spans="16:22" x14ac:dyDescent="0.45">
      <c r="P535" s="20" t="s">
        <v>590</v>
      </c>
      <c r="R535">
        <v>1</v>
      </c>
      <c r="V535">
        <v>1</v>
      </c>
    </row>
    <row r="536" spans="16:22" x14ac:dyDescent="0.45">
      <c r="P536" s="20" t="s">
        <v>1119</v>
      </c>
      <c r="R536">
        <v>1</v>
      </c>
      <c r="V536">
        <v>1</v>
      </c>
    </row>
    <row r="537" spans="16:22" x14ac:dyDescent="0.45">
      <c r="P537" s="20" t="s">
        <v>560</v>
      </c>
      <c r="R537">
        <v>1</v>
      </c>
      <c r="V537">
        <v>1</v>
      </c>
    </row>
    <row r="538" spans="16:22" x14ac:dyDescent="0.45">
      <c r="P538" s="20" t="s">
        <v>122</v>
      </c>
      <c r="U538">
        <v>3</v>
      </c>
      <c r="V538">
        <v>3</v>
      </c>
    </row>
    <row r="539" spans="16:22" x14ac:dyDescent="0.45">
      <c r="P539" s="20" t="s">
        <v>872</v>
      </c>
      <c r="R539">
        <v>1</v>
      </c>
      <c r="V539">
        <v>1</v>
      </c>
    </row>
    <row r="540" spans="16:22" x14ac:dyDescent="0.45">
      <c r="P540" s="20" t="s">
        <v>781</v>
      </c>
      <c r="R540">
        <v>1</v>
      </c>
      <c r="V540">
        <v>1</v>
      </c>
    </row>
    <row r="541" spans="16:22" x14ac:dyDescent="0.45">
      <c r="P541" s="20" t="s">
        <v>1248</v>
      </c>
      <c r="R541">
        <v>1</v>
      </c>
      <c r="V541">
        <v>1</v>
      </c>
    </row>
    <row r="542" spans="16:22" x14ac:dyDescent="0.45">
      <c r="P542" s="20" t="s">
        <v>125</v>
      </c>
      <c r="S542">
        <v>2</v>
      </c>
      <c r="U542">
        <v>3</v>
      </c>
      <c r="V542">
        <v>5</v>
      </c>
    </row>
    <row r="543" spans="16:22" x14ac:dyDescent="0.45">
      <c r="P543" s="20" t="s">
        <v>679</v>
      </c>
      <c r="R543">
        <v>1</v>
      </c>
      <c r="V543">
        <v>1</v>
      </c>
    </row>
    <row r="544" spans="16:22" x14ac:dyDescent="0.45">
      <c r="P544" s="20" t="s">
        <v>83</v>
      </c>
      <c r="R544">
        <v>1</v>
      </c>
      <c r="V544">
        <v>1</v>
      </c>
    </row>
    <row r="545" spans="16:22" x14ac:dyDescent="0.45">
      <c r="P545" s="20" t="s">
        <v>157</v>
      </c>
      <c r="S545">
        <v>1</v>
      </c>
      <c r="U545">
        <v>2</v>
      </c>
      <c r="V545">
        <v>3</v>
      </c>
    </row>
    <row r="546" spans="16:22" x14ac:dyDescent="0.45">
      <c r="P546" s="20" t="s">
        <v>1439</v>
      </c>
      <c r="R546">
        <v>1</v>
      </c>
      <c r="V546">
        <v>1</v>
      </c>
    </row>
    <row r="547" spans="16:22" x14ac:dyDescent="0.45">
      <c r="P547" s="20" t="s">
        <v>1079</v>
      </c>
      <c r="R547">
        <v>1</v>
      </c>
      <c r="V547">
        <v>1</v>
      </c>
    </row>
    <row r="548" spans="16:22" x14ac:dyDescent="0.45">
      <c r="P548" s="20" t="s">
        <v>646</v>
      </c>
      <c r="R548">
        <v>1</v>
      </c>
      <c r="V548">
        <v>1</v>
      </c>
    </row>
    <row r="549" spans="16:22" x14ac:dyDescent="0.45">
      <c r="P549" s="20" t="s">
        <v>1110</v>
      </c>
      <c r="R549">
        <v>1</v>
      </c>
      <c r="V549">
        <v>1</v>
      </c>
    </row>
    <row r="550" spans="16:22" x14ac:dyDescent="0.45">
      <c r="P550" s="20" t="s">
        <v>846</v>
      </c>
      <c r="R550">
        <v>1</v>
      </c>
      <c r="V550">
        <v>1</v>
      </c>
    </row>
    <row r="551" spans="16:22" x14ac:dyDescent="0.45">
      <c r="P551" s="20" t="s">
        <v>851</v>
      </c>
      <c r="R551">
        <v>1</v>
      </c>
      <c r="V551">
        <v>1</v>
      </c>
    </row>
    <row r="552" spans="16:22" x14ac:dyDescent="0.45">
      <c r="P552" s="20" t="s">
        <v>817</v>
      </c>
      <c r="R552">
        <v>1</v>
      </c>
      <c r="V552">
        <v>1</v>
      </c>
    </row>
    <row r="553" spans="16:22" x14ac:dyDescent="0.45">
      <c r="P553" s="20" t="s">
        <v>603</v>
      </c>
      <c r="R553">
        <v>1</v>
      </c>
      <c r="V553">
        <v>1</v>
      </c>
    </row>
    <row r="554" spans="16:22" x14ac:dyDescent="0.45">
      <c r="P554" s="20" t="s">
        <v>1385</v>
      </c>
      <c r="R554">
        <v>1</v>
      </c>
      <c r="V554">
        <v>1</v>
      </c>
    </row>
    <row r="555" spans="16:22" x14ac:dyDescent="0.45">
      <c r="P555" s="20" t="s">
        <v>1136</v>
      </c>
      <c r="R555">
        <v>1</v>
      </c>
      <c r="V555">
        <v>1</v>
      </c>
    </row>
    <row r="556" spans="16:22" x14ac:dyDescent="0.45">
      <c r="P556" s="20" t="s">
        <v>93</v>
      </c>
      <c r="S556">
        <v>1</v>
      </c>
      <c r="T556">
        <v>1</v>
      </c>
      <c r="V556">
        <v>2</v>
      </c>
    </row>
    <row r="557" spans="16:22" x14ac:dyDescent="0.45">
      <c r="P557" s="20" t="s">
        <v>263</v>
      </c>
      <c r="R557">
        <v>1</v>
      </c>
      <c r="S557">
        <v>1</v>
      </c>
      <c r="V557">
        <v>2</v>
      </c>
    </row>
    <row r="558" spans="16:22" x14ac:dyDescent="0.45">
      <c r="P558" s="20" t="s">
        <v>26</v>
      </c>
      <c r="S558">
        <v>2</v>
      </c>
      <c r="V558">
        <v>2</v>
      </c>
    </row>
    <row r="559" spans="16:22" x14ac:dyDescent="0.45">
      <c r="P559" s="20" t="s">
        <v>1397</v>
      </c>
      <c r="R559">
        <v>1</v>
      </c>
      <c r="V559">
        <v>1</v>
      </c>
    </row>
    <row r="560" spans="16:22" x14ac:dyDescent="0.45">
      <c r="P560" s="20" t="s">
        <v>1069</v>
      </c>
      <c r="R560">
        <v>1</v>
      </c>
      <c r="V560">
        <v>1</v>
      </c>
    </row>
    <row r="561" spans="16:22" x14ac:dyDescent="0.45">
      <c r="P561" s="20" t="s">
        <v>411</v>
      </c>
      <c r="R561">
        <v>2</v>
      </c>
      <c r="V561">
        <v>2</v>
      </c>
    </row>
    <row r="562" spans="16:22" x14ac:dyDescent="0.45">
      <c r="P562" s="20" t="s">
        <v>56</v>
      </c>
      <c r="R562">
        <v>1</v>
      </c>
      <c r="V562">
        <v>1</v>
      </c>
    </row>
    <row r="563" spans="16:22" x14ac:dyDescent="0.45">
      <c r="P563" s="20" t="s">
        <v>303</v>
      </c>
      <c r="S563">
        <v>2</v>
      </c>
      <c r="V563">
        <v>2</v>
      </c>
    </row>
    <row r="564" spans="16:22" x14ac:dyDescent="0.45">
      <c r="P564" s="20" t="s">
        <v>1103</v>
      </c>
      <c r="R564">
        <v>1</v>
      </c>
      <c r="V564">
        <v>1</v>
      </c>
    </row>
    <row r="565" spans="16:22" x14ac:dyDescent="0.45">
      <c r="P565" s="20" t="s">
        <v>1458</v>
      </c>
      <c r="R565">
        <v>1</v>
      </c>
      <c r="V565">
        <v>1</v>
      </c>
    </row>
    <row r="566" spans="16:22" x14ac:dyDescent="0.45">
      <c r="P566" s="20" t="s">
        <v>982</v>
      </c>
      <c r="R566">
        <v>1</v>
      </c>
      <c r="V566">
        <v>1</v>
      </c>
    </row>
    <row r="567" spans="16:22" x14ac:dyDescent="0.45">
      <c r="P567" s="20" t="s">
        <v>665</v>
      </c>
      <c r="R567">
        <v>1</v>
      </c>
      <c r="V567">
        <v>1</v>
      </c>
    </row>
    <row r="568" spans="16:22" x14ac:dyDescent="0.45">
      <c r="P568" s="20" t="s">
        <v>130</v>
      </c>
      <c r="S568">
        <v>3</v>
      </c>
      <c r="U568">
        <v>2</v>
      </c>
      <c r="V568">
        <v>5</v>
      </c>
    </row>
    <row r="569" spans="16:22" x14ac:dyDescent="0.45">
      <c r="P569" s="20" t="s">
        <v>364</v>
      </c>
      <c r="T569">
        <v>2</v>
      </c>
      <c r="V569">
        <v>2</v>
      </c>
    </row>
    <row r="570" spans="16:22" x14ac:dyDescent="0.45">
      <c r="P570" s="20" t="s">
        <v>236</v>
      </c>
      <c r="S570">
        <v>2</v>
      </c>
      <c r="V570">
        <v>2</v>
      </c>
    </row>
    <row r="571" spans="16:22" x14ac:dyDescent="0.45">
      <c r="P571" s="20" t="s">
        <v>1327</v>
      </c>
      <c r="R571">
        <v>1</v>
      </c>
      <c r="V571">
        <v>1</v>
      </c>
    </row>
    <row r="572" spans="16:22" x14ac:dyDescent="0.45">
      <c r="P572" s="20" t="s">
        <v>1188</v>
      </c>
      <c r="R572">
        <v>1</v>
      </c>
      <c r="V572">
        <v>1</v>
      </c>
    </row>
    <row r="573" spans="16:22" x14ac:dyDescent="0.45">
      <c r="P573" s="20" t="s">
        <v>321</v>
      </c>
      <c r="S573">
        <v>2</v>
      </c>
      <c r="V573">
        <v>2</v>
      </c>
    </row>
    <row r="574" spans="16:22" x14ac:dyDescent="0.45">
      <c r="P574" s="20" t="s">
        <v>1096</v>
      </c>
      <c r="R574">
        <v>1</v>
      </c>
      <c r="V574">
        <v>1</v>
      </c>
    </row>
    <row r="575" spans="16:22" x14ac:dyDescent="0.45">
      <c r="P575" s="20" t="s">
        <v>205</v>
      </c>
      <c r="T575">
        <v>3</v>
      </c>
      <c r="V575">
        <v>3</v>
      </c>
    </row>
    <row r="576" spans="16:22" x14ac:dyDescent="0.45">
      <c r="P576" s="20" t="s">
        <v>915</v>
      </c>
      <c r="R576">
        <v>1</v>
      </c>
      <c r="V576">
        <v>1</v>
      </c>
    </row>
    <row r="577" spans="16:22" x14ac:dyDescent="0.45">
      <c r="P577" s="20" t="s">
        <v>1222</v>
      </c>
      <c r="R577">
        <v>1</v>
      </c>
      <c r="V577">
        <v>1</v>
      </c>
    </row>
    <row r="578" spans="16:22" x14ac:dyDescent="0.45">
      <c r="P578" s="20" t="s">
        <v>864</v>
      </c>
      <c r="R578">
        <v>1</v>
      </c>
      <c r="V578">
        <v>1</v>
      </c>
    </row>
    <row r="579" spans="16:22" x14ac:dyDescent="0.45">
      <c r="P579" s="20" t="s">
        <v>473</v>
      </c>
      <c r="R579">
        <v>1</v>
      </c>
      <c r="V579">
        <v>1</v>
      </c>
    </row>
    <row r="580" spans="16:22" x14ac:dyDescent="0.45">
      <c r="P580" s="20" t="s">
        <v>1280</v>
      </c>
      <c r="R580">
        <v>1</v>
      </c>
      <c r="V580">
        <v>1</v>
      </c>
    </row>
    <row r="581" spans="16:22" x14ac:dyDescent="0.45">
      <c r="P581" s="20" t="s">
        <v>913</v>
      </c>
      <c r="R581">
        <v>1</v>
      </c>
      <c r="V581">
        <v>1</v>
      </c>
    </row>
    <row r="582" spans="16:22" x14ac:dyDescent="0.45">
      <c r="P582" s="20" t="s">
        <v>1189</v>
      </c>
      <c r="R582">
        <v>1</v>
      </c>
      <c r="V582">
        <v>1</v>
      </c>
    </row>
    <row r="583" spans="16:22" x14ac:dyDescent="0.45">
      <c r="P583" s="20" t="s">
        <v>920</v>
      </c>
      <c r="R583">
        <v>1</v>
      </c>
      <c r="V583">
        <v>1</v>
      </c>
    </row>
    <row r="584" spans="16:22" x14ac:dyDescent="0.45">
      <c r="P584" s="20" t="s">
        <v>938</v>
      </c>
      <c r="R584">
        <v>1</v>
      </c>
      <c r="V584">
        <v>1</v>
      </c>
    </row>
    <row r="585" spans="16:22" x14ac:dyDescent="0.45">
      <c r="P585" s="20" t="s">
        <v>717</v>
      </c>
      <c r="R585">
        <v>1</v>
      </c>
      <c r="V585">
        <v>1</v>
      </c>
    </row>
    <row r="586" spans="16:22" x14ac:dyDescent="0.45">
      <c r="P586" s="20" t="s">
        <v>491</v>
      </c>
      <c r="R586">
        <v>1</v>
      </c>
      <c r="V586">
        <v>1</v>
      </c>
    </row>
    <row r="587" spans="16:22" x14ac:dyDescent="0.45">
      <c r="P587" s="20" t="s">
        <v>509</v>
      </c>
      <c r="R587">
        <v>1</v>
      </c>
      <c r="V587">
        <v>1</v>
      </c>
    </row>
    <row r="588" spans="16:22" x14ac:dyDescent="0.45">
      <c r="P588" s="20" t="s">
        <v>197</v>
      </c>
      <c r="R588">
        <v>4</v>
      </c>
      <c r="V588">
        <v>4</v>
      </c>
    </row>
    <row r="589" spans="16:22" x14ac:dyDescent="0.45">
      <c r="P589" s="20" t="s">
        <v>1174</v>
      </c>
      <c r="R589">
        <v>1</v>
      </c>
      <c r="V589">
        <v>1</v>
      </c>
    </row>
    <row r="590" spans="16:22" x14ac:dyDescent="0.45">
      <c r="P590" s="20" t="s">
        <v>273</v>
      </c>
      <c r="T590">
        <v>1</v>
      </c>
      <c r="V590">
        <v>1</v>
      </c>
    </row>
    <row r="591" spans="16:22" x14ac:dyDescent="0.45">
      <c r="P591" s="20" t="s">
        <v>1346</v>
      </c>
      <c r="R591">
        <v>1</v>
      </c>
      <c r="V591">
        <v>1</v>
      </c>
    </row>
    <row r="592" spans="16:22" x14ac:dyDescent="0.45">
      <c r="P592" s="20" t="s">
        <v>1155</v>
      </c>
      <c r="R592">
        <v>1</v>
      </c>
      <c r="V592">
        <v>1</v>
      </c>
    </row>
    <row r="593" spans="16:22" x14ac:dyDescent="0.45">
      <c r="P593" s="20" t="s">
        <v>1237</v>
      </c>
      <c r="S593">
        <v>1</v>
      </c>
      <c r="V593">
        <v>1</v>
      </c>
    </row>
    <row r="594" spans="16:22" x14ac:dyDescent="0.45">
      <c r="P594" s="20" t="s">
        <v>642</v>
      </c>
      <c r="R594">
        <v>1</v>
      </c>
      <c r="V594">
        <v>1</v>
      </c>
    </row>
    <row r="595" spans="16:22" x14ac:dyDescent="0.45">
      <c r="P595" s="20" t="s">
        <v>835</v>
      </c>
      <c r="R595">
        <v>1</v>
      </c>
      <c r="V595">
        <v>1</v>
      </c>
    </row>
    <row r="596" spans="16:22" x14ac:dyDescent="0.45">
      <c r="P596" s="20" t="s">
        <v>797</v>
      </c>
      <c r="R596">
        <v>1</v>
      </c>
      <c r="V596">
        <v>1</v>
      </c>
    </row>
    <row r="597" spans="16:22" x14ac:dyDescent="0.45">
      <c r="P597" s="20" t="s">
        <v>733</v>
      </c>
      <c r="R597">
        <v>1</v>
      </c>
      <c r="V597">
        <v>1</v>
      </c>
    </row>
    <row r="598" spans="16:22" x14ac:dyDescent="0.45">
      <c r="P598" s="20" t="s">
        <v>243</v>
      </c>
      <c r="U598">
        <v>2</v>
      </c>
      <c r="V598">
        <v>2</v>
      </c>
    </row>
    <row r="599" spans="16:22" x14ac:dyDescent="0.45">
      <c r="P599" s="20" t="s">
        <v>941</v>
      </c>
      <c r="R599">
        <v>1</v>
      </c>
      <c r="V599">
        <v>1</v>
      </c>
    </row>
    <row r="600" spans="16:22" x14ac:dyDescent="0.45">
      <c r="P600" s="20" t="s">
        <v>144</v>
      </c>
      <c r="T600">
        <v>3</v>
      </c>
      <c r="V600">
        <v>3</v>
      </c>
    </row>
    <row r="601" spans="16:22" x14ac:dyDescent="0.45">
      <c r="P601" s="20" t="s">
        <v>1252</v>
      </c>
      <c r="R601">
        <v>1</v>
      </c>
      <c r="V601">
        <v>1</v>
      </c>
    </row>
    <row r="602" spans="16:22" x14ac:dyDescent="0.45">
      <c r="P602" s="20" t="s">
        <v>690</v>
      </c>
      <c r="R602">
        <v>1</v>
      </c>
      <c r="V602">
        <v>1</v>
      </c>
    </row>
    <row r="603" spans="16:22" x14ac:dyDescent="0.45">
      <c r="P603" s="20" t="s">
        <v>1125</v>
      </c>
      <c r="R603">
        <v>1</v>
      </c>
      <c r="V603">
        <v>1</v>
      </c>
    </row>
    <row r="604" spans="16:22" x14ac:dyDescent="0.45">
      <c r="P604" s="20" t="s">
        <v>466</v>
      </c>
      <c r="R604">
        <v>1</v>
      </c>
      <c r="V604">
        <v>1</v>
      </c>
    </row>
    <row r="605" spans="16:22" x14ac:dyDescent="0.45">
      <c r="P605" s="20" t="s">
        <v>117</v>
      </c>
      <c r="T605">
        <v>2</v>
      </c>
      <c r="V605">
        <v>2</v>
      </c>
    </row>
    <row r="606" spans="16:22" x14ac:dyDescent="0.45">
      <c r="P606" s="20" t="s">
        <v>871</v>
      </c>
      <c r="R606">
        <v>1</v>
      </c>
      <c r="V606">
        <v>1</v>
      </c>
    </row>
    <row r="607" spans="16:22" x14ac:dyDescent="0.45">
      <c r="P607" s="20" t="s">
        <v>1006</v>
      </c>
      <c r="R607">
        <v>1</v>
      </c>
      <c r="V607">
        <v>1</v>
      </c>
    </row>
    <row r="608" spans="16:22" x14ac:dyDescent="0.45">
      <c r="P608" s="20" t="s">
        <v>518</v>
      </c>
      <c r="R608">
        <v>1</v>
      </c>
      <c r="V608">
        <v>1</v>
      </c>
    </row>
    <row r="609" spans="16:22" x14ac:dyDescent="0.45">
      <c r="P609" s="20" t="s">
        <v>505</v>
      </c>
      <c r="R609">
        <v>1</v>
      </c>
      <c r="V609">
        <v>1</v>
      </c>
    </row>
    <row r="610" spans="16:22" x14ac:dyDescent="0.45">
      <c r="P610" s="20" t="s">
        <v>1085</v>
      </c>
      <c r="R610">
        <v>1</v>
      </c>
      <c r="V610">
        <v>1</v>
      </c>
    </row>
    <row r="611" spans="16:22" x14ac:dyDescent="0.45">
      <c r="P611" s="20" t="s">
        <v>573</v>
      </c>
      <c r="R611">
        <v>1</v>
      </c>
      <c r="V611">
        <v>1</v>
      </c>
    </row>
    <row r="612" spans="16:22" x14ac:dyDescent="0.45">
      <c r="P612" s="20" t="s">
        <v>1275</v>
      </c>
      <c r="R612">
        <v>1</v>
      </c>
      <c r="V612">
        <v>1</v>
      </c>
    </row>
    <row r="613" spans="16:22" x14ac:dyDescent="0.45">
      <c r="P613" s="20" t="s">
        <v>1273</v>
      </c>
      <c r="R613">
        <v>1</v>
      </c>
      <c r="V613">
        <v>1</v>
      </c>
    </row>
    <row r="614" spans="16:22" x14ac:dyDescent="0.45">
      <c r="P614" s="20" t="s">
        <v>1335</v>
      </c>
      <c r="R614">
        <v>1</v>
      </c>
      <c r="V614">
        <v>1</v>
      </c>
    </row>
    <row r="615" spans="16:22" x14ac:dyDescent="0.45">
      <c r="P615" s="20" t="s">
        <v>888</v>
      </c>
      <c r="R615">
        <v>1</v>
      </c>
      <c r="V615">
        <v>1</v>
      </c>
    </row>
    <row r="616" spans="16:22" x14ac:dyDescent="0.45">
      <c r="P616" s="20" t="s">
        <v>1428</v>
      </c>
      <c r="R616">
        <v>1</v>
      </c>
      <c r="V616">
        <v>1</v>
      </c>
    </row>
    <row r="617" spans="16:22" x14ac:dyDescent="0.45">
      <c r="P617" s="20" t="s">
        <v>1009</v>
      </c>
      <c r="R617">
        <v>1</v>
      </c>
      <c r="V617">
        <v>1</v>
      </c>
    </row>
    <row r="618" spans="16:22" x14ac:dyDescent="0.45">
      <c r="P618" s="20" t="s">
        <v>261</v>
      </c>
      <c r="R618">
        <v>3</v>
      </c>
      <c r="U618">
        <v>1</v>
      </c>
      <c r="V618">
        <v>4</v>
      </c>
    </row>
    <row r="619" spans="16:22" x14ac:dyDescent="0.45">
      <c r="P619" s="20" t="s">
        <v>241</v>
      </c>
      <c r="R619">
        <v>1</v>
      </c>
      <c r="V619">
        <v>1</v>
      </c>
    </row>
    <row r="620" spans="16:22" x14ac:dyDescent="0.45">
      <c r="P620" s="20" t="s">
        <v>1253</v>
      </c>
      <c r="R620">
        <v>1</v>
      </c>
      <c r="V620">
        <v>1</v>
      </c>
    </row>
    <row r="621" spans="16:22" x14ac:dyDescent="0.45">
      <c r="P621" s="20" t="s">
        <v>1011</v>
      </c>
      <c r="R621">
        <v>1</v>
      </c>
      <c r="V621">
        <v>1</v>
      </c>
    </row>
    <row r="622" spans="16:22" x14ac:dyDescent="0.45">
      <c r="P622" s="20" t="s">
        <v>1113</v>
      </c>
      <c r="R622">
        <v>1</v>
      </c>
      <c r="V622">
        <v>1</v>
      </c>
    </row>
    <row r="623" spans="16:22" x14ac:dyDescent="0.45">
      <c r="P623" s="20" t="s">
        <v>820</v>
      </c>
      <c r="R623">
        <v>1</v>
      </c>
      <c r="V623">
        <v>1</v>
      </c>
    </row>
    <row r="624" spans="16:22" x14ac:dyDescent="0.45">
      <c r="P624" s="20" t="s">
        <v>1262</v>
      </c>
      <c r="R624">
        <v>1</v>
      </c>
      <c r="V624">
        <v>1</v>
      </c>
    </row>
    <row r="625" spans="16:22" x14ac:dyDescent="0.45">
      <c r="P625" s="20" t="s">
        <v>1234</v>
      </c>
      <c r="R625">
        <v>1</v>
      </c>
      <c r="V625">
        <v>1</v>
      </c>
    </row>
    <row r="626" spans="16:22" x14ac:dyDescent="0.45">
      <c r="P626" s="20" t="s">
        <v>623</v>
      </c>
      <c r="R626">
        <v>1</v>
      </c>
      <c r="V626">
        <v>1</v>
      </c>
    </row>
    <row r="627" spans="16:22" x14ac:dyDescent="0.45">
      <c r="P627" s="20" t="s">
        <v>1023</v>
      </c>
      <c r="R627">
        <v>1</v>
      </c>
      <c r="V627">
        <v>1</v>
      </c>
    </row>
    <row r="628" spans="16:22" x14ac:dyDescent="0.45">
      <c r="P628" s="20" t="s">
        <v>1080</v>
      </c>
      <c r="R628">
        <v>1</v>
      </c>
      <c r="V628">
        <v>1</v>
      </c>
    </row>
    <row r="629" spans="16:22" x14ac:dyDescent="0.45">
      <c r="P629" s="20" t="s">
        <v>1183</v>
      </c>
      <c r="R629">
        <v>1</v>
      </c>
      <c r="V629">
        <v>1</v>
      </c>
    </row>
    <row r="630" spans="16:22" x14ac:dyDescent="0.45">
      <c r="P630" s="20" t="s">
        <v>218</v>
      </c>
      <c r="S630">
        <v>1</v>
      </c>
      <c r="V630">
        <v>1</v>
      </c>
    </row>
    <row r="631" spans="16:22" x14ac:dyDescent="0.45">
      <c r="P631" s="20" t="s">
        <v>521</v>
      </c>
      <c r="R631">
        <v>1</v>
      </c>
      <c r="V631">
        <v>1</v>
      </c>
    </row>
    <row r="632" spans="16:22" x14ac:dyDescent="0.45">
      <c r="P632" s="20" t="s">
        <v>804</v>
      </c>
      <c r="R632">
        <v>1</v>
      </c>
      <c r="V632">
        <v>1</v>
      </c>
    </row>
    <row r="633" spans="16:22" x14ac:dyDescent="0.45">
      <c r="P633" s="20" t="s">
        <v>61</v>
      </c>
      <c r="U633">
        <v>1</v>
      </c>
      <c r="V633">
        <v>1</v>
      </c>
    </row>
    <row r="634" spans="16:22" x14ac:dyDescent="0.45">
      <c r="P634" s="20" t="s">
        <v>571</v>
      </c>
      <c r="R634">
        <v>1</v>
      </c>
      <c r="V634">
        <v>1</v>
      </c>
    </row>
    <row r="635" spans="16:22" x14ac:dyDescent="0.45">
      <c r="P635" s="20" t="s">
        <v>905</v>
      </c>
      <c r="R635">
        <v>1</v>
      </c>
      <c r="V635">
        <v>1</v>
      </c>
    </row>
    <row r="636" spans="16:22" x14ac:dyDescent="0.45">
      <c r="P636" s="20" t="s">
        <v>502</v>
      </c>
      <c r="S636">
        <v>1</v>
      </c>
      <c r="V636">
        <v>1</v>
      </c>
    </row>
    <row r="637" spans="16:22" x14ac:dyDescent="0.45">
      <c r="P637" s="20" t="s">
        <v>934</v>
      </c>
      <c r="R637">
        <v>1</v>
      </c>
      <c r="V637">
        <v>1</v>
      </c>
    </row>
    <row r="638" spans="16:22" x14ac:dyDescent="0.45">
      <c r="P638" s="20" t="s">
        <v>1228</v>
      </c>
      <c r="R638">
        <v>1</v>
      </c>
      <c r="V638">
        <v>1</v>
      </c>
    </row>
    <row r="639" spans="16:22" x14ac:dyDescent="0.45">
      <c r="P639" s="20" t="s">
        <v>504</v>
      </c>
      <c r="R639">
        <v>1</v>
      </c>
      <c r="V639">
        <v>1</v>
      </c>
    </row>
    <row r="640" spans="16:22" x14ac:dyDescent="0.45">
      <c r="P640" s="20" t="s">
        <v>813</v>
      </c>
      <c r="R640">
        <v>1</v>
      </c>
      <c r="S640">
        <v>1</v>
      </c>
      <c r="V640">
        <v>2</v>
      </c>
    </row>
    <row r="641" spans="16:22" x14ac:dyDescent="0.45">
      <c r="P641" s="20" t="s">
        <v>853</v>
      </c>
      <c r="R641">
        <v>1</v>
      </c>
      <c r="V641">
        <v>1</v>
      </c>
    </row>
    <row r="642" spans="16:22" x14ac:dyDescent="0.45">
      <c r="P642" s="20" t="s">
        <v>511</v>
      </c>
      <c r="R642">
        <v>1</v>
      </c>
      <c r="V642">
        <v>1</v>
      </c>
    </row>
    <row r="643" spans="16:22" x14ac:dyDescent="0.45">
      <c r="P643" s="20" t="s">
        <v>644</v>
      </c>
      <c r="R643">
        <v>1</v>
      </c>
      <c r="V643">
        <v>1</v>
      </c>
    </row>
    <row r="644" spans="16:22" x14ac:dyDescent="0.45">
      <c r="P644" s="20" t="s">
        <v>1429</v>
      </c>
      <c r="R644">
        <v>1</v>
      </c>
      <c r="V644">
        <v>1</v>
      </c>
    </row>
    <row r="645" spans="16:22" x14ac:dyDescent="0.45">
      <c r="P645" s="20" t="s">
        <v>186</v>
      </c>
      <c r="R645">
        <v>1</v>
      </c>
      <c r="V645">
        <v>1</v>
      </c>
    </row>
    <row r="646" spans="16:22" x14ac:dyDescent="0.45">
      <c r="P646" s="20" t="s">
        <v>910</v>
      </c>
      <c r="R646">
        <v>1</v>
      </c>
      <c r="V646">
        <v>1</v>
      </c>
    </row>
    <row r="647" spans="16:22" x14ac:dyDescent="0.45">
      <c r="P647" s="20" t="s">
        <v>1047</v>
      </c>
      <c r="R647">
        <v>1</v>
      </c>
      <c r="V647">
        <v>1</v>
      </c>
    </row>
    <row r="648" spans="16:22" x14ac:dyDescent="0.45">
      <c r="P648" s="20" t="s">
        <v>1123</v>
      </c>
      <c r="R648">
        <v>1</v>
      </c>
      <c r="V648">
        <v>1</v>
      </c>
    </row>
    <row r="649" spans="16:22" x14ac:dyDescent="0.45">
      <c r="P649" s="20" t="s">
        <v>700</v>
      </c>
      <c r="R649">
        <v>1</v>
      </c>
      <c r="V649">
        <v>1</v>
      </c>
    </row>
    <row r="650" spans="16:22" x14ac:dyDescent="0.45">
      <c r="P650" s="20" t="s">
        <v>1372</v>
      </c>
      <c r="R650">
        <v>1</v>
      </c>
      <c r="V650">
        <v>1</v>
      </c>
    </row>
    <row r="651" spans="16:22" x14ac:dyDescent="0.45">
      <c r="P651" s="20" t="s">
        <v>1311</v>
      </c>
      <c r="R651">
        <v>1</v>
      </c>
      <c r="V651">
        <v>1</v>
      </c>
    </row>
    <row r="652" spans="16:22" x14ac:dyDescent="0.45">
      <c r="P652" s="20" t="s">
        <v>1251</v>
      </c>
      <c r="R652">
        <v>1</v>
      </c>
      <c r="V652">
        <v>1</v>
      </c>
    </row>
    <row r="653" spans="16:22" x14ac:dyDescent="0.45">
      <c r="P653" s="20" t="s">
        <v>1286</v>
      </c>
      <c r="R653">
        <v>1</v>
      </c>
      <c r="V653">
        <v>1</v>
      </c>
    </row>
    <row r="654" spans="16:22" x14ac:dyDescent="0.45">
      <c r="P654" s="20" t="s">
        <v>1395</v>
      </c>
      <c r="R654">
        <v>1</v>
      </c>
      <c r="V654">
        <v>1</v>
      </c>
    </row>
    <row r="655" spans="16:22" x14ac:dyDescent="0.45">
      <c r="P655" s="20" t="s">
        <v>584</v>
      </c>
      <c r="R655">
        <v>1</v>
      </c>
      <c r="V655">
        <v>1</v>
      </c>
    </row>
    <row r="656" spans="16:22" x14ac:dyDescent="0.45">
      <c r="P656" s="20" t="s">
        <v>932</v>
      </c>
      <c r="R656">
        <v>1</v>
      </c>
      <c r="V656">
        <v>1</v>
      </c>
    </row>
    <row r="657" spans="16:22" x14ac:dyDescent="0.45">
      <c r="P657" s="20" t="s">
        <v>732</v>
      </c>
      <c r="R657">
        <v>1</v>
      </c>
      <c r="V657">
        <v>1</v>
      </c>
    </row>
    <row r="658" spans="16:22" x14ac:dyDescent="0.45">
      <c r="P658" s="20" t="s">
        <v>1278</v>
      </c>
      <c r="R658">
        <v>1</v>
      </c>
      <c r="V658">
        <v>1</v>
      </c>
    </row>
    <row r="659" spans="16:22" x14ac:dyDescent="0.45">
      <c r="P659" s="20" t="s">
        <v>522</v>
      </c>
      <c r="R659">
        <v>1</v>
      </c>
      <c r="V659">
        <v>1</v>
      </c>
    </row>
    <row r="660" spans="16:22" x14ac:dyDescent="0.45">
      <c r="P660" s="20" t="s">
        <v>1306</v>
      </c>
      <c r="R660">
        <v>1</v>
      </c>
      <c r="V660">
        <v>1</v>
      </c>
    </row>
    <row r="661" spans="16:22" x14ac:dyDescent="0.45">
      <c r="P661" s="20" t="s">
        <v>467</v>
      </c>
      <c r="R661">
        <v>1</v>
      </c>
      <c r="V661">
        <v>1</v>
      </c>
    </row>
    <row r="662" spans="16:22" x14ac:dyDescent="0.45">
      <c r="P662" s="20" t="s">
        <v>391</v>
      </c>
      <c r="U662">
        <v>2</v>
      </c>
      <c r="V662">
        <v>2</v>
      </c>
    </row>
    <row r="663" spans="16:22" x14ac:dyDescent="0.45">
      <c r="P663" s="20" t="s">
        <v>1066</v>
      </c>
      <c r="R663">
        <v>1</v>
      </c>
      <c r="V663">
        <v>1</v>
      </c>
    </row>
    <row r="664" spans="16:22" x14ac:dyDescent="0.45">
      <c r="P664" s="20" t="s">
        <v>1250</v>
      </c>
      <c r="R664">
        <v>1</v>
      </c>
      <c r="V664">
        <v>1</v>
      </c>
    </row>
    <row r="665" spans="16:22" x14ac:dyDescent="0.45">
      <c r="P665" s="20" t="s">
        <v>1088</v>
      </c>
      <c r="R665">
        <v>1</v>
      </c>
      <c r="V665">
        <v>1</v>
      </c>
    </row>
    <row r="666" spans="16:22" x14ac:dyDescent="0.45">
      <c r="P666" s="20" t="s">
        <v>706</v>
      </c>
      <c r="R666">
        <v>1</v>
      </c>
      <c r="V666">
        <v>1</v>
      </c>
    </row>
    <row r="667" spans="16:22" x14ac:dyDescent="0.45">
      <c r="P667" s="20" t="s">
        <v>726</v>
      </c>
      <c r="S667">
        <v>1</v>
      </c>
      <c r="V667">
        <v>1</v>
      </c>
    </row>
    <row r="668" spans="16:22" x14ac:dyDescent="0.45">
      <c r="P668" s="20" t="s">
        <v>422</v>
      </c>
      <c r="S668">
        <v>2</v>
      </c>
      <c r="V668">
        <v>2</v>
      </c>
    </row>
    <row r="669" spans="16:22" x14ac:dyDescent="0.45">
      <c r="P669" s="20" t="s">
        <v>927</v>
      </c>
      <c r="R669">
        <v>1</v>
      </c>
      <c r="V669">
        <v>1</v>
      </c>
    </row>
    <row r="670" spans="16:22" x14ac:dyDescent="0.45">
      <c r="P670" s="20" t="s">
        <v>981</v>
      </c>
      <c r="R670">
        <v>1</v>
      </c>
      <c r="V670">
        <v>1</v>
      </c>
    </row>
    <row r="671" spans="16:22" x14ac:dyDescent="0.45">
      <c r="P671" s="20" t="s">
        <v>124</v>
      </c>
      <c r="S671">
        <v>1</v>
      </c>
      <c r="V671">
        <v>1</v>
      </c>
    </row>
    <row r="672" spans="16:22" x14ac:dyDescent="0.45">
      <c r="P672" s="20" t="s">
        <v>114</v>
      </c>
      <c r="R672">
        <v>1</v>
      </c>
      <c r="V672">
        <v>1</v>
      </c>
    </row>
    <row r="673" spans="16:22" x14ac:dyDescent="0.45">
      <c r="P673" s="20" t="s">
        <v>877</v>
      </c>
      <c r="R673">
        <v>1</v>
      </c>
      <c r="V673">
        <v>1</v>
      </c>
    </row>
    <row r="674" spans="16:22" x14ac:dyDescent="0.45">
      <c r="P674" s="20" t="s">
        <v>145</v>
      </c>
      <c r="S674">
        <v>1</v>
      </c>
      <c r="U674">
        <v>2</v>
      </c>
      <c r="V674">
        <v>3</v>
      </c>
    </row>
    <row r="675" spans="16:22" x14ac:dyDescent="0.45">
      <c r="P675" s="20" t="s">
        <v>1299</v>
      </c>
      <c r="R675">
        <v>1</v>
      </c>
      <c r="V675">
        <v>1</v>
      </c>
    </row>
    <row r="676" spans="16:22" x14ac:dyDescent="0.45">
      <c r="P676" s="20" t="s">
        <v>1410</v>
      </c>
      <c r="R676">
        <v>1</v>
      </c>
      <c r="V676">
        <v>1</v>
      </c>
    </row>
    <row r="677" spans="16:22" x14ac:dyDescent="0.45">
      <c r="P677" s="20" t="s">
        <v>1054</v>
      </c>
      <c r="R677">
        <v>1</v>
      </c>
      <c r="V677">
        <v>1</v>
      </c>
    </row>
    <row r="678" spans="16:22" x14ac:dyDescent="0.45">
      <c r="P678" s="20" t="s">
        <v>76</v>
      </c>
      <c r="T678">
        <v>2</v>
      </c>
      <c r="V678">
        <v>2</v>
      </c>
    </row>
    <row r="679" spans="16:22" x14ac:dyDescent="0.45">
      <c r="P679" s="20" t="s">
        <v>187</v>
      </c>
      <c r="R679">
        <v>2</v>
      </c>
      <c r="V679">
        <v>2</v>
      </c>
    </row>
    <row r="680" spans="16:22" x14ac:dyDescent="0.45">
      <c r="P680" s="20" t="s">
        <v>925</v>
      </c>
      <c r="R680">
        <v>1</v>
      </c>
      <c r="V680">
        <v>1</v>
      </c>
    </row>
    <row r="681" spans="16:22" x14ac:dyDescent="0.45">
      <c r="P681" s="20" t="s">
        <v>1383</v>
      </c>
      <c r="R681">
        <v>1</v>
      </c>
      <c r="V681">
        <v>1</v>
      </c>
    </row>
    <row r="682" spans="16:22" x14ac:dyDescent="0.45">
      <c r="P682" s="20" t="s">
        <v>1059</v>
      </c>
      <c r="R682">
        <v>1</v>
      </c>
      <c r="V682">
        <v>1</v>
      </c>
    </row>
    <row r="683" spans="16:22" x14ac:dyDescent="0.45">
      <c r="P683" s="20" t="s">
        <v>357</v>
      </c>
      <c r="T683">
        <v>2</v>
      </c>
      <c r="V683">
        <v>2</v>
      </c>
    </row>
    <row r="684" spans="16:22" x14ac:dyDescent="0.45">
      <c r="P684" s="20" t="s">
        <v>231</v>
      </c>
      <c r="S684">
        <v>2</v>
      </c>
      <c r="V684">
        <v>2</v>
      </c>
    </row>
    <row r="685" spans="16:22" x14ac:dyDescent="0.45">
      <c r="P685" s="20" t="s">
        <v>1043</v>
      </c>
      <c r="S685">
        <v>1</v>
      </c>
      <c r="V685">
        <v>1</v>
      </c>
    </row>
    <row r="686" spans="16:22" x14ac:dyDescent="0.45">
      <c r="P686" s="20" t="s">
        <v>580</v>
      </c>
      <c r="R686">
        <v>1</v>
      </c>
      <c r="V686">
        <v>1</v>
      </c>
    </row>
    <row r="687" spans="16:22" x14ac:dyDescent="0.45">
      <c r="P687" s="20" t="s">
        <v>1378</v>
      </c>
      <c r="R687">
        <v>1</v>
      </c>
      <c r="V687">
        <v>1</v>
      </c>
    </row>
    <row r="688" spans="16:22" x14ac:dyDescent="0.45">
      <c r="P688" s="20" t="s">
        <v>169</v>
      </c>
      <c r="R688">
        <v>1</v>
      </c>
      <c r="T688">
        <v>1</v>
      </c>
      <c r="V688">
        <v>2</v>
      </c>
    </row>
    <row r="689" spans="16:22" x14ac:dyDescent="0.45">
      <c r="P689" s="20" t="s">
        <v>755</v>
      </c>
      <c r="R689">
        <v>1</v>
      </c>
      <c r="V689">
        <v>1</v>
      </c>
    </row>
    <row r="690" spans="16:22" x14ac:dyDescent="0.45">
      <c r="P690" s="20" t="s">
        <v>1045</v>
      </c>
      <c r="R690">
        <v>1</v>
      </c>
      <c r="V690">
        <v>1</v>
      </c>
    </row>
    <row r="691" spans="16:22" x14ac:dyDescent="0.45">
      <c r="P691" s="20" t="s">
        <v>314</v>
      </c>
      <c r="R691">
        <v>3</v>
      </c>
      <c r="V691">
        <v>3</v>
      </c>
    </row>
    <row r="692" spans="16:22" x14ac:dyDescent="0.45">
      <c r="P692" s="20" t="s">
        <v>1171</v>
      </c>
      <c r="R692">
        <v>1</v>
      </c>
      <c r="V692">
        <v>1</v>
      </c>
    </row>
    <row r="693" spans="16:22" x14ac:dyDescent="0.45">
      <c r="P693" s="20" t="s">
        <v>903</v>
      </c>
      <c r="R693">
        <v>1</v>
      </c>
      <c r="V693">
        <v>1</v>
      </c>
    </row>
    <row r="694" spans="16:22" x14ac:dyDescent="0.45">
      <c r="P694" s="20" t="s">
        <v>737</v>
      </c>
      <c r="R694">
        <v>1</v>
      </c>
      <c r="V694">
        <v>1</v>
      </c>
    </row>
    <row r="695" spans="16:22" x14ac:dyDescent="0.45">
      <c r="P695" s="20" t="s">
        <v>493</v>
      </c>
      <c r="R695">
        <v>1</v>
      </c>
      <c r="V695">
        <v>1</v>
      </c>
    </row>
    <row r="696" spans="16:22" x14ac:dyDescent="0.45">
      <c r="P696" s="20" t="s">
        <v>681</v>
      </c>
      <c r="R696">
        <v>1</v>
      </c>
      <c r="V696">
        <v>1</v>
      </c>
    </row>
    <row r="697" spans="16:22" x14ac:dyDescent="0.45">
      <c r="P697" s="20" t="s">
        <v>24</v>
      </c>
      <c r="R697">
        <v>4</v>
      </c>
      <c r="S697">
        <v>2</v>
      </c>
      <c r="U697">
        <v>1</v>
      </c>
      <c r="V697">
        <v>7</v>
      </c>
    </row>
    <row r="698" spans="16:22" x14ac:dyDescent="0.45">
      <c r="P698" s="20" t="s">
        <v>572</v>
      </c>
      <c r="R698">
        <v>1</v>
      </c>
      <c r="V698">
        <v>1</v>
      </c>
    </row>
    <row r="699" spans="16:22" x14ac:dyDescent="0.45">
      <c r="P699" s="20" t="s">
        <v>1206</v>
      </c>
      <c r="R699">
        <v>1</v>
      </c>
      <c r="V699">
        <v>1</v>
      </c>
    </row>
    <row r="700" spans="16:22" x14ac:dyDescent="0.45">
      <c r="P700" s="20" t="s">
        <v>771</v>
      </c>
      <c r="R700">
        <v>1</v>
      </c>
      <c r="V700">
        <v>1</v>
      </c>
    </row>
    <row r="701" spans="16:22" x14ac:dyDescent="0.45">
      <c r="P701" s="20" t="s">
        <v>176</v>
      </c>
      <c r="S701">
        <v>1</v>
      </c>
      <c r="T701">
        <v>2</v>
      </c>
      <c r="U701">
        <v>1</v>
      </c>
      <c r="V701">
        <v>4</v>
      </c>
    </row>
    <row r="702" spans="16:22" x14ac:dyDescent="0.45">
      <c r="P702" s="20" t="s">
        <v>1394</v>
      </c>
      <c r="R702">
        <v>1</v>
      </c>
      <c r="V702">
        <v>1</v>
      </c>
    </row>
    <row r="703" spans="16:22" x14ac:dyDescent="0.45">
      <c r="P703" s="20" t="s">
        <v>837</v>
      </c>
      <c r="R703">
        <v>1</v>
      </c>
      <c r="V703">
        <v>1</v>
      </c>
    </row>
    <row r="704" spans="16:22" x14ac:dyDescent="0.45">
      <c r="P704" s="20" t="s">
        <v>1140</v>
      </c>
      <c r="R704">
        <v>1</v>
      </c>
      <c r="V704">
        <v>1</v>
      </c>
    </row>
    <row r="705" spans="16:22" x14ac:dyDescent="0.45">
      <c r="P705" s="20" t="s">
        <v>1331</v>
      </c>
      <c r="R705">
        <v>1</v>
      </c>
      <c r="V705">
        <v>1</v>
      </c>
    </row>
    <row r="706" spans="16:22" x14ac:dyDescent="0.45">
      <c r="P706" s="20" t="s">
        <v>1426</v>
      </c>
      <c r="R706">
        <v>1</v>
      </c>
      <c r="V706">
        <v>1</v>
      </c>
    </row>
    <row r="707" spans="16:22" x14ac:dyDescent="0.45">
      <c r="P707" s="20" t="s">
        <v>414</v>
      </c>
      <c r="T707">
        <v>1</v>
      </c>
      <c r="V707">
        <v>1</v>
      </c>
    </row>
    <row r="708" spans="16:22" x14ac:dyDescent="0.45">
      <c r="P708" s="20" t="s">
        <v>520</v>
      </c>
      <c r="R708">
        <v>1</v>
      </c>
      <c r="V708">
        <v>1</v>
      </c>
    </row>
    <row r="709" spans="16:22" x14ac:dyDescent="0.45">
      <c r="P709" s="20" t="s">
        <v>1419</v>
      </c>
      <c r="R709">
        <v>1</v>
      </c>
      <c r="V709">
        <v>1</v>
      </c>
    </row>
    <row r="710" spans="16:22" x14ac:dyDescent="0.45">
      <c r="P710" s="20" t="s">
        <v>727</v>
      </c>
      <c r="R710">
        <v>1</v>
      </c>
      <c r="V710">
        <v>1</v>
      </c>
    </row>
    <row r="711" spans="16:22" x14ac:dyDescent="0.45">
      <c r="P711" s="20" t="s">
        <v>1187</v>
      </c>
      <c r="R711">
        <v>1</v>
      </c>
      <c r="V711">
        <v>1</v>
      </c>
    </row>
    <row r="712" spans="16:22" x14ac:dyDescent="0.45">
      <c r="P712" s="20" t="s">
        <v>1424</v>
      </c>
      <c r="R712">
        <v>1</v>
      </c>
      <c r="V712">
        <v>1</v>
      </c>
    </row>
    <row r="713" spans="16:22" x14ac:dyDescent="0.45">
      <c r="P713" s="20" t="s">
        <v>1145</v>
      </c>
      <c r="R713">
        <v>1</v>
      </c>
      <c r="V713">
        <v>1</v>
      </c>
    </row>
    <row r="714" spans="16:22" x14ac:dyDescent="0.45">
      <c r="P714" s="20" t="s">
        <v>1436</v>
      </c>
      <c r="R714">
        <v>1</v>
      </c>
      <c r="V714">
        <v>1</v>
      </c>
    </row>
    <row r="715" spans="16:22" x14ac:dyDescent="0.45">
      <c r="P715" s="20" t="s">
        <v>1285</v>
      </c>
      <c r="R715">
        <v>1</v>
      </c>
      <c r="V715">
        <v>1</v>
      </c>
    </row>
    <row r="716" spans="16:22" x14ac:dyDescent="0.45">
      <c r="P716" s="20" t="s">
        <v>825</v>
      </c>
      <c r="R716">
        <v>1</v>
      </c>
      <c r="V716">
        <v>1</v>
      </c>
    </row>
    <row r="717" spans="16:22" x14ac:dyDescent="0.45">
      <c r="P717" s="20" t="s">
        <v>398</v>
      </c>
      <c r="T717">
        <v>2</v>
      </c>
      <c r="V717">
        <v>2</v>
      </c>
    </row>
    <row r="718" spans="16:22" x14ac:dyDescent="0.45">
      <c r="P718" s="20" t="s">
        <v>1111</v>
      </c>
      <c r="R718">
        <v>1</v>
      </c>
      <c r="V718">
        <v>1</v>
      </c>
    </row>
    <row r="719" spans="16:22" x14ac:dyDescent="0.45">
      <c r="P719" s="20" t="s">
        <v>1135</v>
      </c>
      <c r="R719">
        <v>1</v>
      </c>
      <c r="V719">
        <v>1</v>
      </c>
    </row>
    <row r="720" spans="16:22" x14ac:dyDescent="0.45">
      <c r="P720" s="20" t="s">
        <v>624</v>
      </c>
      <c r="R720">
        <v>1</v>
      </c>
      <c r="V720">
        <v>1</v>
      </c>
    </row>
    <row r="721" spans="16:22" x14ac:dyDescent="0.45">
      <c r="P721" s="20" t="s">
        <v>291</v>
      </c>
      <c r="S721">
        <v>4</v>
      </c>
      <c r="V721">
        <v>4</v>
      </c>
    </row>
    <row r="722" spans="16:22" x14ac:dyDescent="0.45">
      <c r="P722" s="20" t="s">
        <v>1124</v>
      </c>
      <c r="R722">
        <v>1</v>
      </c>
      <c r="V722">
        <v>1</v>
      </c>
    </row>
    <row r="723" spans="16:22" x14ac:dyDescent="0.45">
      <c r="P723" s="20" t="s">
        <v>1112</v>
      </c>
      <c r="R723">
        <v>1</v>
      </c>
      <c r="V723">
        <v>1</v>
      </c>
    </row>
    <row r="724" spans="16:22" x14ac:dyDescent="0.45">
      <c r="P724" s="20" t="s">
        <v>245</v>
      </c>
      <c r="T724">
        <v>1</v>
      </c>
      <c r="V724">
        <v>1</v>
      </c>
    </row>
    <row r="725" spans="16:22" x14ac:dyDescent="0.45">
      <c r="P725" s="20" t="s">
        <v>18</v>
      </c>
      <c r="Q725">
        <v>2</v>
      </c>
      <c r="T725">
        <v>2</v>
      </c>
      <c r="V725">
        <v>4</v>
      </c>
    </row>
    <row r="726" spans="16:22" x14ac:dyDescent="0.45">
      <c r="P726" s="20" t="s">
        <v>754</v>
      </c>
      <c r="R726">
        <v>1</v>
      </c>
      <c r="V726">
        <v>1</v>
      </c>
    </row>
    <row r="727" spans="16:22" x14ac:dyDescent="0.45">
      <c r="P727" s="20" t="s">
        <v>936</v>
      </c>
      <c r="R727">
        <v>1</v>
      </c>
      <c r="V727">
        <v>1</v>
      </c>
    </row>
    <row r="728" spans="16:22" x14ac:dyDescent="0.45">
      <c r="P728" s="20" t="s">
        <v>664</v>
      </c>
      <c r="R728">
        <v>1</v>
      </c>
      <c r="V728">
        <v>1</v>
      </c>
    </row>
    <row r="729" spans="16:22" x14ac:dyDescent="0.45">
      <c r="P729" s="20" t="s">
        <v>420</v>
      </c>
      <c r="R729">
        <v>1</v>
      </c>
      <c r="V729">
        <v>1</v>
      </c>
    </row>
    <row r="730" spans="16:22" x14ac:dyDescent="0.45">
      <c r="P730" s="20" t="s">
        <v>1072</v>
      </c>
      <c r="R730">
        <v>1</v>
      </c>
      <c r="V730">
        <v>1</v>
      </c>
    </row>
    <row r="731" spans="16:22" x14ac:dyDescent="0.45">
      <c r="P731" s="20" t="s">
        <v>546</v>
      </c>
      <c r="R731">
        <v>1</v>
      </c>
      <c r="V731">
        <v>1</v>
      </c>
    </row>
    <row r="732" spans="16:22" x14ac:dyDescent="0.45">
      <c r="P732" s="20" t="s">
        <v>35</v>
      </c>
      <c r="S732">
        <v>1</v>
      </c>
      <c r="V732">
        <v>1</v>
      </c>
    </row>
    <row r="733" spans="16:22" x14ac:dyDescent="0.45">
      <c r="P733" s="20" t="s">
        <v>143</v>
      </c>
      <c r="R733">
        <v>1</v>
      </c>
      <c r="T733">
        <v>2</v>
      </c>
      <c r="V733">
        <v>3</v>
      </c>
    </row>
    <row r="734" spans="16:22" x14ac:dyDescent="0.45">
      <c r="P734" s="20" t="s">
        <v>900</v>
      </c>
      <c r="R734">
        <v>1</v>
      </c>
      <c r="V734">
        <v>1</v>
      </c>
    </row>
    <row r="735" spans="16:22" x14ac:dyDescent="0.45">
      <c r="P735" s="20" t="s">
        <v>1438</v>
      </c>
      <c r="R735">
        <v>1</v>
      </c>
      <c r="V735">
        <v>1</v>
      </c>
    </row>
    <row r="736" spans="16:22" x14ac:dyDescent="0.45">
      <c r="P736" s="20" t="s">
        <v>714</v>
      </c>
      <c r="R736">
        <v>1</v>
      </c>
      <c r="V736">
        <v>1</v>
      </c>
    </row>
    <row r="737" spans="16:22" x14ac:dyDescent="0.45">
      <c r="P737" s="20" t="s">
        <v>1330</v>
      </c>
      <c r="R737">
        <v>1</v>
      </c>
      <c r="V737">
        <v>1</v>
      </c>
    </row>
    <row r="738" spans="16:22" x14ac:dyDescent="0.45">
      <c r="P738" s="20" t="s">
        <v>1420</v>
      </c>
      <c r="R738">
        <v>1</v>
      </c>
      <c r="V738">
        <v>1</v>
      </c>
    </row>
    <row r="739" spans="16:22" x14ac:dyDescent="0.45">
      <c r="P739" s="20" t="s">
        <v>108</v>
      </c>
      <c r="R739">
        <v>1</v>
      </c>
      <c r="V739">
        <v>1</v>
      </c>
    </row>
    <row r="740" spans="16:22" x14ac:dyDescent="0.45">
      <c r="P740" s="20" t="s">
        <v>40</v>
      </c>
      <c r="T740">
        <v>2</v>
      </c>
      <c r="V740">
        <v>2</v>
      </c>
    </row>
    <row r="741" spans="16:22" x14ac:dyDescent="0.45">
      <c r="P741" s="20" t="s">
        <v>721</v>
      </c>
      <c r="R741">
        <v>1</v>
      </c>
      <c r="V741">
        <v>1</v>
      </c>
    </row>
    <row r="742" spans="16:22" x14ac:dyDescent="0.45">
      <c r="P742" s="20" t="s">
        <v>465</v>
      </c>
      <c r="R742">
        <v>1</v>
      </c>
      <c r="V742">
        <v>1</v>
      </c>
    </row>
    <row r="743" spans="16:22" x14ac:dyDescent="0.45">
      <c r="P743" s="20" t="s">
        <v>1179</v>
      </c>
      <c r="R743">
        <v>1</v>
      </c>
      <c r="V743">
        <v>1</v>
      </c>
    </row>
    <row r="744" spans="16:22" x14ac:dyDescent="0.45">
      <c r="P744" s="20" t="s">
        <v>1368</v>
      </c>
      <c r="R744">
        <v>1</v>
      </c>
      <c r="V744">
        <v>1</v>
      </c>
    </row>
    <row r="745" spans="16:22" x14ac:dyDescent="0.45">
      <c r="P745" s="20" t="s">
        <v>834</v>
      </c>
      <c r="R745">
        <v>1</v>
      </c>
      <c r="V745">
        <v>1</v>
      </c>
    </row>
    <row r="746" spans="16:22" x14ac:dyDescent="0.45">
      <c r="P746" s="20" t="s">
        <v>133</v>
      </c>
      <c r="S746">
        <v>3</v>
      </c>
      <c r="T746">
        <v>1</v>
      </c>
      <c r="U746">
        <v>3</v>
      </c>
      <c r="V746">
        <v>7</v>
      </c>
    </row>
    <row r="747" spans="16:22" x14ac:dyDescent="0.45">
      <c r="P747" s="20" t="s">
        <v>413</v>
      </c>
      <c r="R747">
        <v>1</v>
      </c>
      <c r="V747">
        <v>1</v>
      </c>
    </row>
    <row r="748" spans="16:22" x14ac:dyDescent="0.45">
      <c r="P748" s="20" t="s">
        <v>702</v>
      </c>
      <c r="R748">
        <v>1</v>
      </c>
      <c r="V748">
        <v>1</v>
      </c>
    </row>
    <row r="749" spans="16:22" x14ac:dyDescent="0.45">
      <c r="P749" s="20" t="s">
        <v>1093</v>
      </c>
      <c r="R749">
        <v>1</v>
      </c>
      <c r="V749">
        <v>1</v>
      </c>
    </row>
    <row r="750" spans="16:22" x14ac:dyDescent="0.45">
      <c r="P750" s="20" t="s">
        <v>192</v>
      </c>
      <c r="R750">
        <v>2</v>
      </c>
      <c r="V750">
        <v>2</v>
      </c>
    </row>
    <row r="751" spans="16:22" x14ac:dyDescent="0.45">
      <c r="P751" s="20" t="s">
        <v>953</v>
      </c>
      <c r="R751">
        <v>1</v>
      </c>
      <c r="V751">
        <v>1</v>
      </c>
    </row>
    <row r="752" spans="16:22" x14ac:dyDescent="0.45">
      <c r="P752" s="20" t="s">
        <v>955</v>
      </c>
      <c r="R752">
        <v>1</v>
      </c>
      <c r="V752">
        <v>1</v>
      </c>
    </row>
    <row r="753" spans="16:22" x14ac:dyDescent="0.45">
      <c r="P753" s="20" t="s">
        <v>684</v>
      </c>
      <c r="R753">
        <v>1</v>
      </c>
      <c r="V753">
        <v>1</v>
      </c>
    </row>
    <row r="754" spans="16:22" x14ac:dyDescent="0.45">
      <c r="P754" s="20" t="s">
        <v>1398</v>
      </c>
      <c r="R754">
        <v>1</v>
      </c>
      <c r="V754">
        <v>1</v>
      </c>
    </row>
    <row r="755" spans="16:22" x14ac:dyDescent="0.45">
      <c r="P755" s="20" t="s">
        <v>1430</v>
      </c>
      <c r="R755">
        <v>1</v>
      </c>
      <c r="V755">
        <v>1</v>
      </c>
    </row>
    <row r="756" spans="16:22" x14ac:dyDescent="0.45">
      <c r="P756" s="20" t="s">
        <v>1456</v>
      </c>
      <c r="R756">
        <v>1</v>
      </c>
      <c r="V756">
        <v>1</v>
      </c>
    </row>
    <row r="757" spans="16:22" x14ac:dyDescent="0.45">
      <c r="P757" s="20" t="s">
        <v>929</v>
      </c>
      <c r="R757">
        <v>1</v>
      </c>
      <c r="V757">
        <v>1</v>
      </c>
    </row>
    <row r="758" spans="16:22" x14ac:dyDescent="0.45">
      <c r="P758" s="20" t="s">
        <v>844</v>
      </c>
      <c r="R758">
        <v>1</v>
      </c>
      <c r="V758">
        <v>1</v>
      </c>
    </row>
    <row r="759" spans="16:22" x14ac:dyDescent="0.45">
      <c r="P759" s="20" t="s">
        <v>1015</v>
      </c>
      <c r="R759">
        <v>1</v>
      </c>
      <c r="V759">
        <v>1</v>
      </c>
    </row>
    <row r="760" spans="16:22" x14ac:dyDescent="0.45">
      <c r="P760" s="20" t="s">
        <v>696</v>
      </c>
      <c r="R760">
        <v>1</v>
      </c>
      <c r="V760">
        <v>1</v>
      </c>
    </row>
    <row r="761" spans="16:22" x14ac:dyDescent="0.45">
      <c r="P761" s="20" t="s">
        <v>878</v>
      </c>
      <c r="R761">
        <v>1</v>
      </c>
      <c r="V761">
        <v>1</v>
      </c>
    </row>
    <row r="762" spans="16:22" x14ac:dyDescent="0.45">
      <c r="P762" s="20" t="s">
        <v>1154</v>
      </c>
      <c r="R762">
        <v>1</v>
      </c>
      <c r="V762">
        <v>1</v>
      </c>
    </row>
    <row r="763" spans="16:22" x14ac:dyDescent="0.45">
      <c r="P763" s="20" t="s">
        <v>1425</v>
      </c>
      <c r="R763">
        <v>1</v>
      </c>
      <c r="V763">
        <v>1</v>
      </c>
    </row>
    <row r="764" spans="16:22" x14ac:dyDescent="0.45">
      <c r="P764" s="20" t="s">
        <v>850</v>
      </c>
      <c r="R764">
        <v>1</v>
      </c>
      <c r="V764">
        <v>1</v>
      </c>
    </row>
    <row r="765" spans="16:22" x14ac:dyDescent="0.45">
      <c r="P765" s="20" t="s">
        <v>200</v>
      </c>
      <c r="S765">
        <v>1</v>
      </c>
      <c r="U765">
        <v>2</v>
      </c>
      <c r="V765">
        <v>3</v>
      </c>
    </row>
    <row r="766" spans="16:22" x14ac:dyDescent="0.45">
      <c r="P766" s="20" t="s">
        <v>482</v>
      </c>
      <c r="R766">
        <v>1</v>
      </c>
      <c r="V766">
        <v>1</v>
      </c>
    </row>
    <row r="767" spans="16:22" x14ac:dyDescent="0.45">
      <c r="P767" s="20" t="s">
        <v>1114</v>
      </c>
      <c r="R767">
        <v>1</v>
      </c>
      <c r="V767">
        <v>1</v>
      </c>
    </row>
    <row r="768" spans="16:22" x14ac:dyDescent="0.45">
      <c r="P768" s="20" t="s">
        <v>489</v>
      </c>
      <c r="R768">
        <v>1</v>
      </c>
      <c r="V768">
        <v>1</v>
      </c>
    </row>
    <row r="769" spans="16:22" x14ac:dyDescent="0.45">
      <c r="P769" s="20" t="s">
        <v>1432</v>
      </c>
      <c r="R769">
        <v>1</v>
      </c>
      <c r="V769">
        <v>1</v>
      </c>
    </row>
    <row r="770" spans="16:22" x14ac:dyDescent="0.45">
      <c r="P770" s="20" t="s">
        <v>468</v>
      </c>
      <c r="R770">
        <v>1</v>
      </c>
      <c r="V770">
        <v>1</v>
      </c>
    </row>
    <row r="771" spans="16:22" x14ac:dyDescent="0.45">
      <c r="P771" s="20" t="s">
        <v>97</v>
      </c>
      <c r="T771">
        <v>2</v>
      </c>
      <c r="V771">
        <v>2</v>
      </c>
    </row>
    <row r="772" spans="16:22" x14ac:dyDescent="0.45">
      <c r="P772" s="20" t="s">
        <v>185</v>
      </c>
      <c r="S772">
        <v>2</v>
      </c>
      <c r="T772">
        <v>1</v>
      </c>
      <c r="U772">
        <v>1</v>
      </c>
      <c r="V772">
        <v>4</v>
      </c>
    </row>
    <row r="773" spans="16:22" x14ac:dyDescent="0.45">
      <c r="P773" s="20" t="s">
        <v>27</v>
      </c>
      <c r="R773">
        <v>2</v>
      </c>
      <c r="V773">
        <v>2</v>
      </c>
    </row>
    <row r="774" spans="16:22" x14ac:dyDescent="0.45">
      <c r="P774" s="20" t="s">
        <v>318</v>
      </c>
      <c r="S774">
        <v>2</v>
      </c>
      <c r="V774">
        <v>2</v>
      </c>
    </row>
    <row r="775" spans="16:22" x14ac:dyDescent="0.45">
      <c r="P775" s="20" t="s">
        <v>1086</v>
      </c>
      <c r="R775">
        <v>1</v>
      </c>
      <c r="V775">
        <v>1</v>
      </c>
    </row>
    <row r="776" spans="16:22" x14ac:dyDescent="0.45">
      <c r="P776" s="20" t="s">
        <v>332</v>
      </c>
      <c r="S776">
        <v>1</v>
      </c>
      <c r="V776">
        <v>1</v>
      </c>
    </row>
    <row r="777" spans="16:22" x14ac:dyDescent="0.45">
      <c r="P777" s="20" t="s">
        <v>432</v>
      </c>
      <c r="S777">
        <v>1</v>
      </c>
      <c r="V777">
        <v>1</v>
      </c>
    </row>
    <row r="778" spans="16:22" x14ac:dyDescent="0.45">
      <c r="P778" s="20" t="s">
        <v>1021</v>
      </c>
      <c r="R778">
        <v>1</v>
      </c>
      <c r="V778">
        <v>1</v>
      </c>
    </row>
    <row r="779" spans="16:22" x14ac:dyDescent="0.45">
      <c r="P779" s="20" t="s">
        <v>1244</v>
      </c>
      <c r="R779">
        <v>1</v>
      </c>
      <c r="V779">
        <v>1</v>
      </c>
    </row>
    <row r="780" spans="16:22" x14ac:dyDescent="0.45">
      <c r="P780" s="20" t="s">
        <v>1046</v>
      </c>
      <c r="R780">
        <v>1</v>
      </c>
      <c r="V780">
        <v>1</v>
      </c>
    </row>
    <row r="781" spans="16:22" x14ac:dyDescent="0.45">
      <c r="P781" s="20" t="s">
        <v>119</v>
      </c>
      <c r="R781">
        <v>1</v>
      </c>
      <c r="T781">
        <v>3</v>
      </c>
      <c r="V781">
        <v>4</v>
      </c>
    </row>
    <row r="782" spans="16:22" x14ac:dyDescent="0.45">
      <c r="P782" s="20" t="s">
        <v>366</v>
      </c>
      <c r="T782">
        <v>3</v>
      </c>
      <c r="V782">
        <v>3</v>
      </c>
    </row>
    <row r="783" spans="16:22" x14ac:dyDescent="0.45">
      <c r="P783" s="20" t="s">
        <v>931</v>
      </c>
      <c r="R783">
        <v>1</v>
      </c>
      <c r="V783">
        <v>1</v>
      </c>
    </row>
    <row r="784" spans="16:22" x14ac:dyDescent="0.45">
      <c r="P784" s="20" t="s">
        <v>311</v>
      </c>
      <c r="T784">
        <v>1</v>
      </c>
      <c r="V784">
        <v>1</v>
      </c>
    </row>
    <row r="785" spans="16:22" x14ac:dyDescent="0.45">
      <c r="P785" s="20" t="s">
        <v>75</v>
      </c>
      <c r="S785">
        <v>1</v>
      </c>
      <c r="U785">
        <v>3</v>
      </c>
      <c r="V785">
        <v>4</v>
      </c>
    </row>
    <row r="786" spans="16:22" x14ac:dyDescent="0.45">
      <c r="P786" s="20" t="s">
        <v>298</v>
      </c>
      <c r="T786">
        <v>1</v>
      </c>
      <c r="U786">
        <v>1</v>
      </c>
      <c r="V786">
        <v>2</v>
      </c>
    </row>
    <row r="787" spans="16:22" x14ac:dyDescent="0.45">
      <c r="P787" s="20" t="s">
        <v>585</v>
      </c>
      <c r="R787">
        <v>1</v>
      </c>
      <c r="V787">
        <v>1</v>
      </c>
    </row>
    <row r="788" spans="16:22" x14ac:dyDescent="0.45">
      <c r="P788" s="20" t="s">
        <v>1232</v>
      </c>
      <c r="R788">
        <v>1</v>
      </c>
      <c r="V788">
        <v>1</v>
      </c>
    </row>
    <row r="789" spans="16:22" x14ac:dyDescent="0.45">
      <c r="P789" s="20" t="s">
        <v>586</v>
      </c>
      <c r="R789">
        <v>1</v>
      </c>
      <c r="V789">
        <v>1</v>
      </c>
    </row>
    <row r="790" spans="16:22" x14ac:dyDescent="0.45">
      <c r="P790" s="20" t="s">
        <v>801</v>
      </c>
      <c r="R790">
        <v>1</v>
      </c>
      <c r="V790">
        <v>1</v>
      </c>
    </row>
    <row r="791" spans="16:22" x14ac:dyDescent="0.45">
      <c r="P791" s="20" t="s">
        <v>636</v>
      </c>
      <c r="R791">
        <v>1</v>
      </c>
      <c r="V791">
        <v>1</v>
      </c>
    </row>
    <row r="792" spans="16:22" x14ac:dyDescent="0.45">
      <c r="P792" s="20" t="s">
        <v>1260</v>
      </c>
      <c r="R792">
        <v>1</v>
      </c>
      <c r="V792">
        <v>1</v>
      </c>
    </row>
    <row r="793" spans="16:22" x14ac:dyDescent="0.45">
      <c r="P793" s="20" t="s">
        <v>784</v>
      </c>
      <c r="R793">
        <v>1</v>
      </c>
      <c r="V793">
        <v>1</v>
      </c>
    </row>
    <row r="794" spans="16:22" x14ac:dyDescent="0.45">
      <c r="P794" s="20" t="s">
        <v>1166</v>
      </c>
      <c r="R794">
        <v>1</v>
      </c>
      <c r="V794">
        <v>1</v>
      </c>
    </row>
    <row r="795" spans="16:22" x14ac:dyDescent="0.45">
      <c r="P795" s="20" t="s">
        <v>1322</v>
      </c>
      <c r="R795">
        <v>1</v>
      </c>
      <c r="V795">
        <v>1</v>
      </c>
    </row>
    <row r="796" spans="16:22" x14ac:dyDescent="0.45">
      <c r="P796" s="20" t="s">
        <v>1020</v>
      </c>
      <c r="R796">
        <v>1</v>
      </c>
      <c r="V796">
        <v>1</v>
      </c>
    </row>
    <row r="797" spans="16:22" x14ac:dyDescent="0.45">
      <c r="P797" s="20" t="s">
        <v>365</v>
      </c>
      <c r="S797">
        <v>3</v>
      </c>
      <c r="V797">
        <v>3</v>
      </c>
    </row>
    <row r="798" spans="16:22" x14ac:dyDescent="0.45">
      <c r="P798" s="20" t="s">
        <v>647</v>
      </c>
      <c r="R798">
        <v>1</v>
      </c>
      <c r="V798">
        <v>1</v>
      </c>
    </row>
    <row r="799" spans="16:22" x14ac:dyDescent="0.45">
      <c r="P799" s="20" t="s">
        <v>790</v>
      </c>
      <c r="R799">
        <v>1</v>
      </c>
      <c r="V799">
        <v>1</v>
      </c>
    </row>
    <row r="800" spans="16:22" x14ac:dyDescent="0.45">
      <c r="P800" s="20" t="s">
        <v>1338</v>
      </c>
      <c r="R800">
        <v>1</v>
      </c>
      <c r="V800">
        <v>1</v>
      </c>
    </row>
    <row r="801" spans="16:22" x14ac:dyDescent="0.45">
      <c r="P801" s="20" t="s">
        <v>818</v>
      </c>
      <c r="R801">
        <v>1</v>
      </c>
      <c r="V801">
        <v>1</v>
      </c>
    </row>
    <row r="802" spans="16:22" x14ac:dyDescent="0.45">
      <c r="P802" s="20" t="s">
        <v>1236</v>
      </c>
      <c r="R802">
        <v>1</v>
      </c>
      <c r="V802">
        <v>1</v>
      </c>
    </row>
    <row r="803" spans="16:22" x14ac:dyDescent="0.45">
      <c r="P803" s="20" t="s">
        <v>608</v>
      </c>
      <c r="R803">
        <v>1</v>
      </c>
      <c r="V803">
        <v>1</v>
      </c>
    </row>
    <row r="804" spans="16:22" x14ac:dyDescent="0.45">
      <c r="P804" s="20" t="s">
        <v>671</v>
      </c>
      <c r="R804">
        <v>1</v>
      </c>
      <c r="V804">
        <v>1</v>
      </c>
    </row>
    <row r="805" spans="16:22" x14ac:dyDescent="0.45">
      <c r="P805" s="20" t="s">
        <v>1307</v>
      </c>
      <c r="R805">
        <v>1</v>
      </c>
      <c r="V805">
        <v>1</v>
      </c>
    </row>
    <row r="806" spans="16:22" x14ac:dyDescent="0.45">
      <c r="P806" s="20" t="s">
        <v>1089</v>
      </c>
      <c r="R806">
        <v>1</v>
      </c>
      <c r="V806">
        <v>1</v>
      </c>
    </row>
    <row r="807" spans="16:22" x14ac:dyDescent="0.45">
      <c r="P807" s="20" t="s">
        <v>993</v>
      </c>
      <c r="R807">
        <v>1</v>
      </c>
      <c r="V807">
        <v>1</v>
      </c>
    </row>
    <row r="808" spans="16:22" x14ac:dyDescent="0.45">
      <c r="P808" s="20" t="s">
        <v>507</v>
      </c>
      <c r="R808">
        <v>1</v>
      </c>
      <c r="V808">
        <v>1</v>
      </c>
    </row>
    <row r="809" spans="16:22" x14ac:dyDescent="0.45">
      <c r="P809" s="20" t="s">
        <v>970</v>
      </c>
      <c r="R809">
        <v>1</v>
      </c>
      <c r="V809">
        <v>1</v>
      </c>
    </row>
    <row r="810" spans="16:22" x14ac:dyDescent="0.45">
      <c r="P810" s="20" t="s">
        <v>881</v>
      </c>
      <c r="R810">
        <v>1</v>
      </c>
      <c r="V810">
        <v>1</v>
      </c>
    </row>
    <row r="811" spans="16:22" x14ac:dyDescent="0.45">
      <c r="P811" s="20" t="s">
        <v>791</v>
      </c>
      <c r="R811">
        <v>1</v>
      </c>
      <c r="V811">
        <v>1</v>
      </c>
    </row>
    <row r="812" spans="16:22" x14ac:dyDescent="0.45">
      <c r="P812" s="20" t="s">
        <v>387</v>
      </c>
      <c r="R812">
        <v>2</v>
      </c>
      <c r="V812">
        <v>2</v>
      </c>
    </row>
    <row r="813" spans="16:22" x14ac:dyDescent="0.45">
      <c r="P813" s="20" t="s">
        <v>1409</v>
      </c>
      <c r="R813">
        <v>1</v>
      </c>
      <c r="V813">
        <v>1</v>
      </c>
    </row>
    <row r="814" spans="16:22" x14ac:dyDescent="0.45">
      <c r="P814" s="20" t="s">
        <v>1142</v>
      </c>
      <c r="R814">
        <v>1</v>
      </c>
      <c r="V814">
        <v>1</v>
      </c>
    </row>
    <row r="815" spans="16:22" x14ac:dyDescent="0.45">
      <c r="P815" s="20" t="s">
        <v>1283</v>
      </c>
      <c r="R815">
        <v>1</v>
      </c>
      <c r="V815">
        <v>1</v>
      </c>
    </row>
    <row r="816" spans="16:22" x14ac:dyDescent="0.45">
      <c r="P816" s="20" t="s">
        <v>550</v>
      </c>
      <c r="R816">
        <v>1</v>
      </c>
      <c r="V816">
        <v>1</v>
      </c>
    </row>
    <row r="817" spans="16:22" x14ac:dyDescent="0.45">
      <c r="P817" s="20" t="s">
        <v>712</v>
      </c>
      <c r="R817">
        <v>1</v>
      </c>
      <c r="V817">
        <v>1</v>
      </c>
    </row>
    <row r="818" spans="16:22" x14ac:dyDescent="0.45">
      <c r="P818" s="20" t="s">
        <v>1156</v>
      </c>
      <c r="R818">
        <v>1</v>
      </c>
      <c r="V818">
        <v>1</v>
      </c>
    </row>
    <row r="819" spans="16:22" x14ac:dyDescent="0.45">
      <c r="P819" s="20" t="s">
        <v>494</v>
      </c>
      <c r="R819">
        <v>1</v>
      </c>
      <c r="V819">
        <v>1</v>
      </c>
    </row>
    <row r="820" spans="16:22" x14ac:dyDescent="0.45">
      <c r="P820" s="20" t="s">
        <v>1007</v>
      </c>
      <c r="R820">
        <v>1</v>
      </c>
      <c r="V820">
        <v>1</v>
      </c>
    </row>
    <row r="821" spans="16:22" x14ac:dyDescent="0.45">
      <c r="P821" s="20" t="s">
        <v>1266</v>
      </c>
      <c r="R821">
        <v>1</v>
      </c>
      <c r="V821">
        <v>1</v>
      </c>
    </row>
    <row r="822" spans="16:22" x14ac:dyDescent="0.45">
      <c r="P822" s="20" t="s">
        <v>592</v>
      </c>
      <c r="S822">
        <v>1</v>
      </c>
      <c r="V822">
        <v>1</v>
      </c>
    </row>
    <row r="823" spans="16:22" x14ac:dyDescent="0.45">
      <c r="P823" s="20" t="s">
        <v>890</v>
      </c>
      <c r="R823">
        <v>1</v>
      </c>
      <c r="V823">
        <v>1</v>
      </c>
    </row>
    <row r="824" spans="16:22" x14ac:dyDescent="0.45">
      <c r="P824" s="20" t="s">
        <v>1175</v>
      </c>
      <c r="R824">
        <v>1</v>
      </c>
      <c r="V824">
        <v>1</v>
      </c>
    </row>
    <row r="825" spans="16:22" x14ac:dyDescent="0.45">
      <c r="P825" s="20" t="s">
        <v>1018</v>
      </c>
      <c r="R825">
        <v>1</v>
      </c>
      <c r="V825">
        <v>1</v>
      </c>
    </row>
    <row r="826" spans="16:22" x14ac:dyDescent="0.45">
      <c r="P826" s="20" t="s">
        <v>1196</v>
      </c>
      <c r="R826">
        <v>1</v>
      </c>
      <c r="V826">
        <v>1</v>
      </c>
    </row>
    <row r="827" spans="16:22" x14ac:dyDescent="0.45">
      <c r="P827" s="20" t="s">
        <v>359</v>
      </c>
      <c r="U827">
        <v>1</v>
      </c>
      <c r="V827">
        <v>1</v>
      </c>
    </row>
    <row r="828" spans="16:22" x14ac:dyDescent="0.45">
      <c r="P828" s="20" t="s">
        <v>830</v>
      </c>
      <c r="R828">
        <v>1</v>
      </c>
      <c r="V828">
        <v>1</v>
      </c>
    </row>
    <row r="829" spans="16:22" x14ac:dyDescent="0.45">
      <c r="P829" s="20" t="s">
        <v>1071</v>
      </c>
      <c r="R829">
        <v>1</v>
      </c>
      <c r="V829">
        <v>1</v>
      </c>
    </row>
    <row r="830" spans="16:22" x14ac:dyDescent="0.45">
      <c r="P830" s="20" t="s">
        <v>1172</v>
      </c>
      <c r="R830">
        <v>1</v>
      </c>
      <c r="V830">
        <v>1</v>
      </c>
    </row>
    <row r="831" spans="16:22" x14ac:dyDescent="0.45">
      <c r="P831" s="20" t="s">
        <v>136</v>
      </c>
      <c r="S831">
        <v>2</v>
      </c>
      <c r="U831">
        <v>7</v>
      </c>
      <c r="V831">
        <v>9</v>
      </c>
    </row>
    <row r="832" spans="16:22" x14ac:dyDescent="0.45">
      <c r="P832" s="20" t="s">
        <v>301</v>
      </c>
      <c r="R832">
        <v>2</v>
      </c>
      <c r="S832">
        <v>2</v>
      </c>
      <c r="V832">
        <v>4</v>
      </c>
    </row>
    <row r="833" spans="16:22" x14ac:dyDescent="0.45">
      <c r="P833" s="20" t="s">
        <v>141</v>
      </c>
      <c r="S833">
        <v>2</v>
      </c>
      <c r="T833">
        <v>1</v>
      </c>
      <c r="V833">
        <v>3</v>
      </c>
    </row>
    <row r="834" spans="16:22" x14ac:dyDescent="0.45">
      <c r="P834" s="20" t="s">
        <v>163</v>
      </c>
      <c r="U834">
        <v>1</v>
      </c>
      <c r="V834">
        <v>1</v>
      </c>
    </row>
    <row r="835" spans="16:22" x14ac:dyDescent="0.45">
      <c r="P835" s="20" t="s">
        <v>988</v>
      </c>
      <c r="R835">
        <v>1</v>
      </c>
      <c r="V835">
        <v>1</v>
      </c>
    </row>
    <row r="836" spans="16:22" x14ac:dyDescent="0.45">
      <c r="P836" s="20" t="s">
        <v>1049</v>
      </c>
      <c r="R836">
        <v>1</v>
      </c>
      <c r="V836">
        <v>1</v>
      </c>
    </row>
    <row r="837" spans="16:22" x14ac:dyDescent="0.45">
      <c r="P837" s="20" t="s">
        <v>657</v>
      </c>
      <c r="R837">
        <v>1</v>
      </c>
      <c r="V837">
        <v>1</v>
      </c>
    </row>
    <row r="838" spans="16:22" x14ac:dyDescent="0.45">
      <c r="P838" s="20" t="s">
        <v>162</v>
      </c>
      <c r="S838">
        <v>2</v>
      </c>
      <c r="V838">
        <v>2</v>
      </c>
    </row>
    <row r="839" spans="16:22" x14ac:dyDescent="0.45">
      <c r="P839" s="20" t="s">
        <v>431</v>
      </c>
      <c r="T839">
        <v>1</v>
      </c>
      <c r="V839">
        <v>1</v>
      </c>
    </row>
    <row r="840" spans="16:22" x14ac:dyDescent="0.45">
      <c r="P840" s="20" t="s">
        <v>1129</v>
      </c>
      <c r="R840">
        <v>1</v>
      </c>
      <c r="V840">
        <v>1</v>
      </c>
    </row>
    <row r="841" spans="16:22" x14ac:dyDescent="0.45">
      <c r="P841" s="20" t="s">
        <v>346</v>
      </c>
      <c r="S841">
        <v>1</v>
      </c>
      <c r="V841">
        <v>1</v>
      </c>
    </row>
    <row r="842" spans="16:22" x14ac:dyDescent="0.45">
      <c r="P842" s="20" t="s">
        <v>1233</v>
      </c>
      <c r="R842">
        <v>1</v>
      </c>
      <c r="V842">
        <v>1</v>
      </c>
    </row>
    <row r="843" spans="16:22" x14ac:dyDescent="0.45">
      <c r="P843" s="20" t="s">
        <v>1452</v>
      </c>
      <c r="R843">
        <v>1</v>
      </c>
      <c r="V843">
        <v>1</v>
      </c>
    </row>
    <row r="844" spans="16:22" x14ac:dyDescent="0.45">
      <c r="P844" s="20" t="s">
        <v>1032</v>
      </c>
      <c r="R844">
        <v>1</v>
      </c>
      <c r="V844">
        <v>1</v>
      </c>
    </row>
    <row r="845" spans="16:22" x14ac:dyDescent="0.45">
      <c r="P845" s="20" t="s">
        <v>287</v>
      </c>
      <c r="R845">
        <v>2</v>
      </c>
      <c r="V845">
        <v>2</v>
      </c>
    </row>
    <row r="846" spans="16:22" x14ac:dyDescent="0.45">
      <c r="P846" s="20" t="s">
        <v>174</v>
      </c>
      <c r="R846">
        <v>3</v>
      </c>
      <c r="V846">
        <v>3</v>
      </c>
    </row>
    <row r="847" spans="16:22" x14ac:dyDescent="0.45">
      <c r="P847" s="20" t="s">
        <v>924</v>
      </c>
      <c r="R847">
        <v>1</v>
      </c>
      <c r="V847">
        <v>1</v>
      </c>
    </row>
    <row r="848" spans="16:22" x14ac:dyDescent="0.45">
      <c r="P848" s="20" t="s">
        <v>1261</v>
      </c>
      <c r="R848">
        <v>1</v>
      </c>
      <c r="V848">
        <v>1</v>
      </c>
    </row>
    <row r="849" spans="16:22" x14ac:dyDescent="0.45">
      <c r="P849" s="20" t="s">
        <v>567</v>
      </c>
      <c r="R849">
        <v>1</v>
      </c>
      <c r="V849">
        <v>1</v>
      </c>
    </row>
    <row r="850" spans="16:22" x14ac:dyDescent="0.45">
      <c r="P850" s="20" t="s">
        <v>758</v>
      </c>
      <c r="R850">
        <v>1</v>
      </c>
      <c r="V850">
        <v>1</v>
      </c>
    </row>
    <row r="851" spans="16:22" x14ac:dyDescent="0.45">
      <c r="P851" s="20" t="s">
        <v>517</v>
      </c>
      <c r="R851">
        <v>1</v>
      </c>
      <c r="V851">
        <v>1</v>
      </c>
    </row>
    <row r="852" spans="16:22" x14ac:dyDescent="0.45">
      <c r="P852" s="20" t="s">
        <v>267</v>
      </c>
      <c r="S852">
        <v>1</v>
      </c>
      <c r="V852">
        <v>1</v>
      </c>
    </row>
    <row r="853" spans="16:22" x14ac:dyDescent="0.45">
      <c r="P853" s="20" t="s">
        <v>165</v>
      </c>
      <c r="S853">
        <v>4</v>
      </c>
      <c r="V853">
        <v>4</v>
      </c>
    </row>
    <row r="854" spans="16:22" x14ac:dyDescent="0.45">
      <c r="P854" s="20" t="s">
        <v>14</v>
      </c>
      <c r="Q854">
        <v>4</v>
      </c>
      <c r="T854">
        <v>4</v>
      </c>
      <c r="V854">
        <v>8</v>
      </c>
    </row>
    <row r="855" spans="16:22" x14ac:dyDescent="0.45">
      <c r="P855" s="20" t="s">
        <v>330</v>
      </c>
      <c r="T855">
        <v>1</v>
      </c>
      <c r="V855">
        <v>1</v>
      </c>
    </row>
    <row r="856" spans="16:22" x14ac:dyDescent="0.45">
      <c r="P856" s="20" t="s">
        <v>214</v>
      </c>
      <c r="T856">
        <v>1</v>
      </c>
      <c r="V856">
        <v>1</v>
      </c>
    </row>
    <row r="857" spans="16:22" x14ac:dyDescent="0.45">
      <c r="P857" s="20" t="s">
        <v>45</v>
      </c>
      <c r="S857">
        <v>3</v>
      </c>
      <c r="T857">
        <v>2</v>
      </c>
      <c r="V857">
        <v>5</v>
      </c>
    </row>
    <row r="858" spans="16:22" x14ac:dyDescent="0.45">
      <c r="P858" s="20" t="s">
        <v>439</v>
      </c>
      <c r="T858">
        <v>1</v>
      </c>
      <c r="V858">
        <v>1</v>
      </c>
    </row>
    <row r="859" spans="16:22" x14ac:dyDescent="0.45">
      <c r="P859" s="20" t="s">
        <v>299</v>
      </c>
      <c r="U859">
        <v>1</v>
      </c>
      <c r="V859">
        <v>1</v>
      </c>
    </row>
    <row r="860" spans="16:22" x14ac:dyDescent="0.45">
      <c r="P860" s="20" t="s">
        <v>544</v>
      </c>
      <c r="R860">
        <v>1</v>
      </c>
      <c r="V860">
        <v>1</v>
      </c>
    </row>
    <row r="861" spans="16:22" x14ac:dyDescent="0.45">
      <c r="P861" s="20" t="s">
        <v>569</v>
      </c>
      <c r="R861">
        <v>1</v>
      </c>
      <c r="V861">
        <v>1</v>
      </c>
    </row>
    <row r="862" spans="16:22" x14ac:dyDescent="0.45">
      <c r="P862" s="20" t="s">
        <v>620</v>
      </c>
      <c r="R862">
        <v>1</v>
      </c>
      <c r="V862">
        <v>1</v>
      </c>
    </row>
    <row r="863" spans="16:22" x14ac:dyDescent="0.45">
      <c r="P863" s="20" t="s">
        <v>1423</v>
      </c>
      <c r="R863">
        <v>1</v>
      </c>
      <c r="V863">
        <v>1</v>
      </c>
    </row>
    <row r="864" spans="16:22" x14ac:dyDescent="0.45">
      <c r="P864" s="20" t="s">
        <v>203</v>
      </c>
      <c r="S864">
        <v>1</v>
      </c>
      <c r="V864">
        <v>1</v>
      </c>
    </row>
    <row r="865" spans="16:22" x14ac:dyDescent="0.45">
      <c r="P865" s="20" t="s">
        <v>1201</v>
      </c>
      <c r="R865">
        <v>1</v>
      </c>
      <c r="V865">
        <v>1</v>
      </c>
    </row>
    <row r="866" spans="16:22" x14ac:dyDescent="0.45">
      <c r="P866" s="20" t="s">
        <v>768</v>
      </c>
      <c r="R866">
        <v>1</v>
      </c>
      <c r="V866">
        <v>1</v>
      </c>
    </row>
    <row r="867" spans="16:22" x14ac:dyDescent="0.45">
      <c r="P867" s="20" t="s">
        <v>1323</v>
      </c>
      <c r="R867">
        <v>1</v>
      </c>
      <c r="V867">
        <v>1</v>
      </c>
    </row>
    <row r="868" spans="16:22" x14ac:dyDescent="0.45">
      <c r="P868" s="20" t="s">
        <v>682</v>
      </c>
      <c r="S868">
        <v>1</v>
      </c>
      <c r="V868">
        <v>1</v>
      </c>
    </row>
    <row r="869" spans="16:22" x14ac:dyDescent="0.45">
      <c r="P869" s="20" t="s">
        <v>699</v>
      </c>
      <c r="R869">
        <v>1</v>
      </c>
      <c r="V869">
        <v>1</v>
      </c>
    </row>
    <row r="870" spans="16:22" x14ac:dyDescent="0.45">
      <c r="P870" s="20" t="s">
        <v>111</v>
      </c>
      <c r="R870">
        <v>1</v>
      </c>
      <c r="U870">
        <v>2</v>
      </c>
      <c r="V870">
        <v>3</v>
      </c>
    </row>
    <row r="871" spans="16:22" x14ac:dyDescent="0.45">
      <c r="P871" s="20" t="s">
        <v>249</v>
      </c>
      <c r="R871">
        <v>2</v>
      </c>
      <c r="S871">
        <v>2</v>
      </c>
      <c r="V871">
        <v>4</v>
      </c>
    </row>
    <row r="872" spans="16:22" x14ac:dyDescent="0.45">
      <c r="P872" s="20" t="s">
        <v>246</v>
      </c>
      <c r="T872">
        <v>3</v>
      </c>
      <c r="V872">
        <v>3</v>
      </c>
    </row>
    <row r="873" spans="16:22" x14ac:dyDescent="0.45">
      <c r="P873" s="20" t="s">
        <v>650</v>
      </c>
      <c r="R873">
        <v>1</v>
      </c>
      <c r="V873">
        <v>1</v>
      </c>
    </row>
    <row r="874" spans="16:22" x14ac:dyDescent="0.45">
      <c r="P874" s="20" t="s">
        <v>306</v>
      </c>
      <c r="R874">
        <v>2</v>
      </c>
      <c r="S874">
        <v>1</v>
      </c>
      <c r="V874">
        <v>3</v>
      </c>
    </row>
    <row r="875" spans="16:22" x14ac:dyDescent="0.45">
      <c r="P875" s="20" t="s">
        <v>598</v>
      </c>
      <c r="R875">
        <v>1</v>
      </c>
      <c r="V875">
        <v>1</v>
      </c>
    </row>
    <row r="876" spans="16:22" x14ac:dyDescent="0.45">
      <c r="P876" s="20" t="s">
        <v>901</v>
      </c>
      <c r="R876">
        <v>1</v>
      </c>
      <c r="V876">
        <v>1</v>
      </c>
    </row>
    <row r="877" spans="16:22" x14ac:dyDescent="0.45">
      <c r="P877" s="20" t="s">
        <v>1366</v>
      </c>
      <c r="R877">
        <v>1</v>
      </c>
      <c r="V877">
        <v>1</v>
      </c>
    </row>
    <row r="878" spans="16:22" x14ac:dyDescent="0.45">
      <c r="P878" s="20" t="s">
        <v>659</v>
      </c>
      <c r="R878">
        <v>1</v>
      </c>
      <c r="V878">
        <v>1</v>
      </c>
    </row>
    <row r="879" spans="16:22" x14ac:dyDescent="0.45">
      <c r="P879" s="20" t="s">
        <v>618</v>
      </c>
      <c r="R879">
        <v>1</v>
      </c>
      <c r="V879">
        <v>1</v>
      </c>
    </row>
    <row r="880" spans="16:22" x14ac:dyDescent="0.45">
      <c r="P880" s="20" t="s">
        <v>607</v>
      </c>
      <c r="R880">
        <v>1</v>
      </c>
      <c r="V880">
        <v>1</v>
      </c>
    </row>
    <row r="881" spans="16:22" x14ac:dyDescent="0.45">
      <c r="P881" s="20" t="s">
        <v>308</v>
      </c>
      <c r="S881">
        <v>1</v>
      </c>
      <c r="V881">
        <v>1</v>
      </c>
    </row>
    <row r="882" spans="16:22" x14ac:dyDescent="0.45">
      <c r="P882" s="20" t="s">
        <v>745</v>
      </c>
      <c r="R882">
        <v>1</v>
      </c>
      <c r="V882">
        <v>1</v>
      </c>
    </row>
    <row r="883" spans="16:22" x14ac:dyDescent="0.45">
      <c r="P883" s="20" t="s">
        <v>1297</v>
      </c>
      <c r="R883">
        <v>1</v>
      </c>
      <c r="V883">
        <v>1</v>
      </c>
    </row>
    <row r="884" spans="16:22" x14ac:dyDescent="0.45">
      <c r="P884" s="20" t="s">
        <v>1315</v>
      </c>
      <c r="R884">
        <v>1</v>
      </c>
      <c r="V884">
        <v>1</v>
      </c>
    </row>
    <row r="885" spans="16:22" x14ac:dyDescent="0.45">
      <c r="P885" s="20" t="s">
        <v>1289</v>
      </c>
      <c r="R885">
        <v>1</v>
      </c>
      <c r="V885">
        <v>1</v>
      </c>
    </row>
    <row r="886" spans="16:22" x14ac:dyDescent="0.45">
      <c r="P886" s="20" t="s">
        <v>1141</v>
      </c>
      <c r="R886">
        <v>1</v>
      </c>
      <c r="V886">
        <v>1</v>
      </c>
    </row>
    <row r="887" spans="16:22" x14ac:dyDescent="0.45">
      <c r="P887" s="20" t="s">
        <v>1056</v>
      </c>
      <c r="R887">
        <v>1</v>
      </c>
      <c r="V887">
        <v>1</v>
      </c>
    </row>
    <row r="888" spans="16:22" x14ac:dyDescent="0.45">
      <c r="P888" s="20" t="s">
        <v>1150</v>
      </c>
      <c r="R888">
        <v>1</v>
      </c>
      <c r="V888">
        <v>1</v>
      </c>
    </row>
    <row r="889" spans="16:22" x14ac:dyDescent="0.45">
      <c r="P889" s="20" t="s">
        <v>36</v>
      </c>
      <c r="S889">
        <v>3</v>
      </c>
      <c r="U889">
        <v>2</v>
      </c>
      <c r="V889">
        <v>5</v>
      </c>
    </row>
    <row r="890" spans="16:22" x14ac:dyDescent="0.45">
      <c r="P890" s="20" t="s">
        <v>213</v>
      </c>
      <c r="R890">
        <v>4</v>
      </c>
      <c r="S890">
        <v>3</v>
      </c>
      <c r="V890">
        <v>7</v>
      </c>
    </row>
    <row r="891" spans="16:22" x14ac:dyDescent="0.45">
      <c r="P891" s="20" t="s">
        <v>156</v>
      </c>
      <c r="U891">
        <v>1</v>
      </c>
      <c r="V891">
        <v>1</v>
      </c>
    </row>
    <row r="892" spans="16:22" x14ac:dyDescent="0.45">
      <c r="P892" s="20" t="s">
        <v>1347</v>
      </c>
      <c r="R892">
        <v>1</v>
      </c>
      <c r="V892">
        <v>1</v>
      </c>
    </row>
    <row r="893" spans="16:22" x14ac:dyDescent="0.45">
      <c r="P893" s="20" t="s">
        <v>912</v>
      </c>
      <c r="R893">
        <v>1</v>
      </c>
      <c r="V893">
        <v>1</v>
      </c>
    </row>
    <row r="894" spans="16:22" x14ac:dyDescent="0.45">
      <c r="P894" s="20" t="s">
        <v>1218</v>
      </c>
      <c r="R894">
        <v>1</v>
      </c>
      <c r="V894">
        <v>1</v>
      </c>
    </row>
    <row r="895" spans="16:22" x14ac:dyDescent="0.45">
      <c r="P895" s="20" t="s">
        <v>971</v>
      </c>
      <c r="R895">
        <v>1</v>
      </c>
      <c r="V895">
        <v>1</v>
      </c>
    </row>
    <row r="896" spans="16:22" x14ac:dyDescent="0.45">
      <c r="P896" s="20" t="s">
        <v>1115</v>
      </c>
      <c r="R896">
        <v>1</v>
      </c>
      <c r="V896">
        <v>1</v>
      </c>
    </row>
    <row r="897" spans="16:22" x14ac:dyDescent="0.45">
      <c r="P897" s="20" t="s">
        <v>692</v>
      </c>
      <c r="R897">
        <v>1</v>
      </c>
      <c r="V897">
        <v>1</v>
      </c>
    </row>
    <row r="898" spans="16:22" x14ac:dyDescent="0.45">
      <c r="P898" s="20" t="s">
        <v>358</v>
      </c>
      <c r="S898">
        <v>1</v>
      </c>
      <c r="V898">
        <v>1</v>
      </c>
    </row>
    <row r="899" spans="16:22" x14ac:dyDescent="0.45">
      <c r="P899" s="20" t="s">
        <v>1031</v>
      </c>
      <c r="R899">
        <v>1</v>
      </c>
      <c r="V899">
        <v>1</v>
      </c>
    </row>
    <row r="900" spans="16:22" x14ac:dyDescent="0.45">
      <c r="P900" s="20" t="s">
        <v>810</v>
      </c>
      <c r="R900">
        <v>1</v>
      </c>
      <c r="V900">
        <v>1</v>
      </c>
    </row>
    <row r="901" spans="16:22" x14ac:dyDescent="0.45">
      <c r="P901" s="20" t="s">
        <v>757</v>
      </c>
      <c r="R901">
        <v>1</v>
      </c>
      <c r="V901">
        <v>1</v>
      </c>
    </row>
    <row r="902" spans="16:22" x14ac:dyDescent="0.45">
      <c r="P902" s="20" t="s">
        <v>1165</v>
      </c>
      <c r="S902">
        <v>1</v>
      </c>
      <c r="V902">
        <v>1</v>
      </c>
    </row>
    <row r="903" spans="16:22" x14ac:dyDescent="0.45">
      <c r="P903" s="20" t="s">
        <v>1214</v>
      </c>
      <c r="R903">
        <v>1</v>
      </c>
      <c r="V903">
        <v>1</v>
      </c>
    </row>
    <row r="904" spans="16:22" x14ac:dyDescent="0.45">
      <c r="P904" s="20" t="s">
        <v>525</v>
      </c>
      <c r="R904">
        <v>1</v>
      </c>
      <c r="V904">
        <v>1</v>
      </c>
    </row>
    <row r="905" spans="16:22" x14ac:dyDescent="0.45">
      <c r="P905" s="20" t="s">
        <v>698</v>
      </c>
      <c r="R905">
        <v>1</v>
      </c>
      <c r="V905">
        <v>1</v>
      </c>
    </row>
    <row r="906" spans="16:22" x14ac:dyDescent="0.45">
      <c r="P906" s="20" t="s">
        <v>1370</v>
      </c>
      <c r="R906">
        <v>1</v>
      </c>
      <c r="V906">
        <v>1</v>
      </c>
    </row>
    <row r="907" spans="16:22" x14ac:dyDescent="0.45">
      <c r="P907" s="20" t="s">
        <v>687</v>
      </c>
      <c r="R907">
        <v>1</v>
      </c>
      <c r="V907">
        <v>1</v>
      </c>
    </row>
    <row r="908" spans="16:22" x14ac:dyDescent="0.45">
      <c r="P908" s="20" t="s">
        <v>599</v>
      </c>
      <c r="R908">
        <v>1</v>
      </c>
      <c r="V908">
        <v>1</v>
      </c>
    </row>
    <row r="909" spans="16:22" x14ac:dyDescent="0.45">
      <c r="P909" s="20" t="s">
        <v>1256</v>
      </c>
      <c r="R909">
        <v>1</v>
      </c>
      <c r="V909">
        <v>1</v>
      </c>
    </row>
    <row r="910" spans="16:22" x14ac:dyDescent="0.45">
      <c r="P910" s="20" t="s">
        <v>736</v>
      </c>
      <c r="R910">
        <v>1</v>
      </c>
      <c r="V910">
        <v>1</v>
      </c>
    </row>
    <row r="911" spans="16:22" x14ac:dyDescent="0.45">
      <c r="P911" s="20" t="s">
        <v>409</v>
      </c>
      <c r="T911">
        <v>2</v>
      </c>
      <c r="V911">
        <v>2</v>
      </c>
    </row>
    <row r="912" spans="16:22" x14ac:dyDescent="0.45">
      <c r="P912" s="20" t="s">
        <v>41</v>
      </c>
      <c r="S912">
        <v>3</v>
      </c>
      <c r="V912">
        <v>3</v>
      </c>
    </row>
    <row r="913" spans="16:22" x14ac:dyDescent="0.45">
      <c r="P913" s="20" t="s">
        <v>66</v>
      </c>
      <c r="R913">
        <v>2</v>
      </c>
      <c r="S913">
        <v>3</v>
      </c>
      <c r="T913">
        <v>2</v>
      </c>
      <c r="V913">
        <v>7</v>
      </c>
    </row>
    <row r="914" spans="16:22" x14ac:dyDescent="0.45">
      <c r="P914" s="20" t="s">
        <v>266</v>
      </c>
      <c r="T914">
        <v>2</v>
      </c>
      <c r="V914">
        <v>2</v>
      </c>
    </row>
    <row r="915" spans="16:22" x14ac:dyDescent="0.45">
      <c r="P915" s="20" t="s">
        <v>1170</v>
      </c>
      <c r="R915">
        <v>1</v>
      </c>
      <c r="V915">
        <v>1</v>
      </c>
    </row>
    <row r="916" spans="16:22" x14ac:dyDescent="0.45">
      <c r="P916" s="20" t="s">
        <v>1105</v>
      </c>
      <c r="R916">
        <v>1</v>
      </c>
      <c r="V916">
        <v>1</v>
      </c>
    </row>
    <row r="917" spans="16:22" x14ac:dyDescent="0.45">
      <c r="P917" s="20" t="s">
        <v>1303</v>
      </c>
      <c r="R917">
        <v>1</v>
      </c>
      <c r="V917">
        <v>1</v>
      </c>
    </row>
    <row r="918" spans="16:22" x14ac:dyDescent="0.45">
      <c r="P918" s="20" t="s">
        <v>1128</v>
      </c>
      <c r="R918">
        <v>1</v>
      </c>
      <c r="V918">
        <v>1</v>
      </c>
    </row>
    <row r="919" spans="16:22" x14ac:dyDescent="0.45">
      <c r="P919" s="20" t="s">
        <v>1101</v>
      </c>
      <c r="R919">
        <v>1</v>
      </c>
      <c r="V919">
        <v>1</v>
      </c>
    </row>
    <row r="920" spans="16:22" x14ac:dyDescent="0.45">
      <c r="P920" s="20" t="s">
        <v>658</v>
      </c>
      <c r="R920">
        <v>1</v>
      </c>
      <c r="V920">
        <v>1</v>
      </c>
    </row>
    <row r="921" spans="16:22" x14ac:dyDescent="0.45">
      <c r="P921" s="20" t="s">
        <v>663</v>
      </c>
      <c r="R921">
        <v>1</v>
      </c>
      <c r="V921">
        <v>1</v>
      </c>
    </row>
    <row r="922" spans="16:22" x14ac:dyDescent="0.45">
      <c r="P922" s="20" t="s">
        <v>666</v>
      </c>
      <c r="R922">
        <v>1</v>
      </c>
      <c r="V922">
        <v>1</v>
      </c>
    </row>
    <row r="923" spans="16:22" x14ac:dyDescent="0.45">
      <c r="P923" s="20" t="s">
        <v>975</v>
      </c>
      <c r="R923">
        <v>1</v>
      </c>
      <c r="V923">
        <v>1</v>
      </c>
    </row>
    <row r="924" spans="16:22" x14ac:dyDescent="0.45">
      <c r="P924" s="20" t="s">
        <v>639</v>
      </c>
      <c r="R924">
        <v>1</v>
      </c>
      <c r="V924">
        <v>1</v>
      </c>
    </row>
    <row r="925" spans="16:22" x14ac:dyDescent="0.45">
      <c r="P925" s="20" t="s">
        <v>1216</v>
      </c>
      <c r="R925">
        <v>1</v>
      </c>
      <c r="V925">
        <v>1</v>
      </c>
    </row>
    <row r="926" spans="16:22" x14ac:dyDescent="0.45">
      <c r="P926" s="20" t="s">
        <v>487</v>
      </c>
      <c r="R926">
        <v>1</v>
      </c>
      <c r="V926">
        <v>1</v>
      </c>
    </row>
    <row r="927" spans="16:22" x14ac:dyDescent="0.45">
      <c r="P927" s="20" t="s">
        <v>1108</v>
      </c>
      <c r="R927">
        <v>1</v>
      </c>
      <c r="V927">
        <v>1</v>
      </c>
    </row>
    <row r="928" spans="16:22" x14ac:dyDescent="0.45">
      <c r="P928" s="20" t="s">
        <v>918</v>
      </c>
      <c r="R928">
        <v>1</v>
      </c>
      <c r="V928">
        <v>1</v>
      </c>
    </row>
    <row r="929" spans="16:22" x14ac:dyDescent="0.45">
      <c r="P929" s="20" t="s">
        <v>593</v>
      </c>
      <c r="R929">
        <v>1</v>
      </c>
      <c r="V929">
        <v>1</v>
      </c>
    </row>
    <row r="930" spans="16:22" x14ac:dyDescent="0.45">
      <c r="P930" s="20" t="s">
        <v>406</v>
      </c>
      <c r="S930">
        <v>1</v>
      </c>
      <c r="U930">
        <v>1</v>
      </c>
      <c r="V930">
        <v>2</v>
      </c>
    </row>
    <row r="931" spans="16:22" x14ac:dyDescent="0.45">
      <c r="P931" s="20" t="s">
        <v>118</v>
      </c>
      <c r="S931">
        <v>1</v>
      </c>
      <c r="U931">
        <v>4</v>
      </c>
      <c r="V931">
        <v>5</v>
      </c>
    </row>
    <row r="932" spans="16:22" x14ac:dyDescent="0.45">
      <c r="P932" s="20" t="s">
        <v>397</v>
      </c>
      <c r="R932">
        <v>1</v>
      </c>
      <c r="V932">
        <v>1</v>
      </c>
    </row>
    <row r="933" spans="16:22" x14ac:dyDescent="0.45">
      <c r="P933" s="20" t="s">
        <v>347</v>
      </c>
      <c r="U933">
        <v>3</v>
      </c>
      <c r="V933">
        <v>3</v>
      </c>
    </row>
    <row r="934" spans="16:22" x14ac:dyDescent="0.45">
      <c r="P934" s="20" t="s">
        <v>121</v>
      </c>
      <c r="S934">
        <v>1</v>
      </c>
      <c r="T934">
        <v>2</v>
      </c>
      <c r="U934">
        <v>1</v>
      </c>
      <c r="V934">
        <v>4</v>
      </c>
    </row>
    <row r="935" spans="16:22" x14ac:dyDescent="0.45">
      <c r="P935" s="20" t="s">
        <v>423</v>
      </c>
      <c r="T935">
        <v>2</v>
      </c>
      <c r="V935">
        <v>2</v>
      </c>
    </row>
    <row r="936" spans="16:22" x14ac:dyDescent="0.45">
      <c r="P936" s="20" t="s">
        <v>258</v>
      </c>
      <c r="R936">
        <v>1</v>
      </c>
      <c r="S936">
        <v>1</v>
      </c>
      <c r="V936">
        <v>2</v>
      </c>
    </row>
    <row r="937" spans="16:22" x14ac:dyDescent="0.45">
      <c r="P937" s="20" t="s">
        <v>1384</v>
      </c>
      <c r="R937">
        <v>1</v>
      </c>
      <c r="V937">
        <v>1</v>
      </c>
    </row>
    <row r="938" spans="16:22" x14ac:dyDescent="0.45">
      <c r="P938" s="20" t="s">
        <v>1143</v>
      </c>
      <c r="R938">
        <v>1</v>
      </c>
      <c r="V938">
        <v>1</v>
      </c>
    </row>
    <row r="939" spans="16:22" x14ac:dyDescent="0.45">
      <c r="P939" s="20" t="s">
        <v>109</v>
      </c>
      <c r="R939">
        <v>1</v>
      </c>
      <c r="V939">
        <v>1</v>
      </c>
    </row>
    <row r="940" spans="16:22" x14ac:dyDescent="0.45">
      <c r="P940" s="20" t="s">
        <v>1450</v>
      </c>
      <c r="R940">
        <v>1</v>
      </c>
      <c r="V940">
        <v>1</v>
      </c>
    </row>
    <row r="941" spans="16:22" x14ac:dyDescent="0.45">
      <c r="P941" s="20" t="s">
        <v>1205</v>
      </c>
      <c r="R941">
        <v>1</v>
      </c>
      <c r="V941">
        <v>1</v>
      </c>
    </row>
    <row r="942" spans="16:22" x14ac:dyDescent="0.45">
      <c r="P942" s="20" t="s">
        <v>554</v>
      </c>
      <c r="R942">
        <v>1</v>
      </c>
      <c r="V942">
        <v>1</v>
      </c>
    </row>
    <row r="943" spans="16:22" x14ac:dyDescent="0.45">
      <c r="P943" s="20" t="s">
        <v>963</v>
      </c>
      <c r="R943">
        <v>1</v>
      </c>
      <c r="V943">
        <v>1</v>
      </c>
    </row>
    <row r="944" spans="16:22" x14ac:dyDescent="0.45">
      <c r="P944" s="20" t="s">
        <v>703</v>
      </c>
      <c r="R944">
        <v>1</v>
      </c>
      <c r="V944">
        <v>1</v>
      </c>
    </row>
    <row r="945" spans="16:22" x14ac:dyDescent="0.45">
      <c r="P945" s="20" t="s">
        <v>951</v>
      </c>
      <c r="R945">
        <v>1</v>
      </c>
      <c r="V945">
        <v>1</v>
      </c>
    </row>
    <row r="946" spans="16:22" x14ac:dyDescent="0.45">
      <c r="P946" s="20" t="s">
        <v>484</v>
      </c>
      <c r="R946">
        <v>1</v>
      </c>
      <c r="V946">
        <v>1</v>
      </c>
    </row>
    <row r="947" spans="16:22" x14ac:dyDescent="0.45">
      <c r="P947" s="20" t="s">
        <v>1422</v>
      </c>
      <c r="R947">
        <v>1</v>
      </c>
      <c r="V947">
        <v>1</v>
      </c>
    </row>
    <row r="948" spans="16:22" x14ac:dyDescent="0.45">
      <c r="P948" s="20" t="s">
        <v>848</v>
      </c>
      <c r="R948">
        <v>1</v>
      </c>
      <c r="V948">
        <v>1</v>
      </c>
    </row>
    <row r="949" spans="16:22" x14ac:dyDescent="0.45">
      <c r="P949" s="20" t="s">
        <v>854</v>
      </c>
      <c r="R949">
        <v>1</v>
      </c>
      <c r="V949">
        <v>1</v>
      </c>
    </row>
    <row r="950" spans="16:22" x14ac:dyDescent="0.45">
      <c r="P950" s="20" t="s">
        <v>807</v>
      </c>
      <c r="R950">
        <v>1</v>
      </c>
      <c r="V950">
        <v>1</v>
      </c>
    </row>
    <row r="951" spans="16:22" x14ac:dyDescent="0.45">
      <c r="P951" s="20" t="s">
        <v>720</v>
      </c>
      <c r="R951">
        <v>1</v>
      </c>
      <c r="V951">
        <v>1</v>
      </c>
    </row>
    <row r="952" spans="16:22" x14ac:dyDescent="0.45">
      <c r="P952" s="20" t="s">
        <v>1382</v>
      </c>
      <c r="R952">
        <v>1</v>
      </c>
      <c r="V952">
        <v>1</v>
      </c>
    </row>
    <row r="953" spans="16:22" x14ac:dyDescent="0.45">
      <c r="P953" s="20" t="s">
        <v>783</v>
      </c>
      <c r="R953">
        <v>1</v>
      </c>
      <c r="V953">
        <v>1</v>
      </c>
    </row>
    <row r="954" spans="16:22" x14ac:dyDescent="0.45">
      <c r="P954" s="20" t="s">
        <v>858</v>
      </c>
      <c r="R954">
        <v>1</v>
      </c>
      <c r="V954">
        <v>1</v>
      </c>
    </row>
    <row r="955" spans="16:22" x14ac:dyDescent="0.45">
      <c r="P955" s="20" t="s">
        <v>780</v>
      </c>
      <c r="R955">
        <v>1</v>
      </c>
      <c r="V955">
        <v>1</v>
      </c>
    </row>
    <row r="956" spans="16:22" x14ac:dyDescent="0.45">
      <c r="P956" s="20" t="s">
        <v>1238</v>
      </c>
      <c r="R956">
        <v>1</v>
      </c>
      <c r="V956">
        <v>1</v>
      </c>
    </row>
    <row r="957" spans="16:22" x14ac:dyDescent="0.45">
      <c r="P957" s="20" t="s">
        <v>744</v>
      </c>
      <c r="R957">
        <v>1</v>
      </c>
      <c r="V957">
        <v>1</v>
      </c>
    </row>
    <row r="958" spans="16:22" x14ac:dyDescent="0.45">
      <c r="P958" s="20" t="s">
        <v>1094</v>
      </c>
      <c r="R958">
        <v>1</v>
      </c>
      <c r="V958">
        <v>1</v>
      </c>
    </row>
    <row r="959" spans="16:22" x14ac:dyDescent="0.45">
      <c r="P959" s="20" t="s">
        <v>964</v>
      </c>
      <c r="R959">
        <v>1</v>
      </c>
      <c r="V959">
        <v>1</v>
      </c>
    </row>
    <row r="960" spans="16:22" x14ac:dyDescent="0.45">
      <c r="P960" s="20" t="s">
        <v>713</v>
      </c>
      <c r="R960">
        <v>1</v>
      </c>
      <c r="V960">
        <v>1</v>
      </c>
    </row>
    <row r="961" spans="16:22" x14ac:dyDescent="0.45">
      <c r="P961" s="20" t="s">
        <v>1281</v>
      </c>
      <c r="R961">
        <v>1</v>
      </c>
      <c r="V961">
        <v>1</v>
      </c>
    </row>
    <row r="962" spans="16:22" x14ac:dyDescent="0.45">
      <c r="P962" s="20" t="s">
        <v>32</v>
      </c>
      <c r="S962">
        <v>2</v>
      </c>
      <c r="U962">
        <v>1</v>
      </c>
      <c r="V962">
        <v>3</v>
      </c>
    </row>
    <row r="963" spans="16:22" x14ac:dyDescent="0.45">
      <c r="P963" s="20" t="s">
        <v>856</v>
      </c>
      <c r="R963">
        <v>1</v>
      </c>
      <c r="V963">
        <v>1</v>
      </c>
    </row>
    <row r="964" spans="16:22" x14ac:dyDescent="0.45">
      <c r="P964" s="20" t="s">
        <v>280</v>
      </c>
      <c r="U964">
        <v>2</v>
      </c>
      <c r="V964">
        <v>2</v>
      </c>
    </row>
    <row r="965" spans="16:22" x14ac:dyDescent="0.45">
      <c r="P965" s="20" t="s">
        <v>1051</v>
      </c>
      <c r="R965">
        <v>1</v>
      </c>
      <c r="V965">
        <v>1</v>
      </c>
    </row>
    <row r="966" spans="16:22" x14ac:dyDescent="0.45">
      <c r="P966" s="20" t="s">
        <v>1304</v>
      </c>
      <c r="R966">
        <v>1</v>
      </c>
      <c r="V966">
        <v>1</v>
      </c>
    </row>
    <row r="967" spans="16:22" x14ac:dyDescent="0.45">
      <c r="P967" s="20" t="s">
        <v>548</v>
      </c>
      <c r="R967">
        <v>1</v>
      </c>
      <c r="V967">
        <v>1</v>
      </c>
    </row>
    <row r="968" spans="16:22" x14ac:dyDescent="0.45">
      <c r="P968" s="20" t="s">
        <v>1039</v>
      </c>
      <c r="R968">
        <v>1</v>
      </c>
      <c r="V968">
        <v>1</v>
      </c>
    </row>
    <row r="969" spans="16:22" x14ac:dyDescent="0.45">
      <c r="P969" s="20" t="s">
        <v>1292</v>
      </c>
      <c r="R969">
        <v>1</v>
      </c>
      <c r="V969">
        <v>1</v>
      </c>
    </row>
    <row r="970" spans="16:22" x14ac:dyDescent="0.45">
      <c r="P970" s="20" t="s">
        <v>788</v>
      </c>
      <c r="R970">
        <v>1</v>
      </c>
      <c r="V970">
        <v>1</v>
      </c>
    </row>
    <row r="971" spans="16:22" x14ac:dyDescent="0.45">
      <c r="P971" s="20" t="s">
        <v>407</v>
      </c>
      <c r="T971">
        <v>1</v>
      </c>
      <c r="V971">
        <v>1</v>
      </c>
    </row>
    <row r="972" spans="16:22" x14ac:dyDescent="0.45">
      <c r="P972" s="20" t="s">
        <v>1195</v>
      </c>
      <c r="R972">
        <v>1</v>
      </c>
      <c r="V972">
        <v>1</v>
      </c>
    </row>
    <row r="973" spans="16:22" x14ac:dyDescent="0.45">
      <c r="P973" s="20" t="s">
        <v>633</v>
      </c>
      <c r="R973">
        <v>1</v>
      </c>
      <c r="V973">
        <v>1</v>
      </c>
    </row>
    <row r="974" spans="16:22" x14ac:dyDescent="0.45">
      <c r="P974" s="20" t="s">
        <v>225</v>
      </c>
      <c r="U974">
        <v>1</v>
      </c>
      <c r="V974">
        <v>1</v>
      </c>
    </row>
    <row r="975" spans="16:22" x14ac:dyDescent="0.45">
      <c r="P975" s="20" t="s">
        <v>336</v>
      </c>
      <c r="S975">
        <v>1</v>
      </c>
      <c r="V975">
        <v>1</v>
      </c>
    </row>
    <row r="976" spans="16:22" x14ac:dyDescent="0.45">
      <c r="P976" s="20" t="s">
        <v>1092</v>
      </c>
      <c r="R976">
        <v>1</v>
      </c>
      <c r="V976">
        <v>1</v>
      </c>
    </row>
    <row r="977" spans="16:22" x14ac:dyDescent="0.45">
      <c r="P977" s="20" t="s">
        <v>821</v>
      </c>
      <c r="R977">
        <v>1</v>
      </c>
      <c r="V977">
        <v>1</v>
      </c>
    </row>
    <row r="978" spans="16:22" x14ac:dyDescent="0.45">
      <c r="P978" s="20" t="s">
        <v>350</v>
      </c>
      <c r="U978">
        <v>3</v>
      </c>
      <c r="V978">
        <v>3</v>
      </c>
    </row>
    <row r="979" spans="16:22" x14ac:dyDescent="0.45">
      <c r="P979" s="20" t="s">
        <v>756</v>
      </c>
      <c r="R979">
        <v>1</v>
      </c>
      <c r="V979">
        <v>1</v>
      </c>
    </row>
    <row r="980" spans="16:22" x14ac:dyDescent="0.45">
      <c r="P980" s="20" t="s">
        <v>1255</v>
      </c>
      <c r="R980">
        <v>1</v>
      </c>
      <c r="V980">
        <v>1</v>
      </c>
    </row>
    <row r="981" spans="16:22" x14ac:dyDescent="0.45">
      <c r="P981" s="20" t="s">
        <v>968</v>
      </c>
      <c r="R981">
        <v>1</v>
      </c>
      <c r="V981">
        <v>1</v>
      </c>
    </row>
    <row r="982" spans="16:22" x14ac:dyDescent="0.45">
      <c r="P982" s="20" t="s">
        <v>891</v>
      </c>
      <c r="R982">
        <v>1</v>
      </c>
      <c r="V982">
        <v>1</v>
      </c>
    </row>
    <row r="983" spans="16:22" x14ac:dyDescent="0.45">
      <c r="P983" s="20" t="s">
        <v>792</v>
      </c>
      <c r="R983">
        <v>1</v>
      </c>
      <c r="V983">
        <v>1</v>
      </c>
    </row>
    <row r="984" spans="16:22" x14ac:dyDescent="0.45">
      <c r="P984" s="20" t="s">
        <v>1231</v>
      </c>
      <c r="R984">
        <v>1</v>
      </c>
      <c r="V984">
        <v>1</v>
      </c>
    </row>
    <row r="985" spans="16:22" x14ac:dyDescent="0.45">
      <c r="P985" s="20" t="s">
        <v>575</v>
      </c>
      <c r="R985">
        <v>1</v>
      </c>
      <c r="V985">
        <v>1</v>
      </c>
    </row>
    <row r="986" spans="16:22" x14ac:dyDescent="0.45">
      <c r="P986" s="20" t="s">
        <v>382</v>
      </c>
      <c r="T986">
        <v>1</v>
      </c>
      <c r="V986">
        <v>1</v>
      </c>
    </row>
    <row r="987" spans="16:22" x14ac:dyDescent="0.45">
      <c r="P987" s="20" t="s">
        <v>1321</v>
      </c>
      <c r="R987">
        <v>1</v>
      </c>
      <c r="V987">
        <v>1</v>
      </c>
    </row>
    <row r="988" spans="16:22" x14ac:dyDescent="0.45">
      <c r="P988" s="20" t="s">
        <v>54</v>
      </c>
      <c r="R988">
        <v>1</v>
      </c>
      <c r="S988">
        <v>1</v>
      </c>
      <c r="T988">
        <v>2</v>
      </c>
      <c r="U988">
        <v>1</v>
      </c>
      <c r="V988">
        <v>5</v>
      </c>
    </row>
    <row r="989" spans="16:22" x14ac:dyDescent="0.45">
      <c r="P989" s="20" t="s">
        <v>741</v>
      </c>
      <c r="R989">
        <v>1</v>
      </c>
      <c r="V989">
        <v>1</v>
      </c>
    </row>
    <row r="990" spans="16:22" x14ac:dyDescent="0.45">
      <c r="P990" s="20" t="s">
        <v>292</v>
      </c>
      <c r="R990">
        <v>1</v>
      </c>
      <c r="T990">
        <v>2</v>
      </c>
      <c r="V990">
        <v>3</v>
      </c>
    </row>
    <row r="991" spans="16:22" x14ac:dyDescent="0.45">
      <c r="P991" s="20" t="s">
        <v>760</v>
      </c>
      <c r="R991">
        <v>1</v>
      </c>
      <c r="V991">
        <v>1</v>
      </c>
    </row>
    <row r="992" spans="16:22" x14ac:dyDescent="0.45">
      <c r="P992" s="20" t="s">
        <v>115</v>
      </c>
      <c r="R992">
        <v>2</v>
      </c>
      <c r="U992">
        <v>2</v>
      </c>
      <c r="V992">
        <v>4</v>
      </c>
    </row>
    <row r="993" spans="16:22" x14ac:dyDescent="0.45">
      <c r="P993" s="20" t="s">
        <v>561</v>
      </c>
      <c r="R993">
        <v>1</v>
      </c>
      <c r="V993">
        <v>1</v>
      </c>
    </row>
    <row r="994" spans="16:22" x14ac:dyDescent="0.45">
      <c r="P994" s="20" t="s">
        <v>939</v>
      </c>
      <c r="R994">
        <v>1</v>
      </c>
      <c r="V994">
        <v>1</v>
      </c>
    </row>
    <row r="995" spans="16:22" x14ac:dyDescent="0.45">
      <c r="P995" s="20" t="s">
        <v>410</v>
      </c>
      <c r="U995">
        <v>1</v>
      </c>
      <c r="V995">
        <v>1</v>
      </c>
    </row>
    <row r="996" spans="16:22" x14ac:dyDescent="0.45">
      <c r="P996" s="20" t="s">
        <v>142</v>
      </c>
      <c r="R996">
        <v>2</v>
      </c>
      <c r="V996">
        <v>2</v>
      </c>
    </row>
    <row r="997" spans="16:22" x14ac:dyDescent="0.45">
      <c r="P997" s="20" t="s">
        <v>582</v>
      </c>
      <c r="R997">
        <v>1</v>
      </c>
      <c r="V997">
        <v>1</v>
      </c>
    </row>
    <row r="998" spans="16:22" x14ac:dyDescent="0.45">
      <c r="P998" s="20" t="s">
        <v>81</v>
      </c>
      <c r="T998">
        <v>1</v>
      </c>
      <c r="V998">
        <v>1</v>
      </c>
    </row>
    <row r="999" spans="16:22" x14ac:dyDescent="0.45">
      <c r="P999" s="20" t="s">
        <v>1016</v>
      </c>
      <c r="R999">
        <v>1</v>
      </c>
      <c r="V999">
        <v>1</v>
      </c>
    </row>
    <row r="1000" spans="16:22" x14ac:dyDescent="0.45">
      <c r="P1000" s="20" t="s">
        <v>718</v>
      </c>
      <c r="R1000">
        <v>1</v>
      </c>
      <c r="V1000">
        <v>1</v>
      </c>
    </row>
    <row r="1001" spans="16:22" x14ac:dyDescent="0.45">
      <c r="P1001" s="20" t="s">
        <v>637</v>
      </c>
      <c r="R1001">
        <v>1</v>
      </c>
      <c r="V1001">
        <v>1</v>
      </c>
    </row>
    <row r="1002" spans="16:22" x14ac:dyDescent="0.45">
      <c r="P1002" s="20" t="s">
        <v>923</v>
      </c>
      <c r="R1002">
        <v>1</v>
      </c>
      <c r="V1002">
        <v>1</v>
      </c>
    </row>
    <row r="1003" spans="16:22" x14ac:dyDescent="0.45">
      <c r="P1003" s="20" t="s">
        <v>874</v>
      </c>
      <c r="R1003">
        <v>1</v>
      </c>
      <c r="V1003">
        <v>1</v>
      </c>
    </row>
    <row r="1004" spans="16:22" x14ac:dyDescent="0.45">
      <c r="P1004" s="20" t="s">
        <v>759</v>
      </c>
      <c r="R1004">
        <v>1</v>
      </c>
      <c r="V1004">
        <v>1</v>
      </c>
    </row>
    <row r="1005" spans="16:22" x14ac:dyDescent="0.45">
      <c r="P1005" s="20" t="s">
        <v>1418</v>
      </c>
      <c r="R1005">
        <v>1</v>
      </c>
      <c r="V1005">
        <v>1</v>
      </c>
    </row>
    <row r="1006" spans="16:22" x14ac:dyDescent="0.45">
      <c r="P1006" s="20" t="s">
        <v>828</v>
      </c>
      <c r="R1006">
        <v>1</v>
      </c>
      <c r="V1006">
        <v>1</v>
      </c>
    </row>
    <row r="1007" spans="16:22" x14ac:dyDescent="0.45">
      <c r="P1007" s="20" t="s">
        <v>996</v>
      </c>
      <c r="R1007">
        <v>1</v>
      </c>
      <c r="V1007">
        <v>1</v>
      </c>
    </row>
    <row r="1008" spans="16:22" x14ac:dyDescent="0.45">
      <c r="P1008" s="20" t="s">
        <v>1412</v>
      </c>
      <c r="R1008">
        <v>1</v>
      </c>
      <c r="V1008">
        <v>1</v>
      </c>
    </row>
    <row r="1009" spans="16:22" x14ac:dyDescent="0.45">
      <c r="P1009" s="20" t="s">
        <v>552</v>
      </c>
      <c r="R1009">
        <v>1</v>
      </c>
      <c r="V1009">
        <v>1</v>
      </c>
    </row>
    <row r="1010" spans="16:22" x14ac:dyDescent="0.45">
      <c r="P1010" s="20" t="s">
        <v>1061</v>
      </c>
      <c r="R1010">
        <v>1</v>
      </c>
      <c r="V1010">
        <v>1</v>
      </c>
    </row>
    <row r="1011" spans="16:22" x14ac:dyDescent="0.45">
      <c r="P1011" s="20" t="s">
        <v>973</v>
      </c>
      <c r="R1011">
        <v>1</v>
      </c>
      <c r="V1011">
        <v>1</v>
      </c>
    </row>
    <row r="1012" spans="16:22" x14ac:dyDescent="0.45">
      <c r="P1012" s="20" t="s">
        <v>937</v>
      </c>
      <c r="R1012">
        <v>1</v>
      </c>
      <c r="V1012">
        <v>1</v>
      </c>
    </row>
    <row r="1013" spans="16:22" x14ac:dyDescent="0.45">
      <c r="P1013" s="20" t="s">
        <v>1243</v>
      </c>
      <c r="R1013">
        <v>1</v>
      </c>
      <c r="V1013">
        <v>1</v>
      </c>
    </row>
    <row r="1014" spans="16:22" x14ac:dyDescent="0.45">
      <c r="P1014" s="20" t="s">
        <v>610</v>
      </c>
      <c r="R1014">
        <v>1</v>
      </c>
      <c r="V1014">
        <v>1</v>
      </c>
    </row>
    <row r="1015" spans="16:22" x14ac:dyDescent="0.45">
      <c r="P1015" s="20" t="s">
        <v>1337</v>
      </c>
      <c r="R1015">
        <v>1</v>
      </c>
      <c r="V1015">
        <v>1</v>
      </c>
    </row>
    <row r="1016" spans="16:22" x14ac:dyDescent="0.45">
      <c r="P1016" s="20" t="s">
        <v>316</v>
      </c>
      <c r="S1016">
        <v>1</v>
      </c>
      <c r="V1016">
        <v>1</v>
      </c>
    </row>
    <row r="1017" spans="16:22" x14ac:dyDescent="0.45">
      <c r="P1017" s="20" t="s">
        <v>9</v>
      </c>
      <c r="S1017">
        <v>1</v>
      </c>
      <c r="V1017">
        <v>1</v>
      </c>
    </row>
    <row r="1018" spans="16:22" x14ac:dyDescent="0.45">
      <c r="P1018" s="20" t="s">
        <v>126</v>
      </c>
      <c r="U1018">
        <v>1</v>
      </c>
      <c r="V1018">
        <v>1</v>
      </c>
    </row>
    <row r="1019" spans="16:22" x14ac:dyDescent="0.45">
      <c r="P1019" s="20" t="s">
        <v>485</v>
      </c>
      <c r="R1019">
        <v>1</v>
      </c>
      <c r="V1019">
        <v>1</v>
      </c>
    </row>
    <row r="1020" spans="16:22" x14ac:dyDescent="0.45">
      <c r="P1020" s="20" t="s">
        <v>1427</v>
      </c>
      <c r="R1020">
        <v>1</v>
      </c>
      <c r="V1020">
        <v>1</v>
      </c>
    </row>
    <row r="1021" spans="16:22" x14ac:dyDescent="0.45">
      <c r="P1021" s="20" t="s">
        <v>709</v>
      </c>
      <c r="R1021">
        <v>1</v>
      </c>
      <c r="V1021">
        <v>1</v>
      </c>
    </row>
    <row r="1022" spans="16:22" x14ac:dyDescent="0.45">
      <c r="P1022" s="20" t="s">
        <v>389</v>
      </c>
      <c r="R1022">
        <v>1</v>
      </c>
      <c r="V1022">
        <v>1</v>
      </c>
    </row>
    <row r="1023" spans="16:22" x14ac:dyDescent="0.45">
      <c r="P1023" s="20" t="s">
        <v>396</v>
      </c>
      <c r="R1023">
        <v>1</v>
      </c>
      <c r="V1023">
        <v>1</v>
      </c>
    </row>
    <row r="1024" spans="16:22" x14ac:dyDescent="0.45">
      <c r="P1024" s="20" t="s">
        <v>427</v>
      </c>
      <c r="U1024">
        <v>1</v>
      </c>
      <c r="V1024">
        <v>1</v>
      </c>
    </row>
    <row r="1025" spans="16:22" x14ac:dyDescent="0.45">
      <c r="P1025" s="20" t="s">
        <v>237</v>
      </c>
      <c r="S1025">
        <v>2</v>
      </c>
      <c r="V1025">
        <v>2</v>
      </c>
    </row>
    <row r="1026" spans="16:22" x14ac:dyDescent="0.45">
      <c r="P1026" s="20" t="s">
        <v>868</v>
      </c>
      <c r="R1026">
        <v>1</v>
      </c>
      <c r="V1026">
        <v>1</v>
      </c>
    </row>
    <row r="1027" spans="16:22" x14ac:dyDescent="0.45">
      <c r="P1027" s="20" t="s">
        <v>416</v>
      </c>
      <c r="T1027">
        <v>1</v>
      </c>
      <c r="U1027">
        <v>1</v>
      </c>
      <c r="V1027">
        <v>2</v>
      </c>
    </row>
    <row r="1028" spans="16:22" x14ac:dyDescent="0.45">
      <c r="P1028" s="20" t="s">
        <v>349</v>
      </c>
      <c r="T1028">
        <v>2</v>
      </c>
      <c r="V1028">
        <v>2</v>
      </c>
    </row>
    <row r="1029" spans="16:22" x14ac:dyDescent="0.45">
      <c r="P1029" s="20" t="s">
        <v>277</v>
      </c>
      <c r="R1029">
        <v>1</v>
      </c>
      <c r="S1029">
        <v>1</v>
      </c>
      <c r="V1029">
        <v>2</v>
      </c>
    </row>
    <row r="1030" spans="16:22" x14ac:dyDescent="0.45">
      <c r="P1030" s="20" t="s">
        <v>1177</v>
      </c>
      <c r="R1030">
        <v>1</v>
      </c>
      <c r="V1030">
        <v>1</v>
      </c>
    </row>
    <row r="1031" spans="16:22" x14ac:dyDescent="0.45">
      <c r="P1031" s="20" t="s">
        <v>99</v>
      </c>
      <c r="S1031">
        <v>2</v>
      </c>
      <c r="T1031">
        <v>1</v>
      </c>
      <c r="V1031">
        <v>3</v>
      </c>
    </row>
    <row r="1032" spans="16:22" x14ac:dyDescent="0.45">
      <c r="P1032" s="20" t="s">
        <v>972</v>
      </c>
      <c r="R1032">
        <v>2</v>
      </c>
      <c r="V1032">
        <v>2</v>
      </c>
    </row>
    <row r="1033" spans="16:22" x14ac:dyDescent="0.45">
      <c r="P1033" s="20" t="s">
        <v>921</v>
      </c>
      <c r="R1033">
        <v>1</v>
      </c>
      <c r="V1033">
        <v>1</v>
      </c>
    </row>
    <row r="1034" spans="16:22" x14ac:dyDescent="0.45">
      <c r="P1034" s="20" t="s">
        <v>865</v>
      </c>
      <c r="R1034">
        <v>1</v>
      </c>
      <c r="V1034">
        <v>1</v>
      </c>
    </row>
    <row r="1035" spans="16:22" x14ac:dyDescent="0.45">
      <c r="P1035" s="20" t="s">
        <v>1013</v>
      </c>
      <c r="R1035">
        <v>1</v>
      </c>
      <c r="V1035">
        <v>1</v>
      </c>
    </row>
    <row r="1036" spans="16:22" x14ac:dyDescent="0.45">
      <c r="P1036" s="20" t="s">
        <v>795</v>
      </c>
      <c r="R1036">
        <v>1</v>
      </c>
      <c r="V1036">
        <v>1</v>
      </c>
    </row>
    <row r="1037" spans="16:22" x14ac:dyDescent="0.45">
      <c r="P1037" s="20" t="s">
        <v>383</v>
      </c>
      <c r="U1037">
        <v>2</v>
      </c>
      <c r="V1037">
        <v>2</v>
      </c>
    </row>
    <row r="1038" spans="16:22" x14ac:dyDescent="0.45">
      <c r="P1038" s="20" t="s">
        <v>1291</v>
      </c>
      <c r="R1038">
        <v>1</v>
      </c>
      <c r="V1038">
        <v>1</v>
      </c>
    </row>
    <row r="1039" spans="16:22" x14ac:dyDescent="0.45">
      <c r="P1039" s="20" t="s">
        <v>137</v>
      </c>
      <c r="S1039">
        <v>1</v>
      </c>
      <c r="V1039">
        <v>1</v>
      </c>
    </row>
    <row r="1040" spans="16:22" x14ac:dyDescent="0.45">
      <c r="P1040" s="20" t="s">
        <v>1070</v>
      </c>
      <c r="R1040">
        <v>1</v>
      </c>
      <c r="V1040">
        <v>1</v>
      </c>
    </row>
    <row r="1041" spans="16:22" x14ac:dyDescent="0.45">
      <c r="P1041" s="20" t="s">
        <v>296</v>
      </c>
      <c r="U1041">
        <v>1</v>
      </c>
      <c r="V1041">
        <v>1</v>
      </c>
    </row>
    <row r="1042" spans="16:22" x14ac:dyDescent="0.45">
      <c r="P1042" s="20" t="s">
        <v>1041</v>
      </c>
      <c r="R1042">
        <v>1</v>
      </c>
      <c r="V1042">
        <v>1</v>
      </c>
    </row>
    <row r="1043" spans="16:22" x14ac:dyDescent="0.45">
      <c r="P1043" s="20" t="s">
        <v>653</v>
      </c>
      <c r="R1043">
        <v>1</v>
      </c>
      <c r="V1043">
        <v>1</v>
      </c>
    </row>
    <row r="1044" spans="16:22" x14ac:dyDescent="0.45">
      <c r="P1044" s="20" t="s">
        <v>1040</v>
      </c>
      <c r="R1044">
        <v>1</v>
      </c>
      <c r="V1044">
        <v>1</v>
      </c>
    </row>
    <row r="1045" spans="16:22" x14ac:dyDescent="0.45">
      <c r="P1045" s="20" t="s">
        <v>153</v>
      </c>
      <c r="R1045">
        <v>5</v>
      </c>
      <c r="V1045">
        <v>5</v>
      </c>
    </row>
    <row r="1046" spans="16:22" x14ac:dyDescent="0.45">
      <c r="P1046" s="20" t="s">
        <v>170</v>
      </c>
      <c r="R1046">
        <v>2</v>
      </c>
      <c r="T1046">
        <v>1</v>
      </c>
      <c r="V1046">
        <v>3</v>
      </c>
    </row>
    <row r="1047" spans="16:22" x14ac:dyDescent="0.45">
      <c r="P1047" s="20" t="s">
        <v>201</v>
      </c>
      <c r="S1047">
        <v>1</v>
      </c>
      <c r="V1047">
        <v>1</v>
      </c>
    </row>
    <row r="1048" spans="16:22" x14ac:dyDescent="0.45">
      <c r="P1048" s="20" t="s">
        <v>253</v>
      </c>
      <c r="U1048">
        <v>2</v>
      </c>
      <c r="V1048">
        <v>2</v>
      </c>
    </row>
    <row r="1049" spans="16:22" x14ac:dyDescent="0.45">
      <c r="P1049" s="20" t="s">
        <v>341</v>
      </c>
      <c r="S1049">
        <v>2</v>
      </c>
      <c r="V1049">
        <v>2</v>
      </c>
    </row>
    <row r="1050" spans="16:22" x14ac:dyDescent="0.45">
      <c r="P1050" s="20" t="s">
        <v>101</v>
      </c>
      <c r="R1050">
        <v>1</v>
      </c>
      <c r="V1050">
        <v>1</v>
      </c>
    </row>
    <row r="1051" spans="16:22" x14ac:dyDescent="0.45">
      <c r="P1051" s="20" t="s">
        <v>1246</v>
      </c>
      <c r="R1051">
        <v>1</v>
      </c>
      <c r="V1051">
        <v>1</v>
      </c>
    </row>
    <row r="1052" spans="16:22" x14ac:dyDescent="0.45">
      <c r="P1052" s="20" t="s">
        <v>625</v>
      </c>
      <c r="R1052">
        <v>1</v>
      </c>
      <c r="V1052">
        <v>1</v>
      </c>
    </row>
    <row r="1053" spans="16:22" x14ac:dyDescent="0.45">
      <c r="P1053" s="20" t="s">
        <v>1320</v>
      </c>
      <c r="R1053">
        <v>1</v>
      </c>
      <c r="V1053">
        <v>1</v>
      </c>
    </row>
    <row r="1054" spans="16:22" x14ac:dyDescent="0.45">
      <c r="P1054" s="20" t="s">
        <v>1078</v>
      </c>
      <c r="R1054">
        <v>1</v>
      </c>
      <c r="V1054">
        <v>1</v>
      </c>
    </row>
    <row r="1055" spans="16:22" x14ac:dyDescent="0.45">
      <c r="P1055" s="20" t="s">
        <v>92</v>
      </c>
      <c r="S1055">
        <v>2</v>
      </c>
      <c r="U1055">
        <v>1</v>
      </c>
      <c r="V1055">
        <v>3</v>
      </c>
    </row>
    <row r="1056" spans="16:22" x14ac:dyDescent="0.45">
      <c r="P1056" s="20" t="s">
        <v>678</v>
      </c>
      <c r="R1056">
        <v>1</v>
      </c>
      <c r="V1056">
        <v>1</v>
      </c>
    </row>
    <row r="1057" spans="16:22" x14ac:dyDescent="0.45">
      <c r="P1057" s="20" t="s">
        <v>1084</v>
      </c>
      <c r="R1057">
        <v>1</v>
      </c>
      <c r="V1057">
        <v>1</v>
      </c>
    </row>
    <row r="1058" spans="16:22" x14ac:dyDescent="0.45">
      <c r="P1058" s="20" t="s">
        <v>632</v>
      </c>
      <c r="R1058">
        <v>1</v>
      </c>
      <c r="V1058">
        <v>1</v>
      </c>
    </row>
    <row r="1059" spans="16:22" x14ac:dyDescent="0.45">
      <c r="P1059" s="20" t="s">
        <v>710</v>
      </c>
      <c r="R1059">
        <v>1</v>
      </c>
      <c r="V1059">
        <v>1</v>
      </c>
    </row>
    <row r="1060" spans="16:22" x14ac:dyDescent="0.45">
      <c r="P1060" s="20" t="s">
        <v>1301</v>
      </c>
      <c r="R1060">
        <v>1</v>
      </c>
      <c r="V1060">
        <v>1</v>
      </c>
    </row>
    <row r="1061" spans="16:22" x14ac:dyDescent="0.45">
      <c r="P1061" s="20" t="s">
        <v>1349</v>
      </c>
      <c r="R1061">
        <v>1</v>
      </c>
      <c r="V1061">
        <v>1</v>
      </c>
    </row>
    <row r="1062" spans="16:22" x14ac:dyDescent="0.45">
      <c r="P1062" s="20" t="s">
        <v>294</v>
      </c>
      <c r="S1062">
        <v>4</v>
      </c>
      <c r="T1062">
        <v>4</v>
      </c>
      <c r="V1062">
        <v>8</v>
      </c>
    </row>
    <row r="1063" spans="16:22" x14ac:dyDescent="0.45">
      <c r="P1063" s="20" t="s">
        <v>930</v>
      </c>
      <c r="R1063">
        <v>1</v>
      </c>
      <c r="V1063">
        <v>1</v>
      </c>
    </row>
    <row r="1064" spans="16:22" x14ac:dyDescent="0.45">
      <c r="P1064" s="20" t="s">
        <v>235</v>
      </c>
      <c r="S1064">
        <v>1</v>
      </c>
      <c r="U1064">
        <v>1</v>
      </c>
      <c r="V1064">
        <v>2</v>
      </c>
    </row>
    <row r="1065" spans="16:22" x14ac:dyDescent="0.45">
      <c r="P1065" s="20" t="s">
        <v>1097</v>
      </c>
      <c r="R1065">
        <v>1</v>
      </c>
      <c r="V1065">
        <v>1</v>
      </c>
    </row>
    <row r="1066" spans="16:22" x14ac:dyDescent="0.45">
      <c r="P1066" s="20" t="s">
        <v>1295</v>
      </c>
      <c r="R1066">
        <v>1</v>
      </c>
      <c r="V1066">
        <v>1</v>
      </c>
    </row>
    <row r="1067" spans="16:22" x14ac:dyDescent="0.45">
      <c r="P1067" s="20" t="s">
        <v>193</v>
      </c>
      <c r="S1067">
        <v>1</v>
      </c>
      <c r="T1067">
        <v>1</v>
      </c>
      <c r="V1067">
        <v>2</v>
      </c>
    </row>
    <row r="1068" spans="16:22" x14ac:dyDescent="0.45">
      <c r="P1068" s="20" t="s">
        <v>47</v>
      </c>
      <c r="R1068">
        <v>1</v>
      </c>
      <c r="S1068">
        <v>4</v>
      </c>
      <c r="V1068">
        <v>5</v>
      </c>
    </row>
    <row r="1069" spans="16:22" x14ac:dyDescent="0.45">
      <c r="P1069" s="20" t="s">
        <v>264</v>
      </c>
      <c r="R1069">
        <v>1</v>
      </c>
      <c r="V1069">
        <v>1</v>
      </c>
    </row>
    <row r="1070" spans="16:22" x14ac:dyDescent="0.45">
      <c r="P1070" s="20" t="s">
        <v>29</v>
      </c>
      <c r="R1070">
        <v>1</v>
      </c>
      <c r="S1070">
        <v>2</v>
      </c>
      <c r="U1070">
        <v>1</v>
      </c>
      <c r="V1070">
        <v>4</v>
      </c>
    </row>
    <row r="1071" spans="16:22" x14ac:dyDescent="0.45">
      <c r="P1071" s="20" t="s">
        <v>38</v>
      </c>
      <c r="T1071">
        <v>1</v>
      </c>
      <c r="V1071">
        <v>1</v>
      </c>
    </row>
    <row r="1072" spans="16:22" x14ac:dyDescent="0.45">
      <c r="P1072" s="20" t="s">
        <v>206</v>
      </c>
      <c r="T1072">
        <v>1</v>
      </c>
      <c r="U1072">
        <v>4</v>
      </c>
      <c r="V1072">
        <v>5</v>
      </c>
    </row>
    <row r="1073" spans="16:22" x14ac:dyDescent="0.45">
      <c r="P1073" s="20" t="s">
        <v>360</v>
      </c>
      <c r="R1073">
        <v>1</v>
      </c>
      <c r="V1073">
        <v>1</v>
      </c>
    </row>
    <row r="1074" spans="16:22" x14ac:dyDescent="0.45">
      <c r="P1074" s="20" t="s">
        <v>435</v>
      </c>
      <c r="R1074">
        <v>1</v>
      </c>
      <c r="V1074">
        <v>1</v>
      </c>
    </row>
    <row r="1075" spans="16:22" x14ac:dyDescent="0.45">
      <c r="P1075" s="20" t="s">
        <v>42</v>
      </c>
      <c r="S1075">
        <v>1</v>
      </c>
      <c r="V1075">
        <v>1</v>
      </c>
    </row>
    <row r="1076" spans="16:22" x14ac:dyDescent="0.45">
      <c r="P1076" s="20" t="s">
        <v>1130</v>
      </c>
      <c r="R1076">
        <v>1</v>
      </c>
      <c r="V1076">
        <v>1</v>
      </c>
    </row>
    <row r="1077" spans="16:22" x14ac:dyDescent="0.45">
      <c r="P1077" s="20" t="s">
        <v>95</v>
      </c>
      <c r="T1077">
        <v>2</v>
      </c>
      <c r="V1077">
        <v>2</v>
      </c>
    </row>
    <row r="1078" spans="16:22" x14ac:dyDescent="0.45">
      <c r="P1078" s="20" t="s">
        <v>242</v>
      </c>
      <c r="R1078">
        <v>3</v>
      </c>
      <c r="S1078">
        <v>2</v>
      </c>
      <c r="V1078">
        <v>5</v>
      </c>
    </row>
    <row r="1079" spans="16:22" x14ac:dyDescent="0.45">
      <c r="P1079" s="20" t="s">
        <v>112</v>
      </c>
      <c r="R1079">
        <v>2</v>
      </c>
      <c r="V1079">
        <v>2</v>
      </c>
    </row>
    <row r="1080" spans="16:22" x14ac:dyDescent="0.45">
      <c r="P1080" s="20" t="s">
        <v>440</v>
      </c>
      <c r="S1080">
        <v>1</v>
      </c>
      <c r="V1080">
        <v>1</v>
      </c>
    </row>
    <row r="1081" spans="16:22" x14ac:dyDescent="0.45">
      <c r="P1081" s="20" t="s">
        <v>405</v>
      </c>
      <c r="S1081">
        <v>2</v>
      </c>
      <c r="V1081">
        <v>2</v>
      </c>
    </row>
    <row r="1082" spans="16:22" x14ac:dyDescent="0.45">
      <c r="P1082" s="20" t="s">
        <v>549</v>
      </c>
      <c r="S1082">
        <v>1</v>
      </c>
      <c r="V1082">
        <v>1</v>
      </c>
    </row>
    <row r="1083" spans="16:22" x14ac:dyDescent="0.45">
      <c r="P1083" s="20" t="s">
        <v>224</v>
      </c>
      <c r="R1083">
        <v>1</v>
      </c>
      <c r="V1083">
        <v>1</v>
      </c>
    </row>
    <row r="1084" spans="16:22" x14ac:dyDescent="0.45">
      <c r="P1084" s="20" t="s">
        <v>935</v>
      </c>
      <c r="R1084">
        <v>1</v>
      </c>
      <c r="V1084">
        <v>1</v>
      </c>
    </row>
    <row r="1085" spans="16:22" x14ac:dyDescent="0.45">
      <c r="P1085" s="20" t="s">
        <v>847</v>
      </c>
      <c r="R1085">
        <v>1</v>
      </c>
      <c r="V1085">
        <v>1</v>
      </c>
    </row>
    <row r="1086" spans="16:22" x14ac:dyDescent="0.45">
      <c r="P1086" s="20" t="s">
        <v>1318</v>
      </c>
      <c r="R1086">
        <v>1</v>
      </c>
      <c r="V1086">
        <v>1</v>
      </c>
    </row>
    <row r="1087" spans="16:22" x14ac:dyDescent="0.45">
      <c r="P1087" s="20" t="s">
        <v>948</v>
      </c>
      <c r="R1087">
        <v>1</v>
      </c>
      <c r="V1087">
        <v>1</v>
      </c>
    </row>
    <row r="1088" spans="16:22" x14ac:dyDescent="0.45">
      <c r="P1088" s="20" t="s">
        <v>1241</v>
      </c>
      <c r="R1088">
        <v>1</v>
      </c>
      <c r="V1088">
        <v>1</v>
      </c>
    </row>
    <row r="1089" spans="16:22" x14ac:dyDescent="0.45">
      <c r="P1089" s="20" t="s">
        <v>615</v>
      </c>
      <c r="R1089">
        <v>1</v>
      </c>
      <c r="V1089">
        <v>1</v>
      </c>
    </row>
    <row r="1090" spans="16:22" x14ac:dyDescent="0.45">
      <c r="P1090" s="20" t="s">
        <v>418</v>
      </c>
      <c r="R1090">
        <v>2</v>
      </c>
      <c r="V1090">
        <v>2</v>
      </c>
    </row>
    <row r="1091" spans="16:22" x14ac:dyDescent="0.45">
      <c r="P1091" s="20" t="s">
        <v>348</v>
      </c>
      <c r="R1091">
        <v>2</v>
      </c>
      <c r="U1091">
        <v>2</v>
      </c>
      <c r="V1091">
        <v>4</v>
      </c>
    </row>
    <row r="1092" spans="16:22" x14ac:dyDescent="0.45">
      <c r="P1092" s="20" t="s">
        <v>442</v>
      </c>
      <c r="S1092">
        <v>1</v>
      </c>
      <c r="V1092">
        <v>1</v>
      </c>
    </row>
    <row r="1093" spans="16:22" x14ac:dyDescent="0.45">
      <c r="P1093" s="20" t="s">
        <v>1359</v>
      </c>
      <c r="R1093">
        <v>1</v>
      </c>
      <c r="V1093">
        <v>1</v>
      </c>
    </row>
    <row r="1094" spans="16:22" x14ac:dyDescent="0.45">
      <c r="P1094" s="20" t="s">
        <v>355</v>
      </c>
      <c r="S1094">
        <v>1</v>
      </c>
      <c r="V1094">
        <v>1</v>
      </c>
    </row>
    <row r="1095" spans="16:22" x14ac:dyDescent="0.45">
      <c r="P1095" s="20" t="s">
        <v>377</v>
      </c>
      <c r="S1095">
        <v>4</v>
      </c>
      <c r="T1095">
        <v>1</v>
      </c>
      <c r="V1095">
        <v>5</v>
      </c>
    </row>
    <row r="1096" spans="16:22" x14ac:dyDescent="0.45">
      <c r="P1096" s="20" t="s">
        <v>832</v>
      </c>
      <c r="R1096">
        <v>1</v>
      </c>
      <c r="V1096">
        <v>1</v>
      </c>
    </row>
    <row r="1097" spans="16:22" x14ac:dyDescent="0.45">
      <c r="P1097" s="20" t="s">
        <v>275</v>
      </c>
      <c r="U1097">
        <v>1</v>
      </c>
      <c r="V1097">
        <v>1</v>
      </c>
    </row>
    <row r="1098" spans="16:22" x14ac:dyDescent="0.45">
      <c r="P1098" s="20" t="s">
        <v>1017</v>
      </c>
      <c r="R1098">
        <v>1</v>
      </c>
      <c r="V1098">
        <v>1</v>
      </c>
    </row>
    <row r="1099" spans="16:22" x14ac:dyDescent="0.45">
      <c r="P1099" s="20" t="s">
        <v>385</v>
      </c>
      <c r="R1099">
        <v>1</v>
      </c>
      <c r="V1099">
        <v>1</v>
      </c>
    </row>
    <row r="1100" spans="16:22" x14ac:dyDescent="0.45">
      <c r="P1100" s="20" t="s">
        <v>1215</v>
      </c>
      <c r="R1100">
        <v>1</v>
      </c>
      <c r="V1100">
        <v>1</v>
      </c>
    </row>
    <row r="1101" spans="16:22" x14ac:dyDescent="0.45">
      <c r="P1101" s="20" t="s">
        <v>685</v>
      </c>
      <c r="R1101">
        <v>1</v>
      </c>
      <c r="V1101">
        <v>1</v>
      </c>
    </row>
    <row r="1102" spans="16:22" x14ac:dyDescent="0.45">
      <c r="P1102" s="20" t="s">
        <v>1341</v>
      </c>
      <c r="R1102">
        <v>1</v>
      </c>
      <c r="V1102">
        <v>1</v>
      </c>
    </row>
    <row r="1103" spans="16:22" x14ac:dyDescent="0.45">
      <c r="P1103" s="20" t="s">
        <v>498</v>
      </c>
      <c r="R1103">
        <v>1</v>
      </c>
      <c r="V1103">
        <v>1</v>
      </c>
    </row>
    <row r="1104" spans="16:22" x14ac:dyDescent="0.45">
      <c r="P1104" s="20" t="s">
        <v>1298</v>
      </c>
      <c r="R1104">
        <v>1</v>
      </c>
      <c r="V1104">
        <v>1</v>
      </c>
    </row>
    <row r="1105" spans="16:22" x14ac:dyDescent="0.45">
      <c r="P1105" s="20" t="s">
        <v>945</v>
      </c>
      <c r="R1105">
        <v>1</v>
      </c>
      <c r="V1105">
        <v>1</v>
      </c>
    </row>
    <row r="1106" spans="16:22" x14ac:dyDescent="0.45">
      <c r="P1106" s="20" t="s">
        <v>1131</v>
      </c>
      <c r="R1106">
        <v>1</v>
      </c>
      <c r="V1106">
        <v>1</v>
      </c>
    </row>
    <row r="1107" spans="16:22" x14ac:dyDescent="0.45">
      <c r="P1107" s="20" t="s">
        <v>488</v>
      </c>
      <c r="R1107">
        <v>1</v>
      </c>
      <c r="V1107">
        <v>1</v>
      </c>
    </row>
    <row r="1108" spans="16:22" x14ac:dyDescent="0.45">
      <c r="P1108" s="20" t="s">
        <v>556</v>
      </c>
      <c r="R1108">
        <v>1</v>
      </c>
      <c r="V1108">
        <v>1</v>
      </c>
    </row>
    <row r="1109" spans="16:22" x14ac:dyDescent="0.45">
      <c r="P1109" s="20" t="s">
        <v>1441</v>
      </c>
      <c r="R1109">
        <v>1</v>
      </c>
      <c r="V1109">
        <v>1</v>
      </c>
    </row>
    <row r="1110" spans="16:22" x14ac:dyDescent="0.45">
      <c r="P1110" s="20" t="s">
        <v>57</v>
      </c>
      <c r="S1110">
        <v>6</v>
      </c>
      <c r="V1110">
        <v>6</v>
      </c>
    </row>
    <row r="1111" spans="16:22" x14ac:dyDescent="0.45">
      <c r="P1111" s="20" t="s">
        <v>415</v>
      </c>
      <c r="T1111">
        <v>2</v>
      </c>
      <c r="V1111">
        <v>2</v>
      </c>
    </row>
    <row r="1112" spans="16:22" x14ac:dyDescent="0.45">
      <c r="P1112" s="20" t="s">
        <v>1376</v>
      </c>
      <c r="R1112">
        <v>1</v>
      </c>
      <c r="V1112">
        <v>1</v>
      </c>
    </row>
    <row r="1113" spans="16:22" x14ac:dyDescent="0.45">
      <c r="P1113" s="20" t="s">
        <v>270</v>
      </c>
      <c r="U1113">
        <v>1</v>
      </c>
      <c r="V1113">
        <v>1</v>
      </c>
    </row>
    <row r="1114" spans="16:22" x14ac:dyDescent="0.45">
      <c r="P1114" s="20" t="s">
        <v>1377</v>
      </c>
      <c r="R1114">
        <v>1</v>
      </c>
      <c r="V1114">
        <v>1</v>
      </c>
    </row>
    <row r="1115" spans="16:22" x14ac:dyDescent="0.45">
      <c r="P1115" s="20" t="s">
        <v>1437</v>
      </c>
      <c r="R1115">
        <v>1</v>
      </c>
      <c r="V1115">
        <v>1</v>
      </c>
    </row>
    <row r="1116" spans="16:22" x14ac:dyDescent="0.45">
      <c r="P1116" s="20" t="s">
        <v>855</v>
      </c>
      <c r="R1116">
        <v>1</v>
      </c>
      <c r="V1116">
        <v>1</v>
      </c>
    </row>
    <row r="1117" spans="16:22" x14ac:dyDescent="0.45">
      <c r="P1117" s="20" t="s">
        <v>991</v>
      </c>
      <c r="R1117">
        <v>1</v>
      </c>
      <c r="V1117">
        <v>1</v>
      </c>
    </row>
    <row r="1118" spans="16:22" x14ac:dyDescent="0.45">
      <c r="P1118" s="20" t="s">
        <v>631</v>
      </c>
      <c r="R1118">
        <v>1</v>
      </c>
      <c r="V1118">
        <v>1</v>
      </c>
    </row>
    <row r="1119" spans="16:22" x14ac:dyDescent="0.45">
      <c r="P1119" s="20" t="s">
        <v>1173</v>
      </c>
      <c r="R1119">
        <v>1</v>
      </c>
      <c r="V1119">
        <v>1</v>
      </c>
    </row>
    <row r="1120" spans="16:22" x14ac:dyDescent="0.45">
      <c r="P1120" s="20" t="s">
        <v>380</v>
      </c>
      <c r="T1120">
        <v>1</v>
      </c>
      <c r="V1120">
        <v>1</v>
      </c>
    </row>
    <row r="1121" spans="16:22" x14ac:dyDescent="0.45">
      <c r="P1121" s="20" t="s">
        <v>166</v>
      </c>
      <c r="S1121">
        <v>2</v>
      </c>
      <c r="V1121">
        <v>2</v>
      </c>
    </row>
    <row r="1122" spans="16:22" x14ac:dyDescent="0.45">
      <c r="P1122" s="20" t="s">
        <v>886</v>
      </c>
      <c r="R1122">
        <v>1</v>
      </c>
      <c r="V1122">
        <v>1</v>
      </c>
    </row>
    <row r="1123" spans="16:22" x14ac:dyDescent="0.45">
      <c r="P1123" s="20" t="s">
        <v>146</v>
      </c>
      <c r="U1123">
        <v>1</v>
      </c>
      <c r="V1123">
        <v>1</v>
      </c>
    </row>
    <row r="1124" spans="16:22" x14ac:dyDescent="0.45">
      <c r="P1124" s="20" t="s">
        <v>354</v>
      </c>
      <c r="U1124">
        <v>1</v>
      </c>
      <c r="V1124">
        <v>1</v>
      </c>
    </row>
    <row r="1125" spans="16:22" x14ac:dyDescent="0.45">
      <c r="P1125" s="20" t="s">
        <v>212</v>
      </c>
      <c r="R1125">
        <v>2</v>
      </c>
      <c r="S1125">
        <v>2</v>
      </c>
      <c r="T1125">
        <v>2</v>
      </c>
      <c r="V1125">
        <v>6</v>
      </c>
    </row>
    <row r="1126" spans="16:22" x14ac:dyDescent="0.45">
      <c r="P1126" s="20" t="s">
        <v>198</v>
      </c>
      <c r="U1126">
        <v>1</v>
      </c>
      <c r="V1126">
        <v>1</v>
      </c>
    </row>
    <row r="1127" spans="16:22" x14ac:dyDescent="0.45">
      <c r="P1127" s="20" t="s">
        <v>63</v>
      </c>
      <c r="R1127">
        <v>2</v>
      </c>
      <c r="S1127">
        <v>1</v>
      </c>
      <c r="V1127">
        <v>3</v>
      </c>
    </row>
    <row r="1128" spans="16:22" x14ac:dyDescent="0.45">
      <c r="P1128" s="20" t="s">
        <v>977</v>
      </c>
      <c r="R1128">
        <v>1</v>
      </c>
      <c r="V1128">
        <v>1</v>
      </c>
    </row>
    <row r="1129" spans="16:22" x14ac:dyDescent="0.45">
      <c r="P1129" s="20" t="s">
        <v>1401</v>
      </c>
      <c r="R1129">
        <v>1</v>
      </c>
      <c r="V1129">
        <v>1</v>
      </c>
    </row>
    <row r="1130" spans="16:22" x14ac:dyDescent="0.45">
      <c r="P1130" s="20" t="s">
        <v>361</v>
      </c>
      <c r="T1130">
        <v>1</v>
      </c>
      <c r="V1130">
        <v>1</v>
      </c>
    </row>
    <row r="1131" spans="16:22" x14ac:dyDescent="0.45">
      <c r="P1131" s="20" t="s">
        <v>1324</v>
      </c>
      <c r="R1131">
        <v>1</v>
      </c>
      <c r="V1131">
        <v>1</v>
      </c>
    </row>
    <row r="1132" spans="16:22" x14ac:dyDescent="0.45">
      <c r="P1132" s="20" t="s">
        <v>589</v>
      </c>
      <c r="R1132">
        <v>1</v>
      </c>
      <c r="V1132">
        <v>1</v>
      </c>
    </row>
    <row r="1133" spans="16:22" x14ac:dyDescent="0.45">
      <c r="P1133" s="20" t="s">
        <v>542</v>
      </c>
      <c r="R1133">
        <v>1</v>
      </c>
      <c r="V1133">
        <v>1</v>
      </c>
    </row>
    <row r="1134" spans="16:22" x14ac:dyDescent="0.45">
      <c r="P1134" s="20" t="s">
        <v>1042</v>
      </c>
      <c r="R1134">
        <v>1</v>
      </c>
      <c r="V1134">
        <v>1</v>
      </c>
    </row>
    <row r="1135" spans="16:22" x14ac:dyDescent="0.45">
      <c r="P1135" s="20" t="s">
        <v>765</v>
      </c>
      <c r="R1135">
        <v>1</v>
      </c>
      <c r="V1135">
        <v>1</v>
      </c>
    </row>
    <row r="1136" spans="16:22" x14ac:dyDescent="0.45">
      <c r="P1136" s="20" t="s">
        <v>1151</v>
      </c>
      <c r="R1136">
        <v>1</v>
      </c>
      <c r="V1136">
        <v>1</v>
      </c>
    </row>
    <row r="1137" spans="16:22" x14ac:dyDescent="0.45">
      <c r="P1137" s="20" t="s">
        <v>994</v>
      </c>
      <c r="R1137">
        <v>1</v>
      </c>
      <c r="V1137">
        <v>1</v>
      </c>
    </row>
    <row r="1138" spans="16:22" x14ac:dyDescent="0.45">
      <c r="P1138" s="20" t="s">
        <v>528</v>
      </c>
      <c r="R1138">
        <v>1</v>
      </c>
      <c r="V1138">
        <v>1</v>
      </c>
    </row>
    <row r="1139" spans="16:22" x14ac:dyDescent="0.45">
      <c r="P1139" s="20" t="s">
        <v>1364</v>
      </c>
      <c r="R1139">
        <v>1</v>
      </c>
      <c r="V1139">
        <v>1</v>
      </c>
    </row>
    <row r="1140" spans="16:22" x14ac:dyDescent="0.45">
      <c r="P1140" s="20" t="s">
        <v>1073</v>
      </c>
      <c r="R1140">
        <v>1</v>
      </c>
      <c r="V1140">
        <v>1</v>
      </c>
    </row>
    <row r="1141" spans="16:22" x14ac:dyDescent="0.45">
      <c r="P1141" s="20" t="s">
        <v>638</v>
      </c>
      <c r="R1141">
        <v>1</v>
      </c>
      <c r="V1141">
        <v>1</v>
      </c>
    </row>
    <row r="1142" spans="16:22" x14ac:dyDescent="0.45">
      <c r="P1142" s="20" t="s">
        <v>250</v>
      </c>
      <c r="T1142">
        <v>2</v>
      </c>
      <c r="V1142">
        <v>2</v>
      </c>
    </row>
    <row r="1143" spans="16:22" x14ac:dyDescent="0.45">
      <c r="P1143" s="20" t="s">
        <v>1264</v>
      </c>
      <c r="R1143">
        <v>1</v>
      </c>
      <c r="V1143">
        <v>1</v>
      </c>
    </row>
    <row r="1144" spans="16:22" x14ac:dyDescent="0.45">
      <c r="P1144" s="20" t="s">
        <v>789</v>
      </c>
      <c r="R1144">
        <v>2</v>
      </c>
      <c r="V1144">
        <v>2</v>
      </c>
    </row>
    <row r="1145" spans="16:22" x14ac:dyDescent="0.45">
      <c r="P1145" s="20" t="s">
        <v>611</v>
      </c>
      <c r="R1145">
        <v>1</v>
      </c>
      <c r="V1145">
        <v>1</v>
      </c>
    </row>
    <row r="1146" spans="16:22" x14ac:dyDescent="0.45">
      <c r="P1146" s="20" t="s">
        <v>1263</v>
      </c>
      <c r="R1146">
        <v>1</v>
      </c>
      <c r="V1146">
        <v>1</v>
      </c>
    </row>
    <row r="1147" spans="16:22" x14ac:dyDescent="0.45">
      <c r="P1147" s="20" t="s">
        <v>1048</v>
      </c>
      <c r="R1147">
        <v>1</v>
      </c>
      <c r="V1147">
        <v>1</v>
      </c>
    </row>
    <row r="1148" spans="16:22" x14ac:dyDescent="0.45">
      <c r="P1148" s="20" t="s">
        <v>766</v>
      </c>
      <c r="R1148">
        <v>1</v>
      </c>
      <c r="V1148">
        <v>1</v>
      </c>
    </row>
    <row r="1149" spans="16:22" x14ac:dyDescent="0.45">
      <c r="P1149" s="20" t="s">
        <v>852</v>
      </c>
      <c r="R1149">
        <v>1</v>
      </c>
      <c r="V1149">
        <v>1</v>
      </c>
    </row>
    <row r="1150" spans="16:22" x14ac:dyDescent="0.45">
      <c r="P1150" s="20" t="s">
        <v>175</v>
      </c>
      <c r="T1150">
        <v>1</v>
      </c>
      <c r="V1150">
        <v>1</v>
      </c>
    </row>
    <row r="1151" spans="16:22" x14ac:dyDescent="0.45">
      <c r="P1151" s="20" t="s">
        <v>1386</v>
      </c>
      <c r="R1151">
        <v>1</v>
      </c>
      <c r="V1151">
        <v>1</v>
      </c>
    </row>
    <row r="1152" spans="16:22" x14ac:dyDescent="0.45">
      <c r="P1152" s="20" t="s">
        <v>228</v>
      </c>
      <c r="S1152">
        <v>1</v>
      </c>
      <c r="V1152">
        <v>1</v>
      </c>
    </row>
    <row r="1153" spans="16:22" x14ac:dyDescent="0.45">
      <c r="P1153" s="20" t="s">
        <v>1002</v>
      </c>
      <c r="R1153">
        <v>1</v>
      </c>
      <c r="V1153">
        <v>1</v>
      </c>
    </row>
    <row r="1154" spans="16:22" x14ac:dyDescent="0.45">
      <c r="P1154" s="20" t="s">
        <v>715</v>
      </c>
      <c r="R1154">
        <v>1</v>
      </c>
      <c r="V1154">
        <v>1</v>
      </c>
    </row>
    <row r="1155" spans="16:22" x14ac:dyDescent="0.45">
      <c r="P1155" s="20" t="s">
        <v>1034</v>
      </c>
      <c r="R1155">
        <v>1</v>
      </c>
      <c r="V1155">
        <v>1</v>
      </c>
    </row>
    <row r="1156" spans="16:22" x14ac:dyDescent="0.45">
      <c r="P1156" s="20" t="s">
        <v>648</v>
      </c>
      <c r="R1156">
        <v>1</v>
      </c>
      <c r="V1156">
        <v>1</v>
      </c>
    </row>
    <row r="1157" spans="16:22" x14ac:dyDescent="0.45">
      <c r="P1157" s="20" t="s">
        <v>248</v>
      </c>
      <c r="R1157">
        <v>4</v>
      </c>
      <c r="V1157">
        <v>4</v>
      </c>
    </row>
    <row r="1158" spans="16:22" x14ac:dyDescent="0.45">
      <c r="P1158" s="20" t="s">
        <v>30</v>
      </c>
      <c r="S1158">
        <v>1</v>
      </c>
      <c r="U1158">
        <v>3</v>
      </c>
      <c r="V1158">
        <v>4</v>
      </c>
    </row>
    <row r="1159" spans="16:22" x14ac:dyDescent="0.45">
      <c r="P1159" s="20" t="s">
        <v>90</v>
      </c>
      <c r="S1159">
        <v>1</v>
      </c>
      <c r="V1159">
        <v>1</v>
      </c>
    </row>
    <row r="1160" spans="16:22" x14ac:dyDescent="0.45">
      <c r="P1160" s="20" t="s">
        <v>183</v>
      </c>
      <c r="S1160">
        <v>1</v>
      </c>
      <c r="V1160">
        <v>1</v>
      </c>
    </row>
    <row r="1161" spans="16:22" x14ac:dyDescent="0.45">
      <c r="P1161" s="20" t="s">
        <v>293</v>
      </c>
      <c r="R1161">
        <v>4</v>
      </c>
      <c r="S1161">
        <v>1</v>
      </c>
      <c r="U1161">
        <v>3</v>
      </c>
      <c r="V1161">
        <v>8</v>
      </c>
    </row>
    <row r="1162" spans="16:22" x14ac:dyDescent="0.45">
      <c r="P1162" s="20" t="s">
        <v>12</v>
      </c>
      <c r="R1162">
        <v>1</v>
      </c>
      <c r="U1162">
        <v>1</v>
      </c>
      <c r="V1162">
        <v>2</v>
      </c>
    </row>
    <row r="1163" spans="16:22" x14ac:dyDescent="0.45">
      <c r="P1163" s="20" t="s">
        <v>669</v>
      </c>
      <c r="R1163">
        <v>1</v>
      </c>
      <c r="V1163">
        <v>1</v>
      </c>
    </row>
    <row r="1164" spans="16:22" x14ac:dyDescent="0.45">
      <c r="P1164" s="20" t="s">
        <v>619</v>
      </c>
      <c r="R1164">
        <v>1</v>
      </c>
      <c r="V1164">
        <v>1</v>
      </c>
    </row>
    <row r="1165" spans="16:22" x14ac:dyDescent="0.45">
      <c r="P1165" s="20" t="s">
        <v>524</v>
      </c>
      <c r="R1165">
        <v>1</v>
      </c>
      <c r="V1165">
        <v>1</v>
      </c>
    </row>
    <row r="1166" spans="16:22" x14ac:dyDescent="0.45">
      <c r="P1166" s="20" t="s">
        <v>536</v>
      </c>
      <c r="R1166">
        <v>1</v>
      </c>
      <c r="V1166">
        <v>1</v>
      </c>
    </row>
    <row r="1167" spans="16:22" x14ac:dyDescent="0.45">
      <c r="P1167" s="20" t="s">
        <v>1022</v>
      </c>
      <c r="R1167">
        <v>1</v>
      </c>
      <c r="V1167">
        <v>1</v>
      </c>
    </row>
    <row r="1168" spans="16:22" x14ac:dyDescent="0.45">
      <c r="P1168" s="20" t="s">
        <v>1342</v>
      </c>
      <c r="R1168">
        <v>1</v>
      </c>
      <c r="V1168">
        <v>1</v>
      </c>
    </row>
    <row r="1169" spans="16:22" x14ac:dyDescent="0.45">
      <c r="P1169" s="20" t="s">
        <v>866</v>
      </c>
      <c r="R1169">
        <v>1</v>
      </c>
      <c r="V1169">
        <v>1</v>
      </c>
    </row>
    <row r="1170" spans="16:22" x14ac:dyDescent="0.45">
      <c r="P1170" s="20" t="s">
        <v>338</v>
      </c>
      <c r="R1170">
        <v>1</v>
      </c>
      <c r="V1170">
        <v>1</v>
      </c>
    </row>
    <row r="1171" spans="16:22" x14ac:dyDescent="0.45">
      <c r="P1171" s="20" t="s">
        <v>798</v>
      </c>
      <c r="R1171">
        <v>1</v>
      </c>
      <c r="V1171">
        <v>1</v>
      </c>
    </row>
    <row r="1172" spans="16:22" x14ac:dyDescent="0.45">
      <c r="P1172" s="20" t="s">
        <v>725</v>
      </c>
      <c r="S1172">
        <v>1</v>
      </c>
      <c r="V1172">
        <v>1</v>
      </c>
    </row>
    <row r="1173" spans="16:22" x14ac:dyDescent="0.45">
      <c r="P1173" s="20" t="s">
        <v>1435</v>
      </c>
      <c r="R1173">
        <v>1</v>
      </c>
      <c r="V1173">
        <v>1</v>
      </c>
    </row>
    <row r="1174" spans="16:22" x14ac:dyDescent="0.45">
      <c r="P1174" s="20" t="s">
        <v>1339</v>
      </c>
      <c r="S1174">
        <v>1</v>
      </c>
      <c r="V1174">
        <v>1</v>
      </c>
    </row>
    <row r="1175" spans="16:22" x14ac:dyDescent="0.45">
      <c r="P1175" s="20" t="s">
        <v>220</v>
      </c>
      <c r="R1175">
        <v>1</v>
      </c>
      <c r="S1175">
        <v>1</v>
      </c>
      <c r="V1175">
        <v>2</v>
      </c>
    </row>
    <row r="1176" spans="16:22" x14ac:dyDescent="0.45">
      <c r="P1176" s="20" t="s">
        <v>140</v>
      </c>
      <c r="R1176">
        <v>1</v>
      </c>
      <c r="U1176">
        <v>2</v>
      </c>
      <c r="V1176">
        <v>3</v>
      </c>
    </row>
    <row r="1177" spans="16:22" x14ac:dyDescent="0.45">
      <c r="P1177" s="20" t="s">
        <v>71</v>
      </c>
      <c r="T1177">
        <v>2</v>
      </c>
      <c r="U1177">
        <v>2</v>
      </c>
      <c r="V1177">
        <v>4</v>
      </c>
    </row>
    <row r="1178" spans="16:22" x14ac:dyDescent="0.45">
      <c r="P1178" s="20" t="s">
        <v>191</v>
      </c>
      <c r="S1178">
        <v>2</v>
      </c>
      <c r="V1178">
        <v>2</v>
      </c>
    </row>
    <row r="1179" spans="16:22" x14ac:dyDescent="0.45">
      <c r="P1179" s="20" t="s">
        <v>1037</v>
      </c>
      <c r="R1179">
        <v>1</v>
      </c>
      <c r="V1179">
        <v>1</v>
      </c>
    </row>
    <row r="1180" spans="16:22" x14ac:dyDescent="0.45">
      <c r="P1180" s="20" t="s">
        <v>805</v>
      </c>
      <c r="R1180">
        <v>1</v>
      </c>
      <c r="V1180">
        <v>1</v>
      </c>
    </row>
    <row r="1181" spans="16:22" x14ac:dyDescent="0.45">
      <c r="P1181" s="20" t="s">
        <v>808</v>
      </c>
      <c r="R1181">
        <v>1</v>
      </c>
      <c r="V1181">
        <v>1</v>
      </c>
    </row>
    <row r="1182" spans="16:22" x14ac:dyDescent="0.45">
      <c r="P1182" s="20" t="s">
        <v>778</v>
      </c>
      <c r="R1182">
        <v>1</v>
      </c>
      <c r="V1182">
        <v>1</v>
      </c>
    </row>
    <row r="1183" spans="16:22" x14ac:dyDescent="0.45">
      <c r="P1183" s="20" t="s">
        <v>19</v>
      </c>
      <c r="Q1183">
        <v>1</v>
      </c>
      <c r="T1183">
        <v>1</v>
      </c>
      <c r="V1183">
        <v>2</v>
      </c>
    </row>
    <row r="1184" spans="16:22" x14ac:dyDescent="0.45">
      <c r="P1184" s="20" t="s">
        <v>769</v>
      </c>
      <c r="R1184">
        <v>1</v>
      </c>
      <c r="V1184">
        <v>1</v>
      </c>
    </row>
    <row r="1185" spans="16:22" x14ac:dyDescent="0.45">
      <c r="P1185" s="20" t="s">
        <v>914</v>
      </c>
      <c r="R1185">
        <v>1</v>
      </c>
      <c r="V1185">
        <v>1</v>
      </c>
    </row>
    <row r="1186" spans="16:22" x14ac:dyDescent="0.45">
      <c r="P1186" s="20" t="s">
        <v>960</v>
      </c>
      <c r="R1186">
        <v>1</v>
      </c>
      <c r="V1186">
        <v>1</v>
      </c>
    </row>
    <row r="1187" spans="16:22" x14ac:dyDescent="0.45">
      <c r="P1187" s="20" t="s">
        <v>1033</v>
      </c>
      <c r="R1187">
        <v>1</v>
      </c>
      <c r="V1187">
        <v>1</v>
      </c>
    </row>
    <row r="1188" spans="16:22" x14ac:dyDescent="0.45">
      <c r="P1188" s="20" t="s">
        <v>279</v>
      </c>
      <c r="R1188">
        <v>2</v>
      </c>
      <c r="T1188">
        <v>2</v>
      </c>
      <c r="U1188">
        <v>2</v>
      </c>
      <c r="V1188">
        <v>6</v>
      </c>
    </row>
    <row r="1189" spans="16:22" x14ac:dyDescent="0.45">
      <c r="P1189" s="20" t="s">
        <v>195</v>
      </c>
      <c r="S1189">
        <v>1</v>
      </c>
      <c r="V1189">
        <v>1</v>
      </c>
    </row>
    <row r="1190" spans="16:22" x14ac:dyDescent="0.45">
      <c r="P1190" s="20" t="s">
        <v>1053</v>
      </c>
      <c r="R1190">
        <v>1</v>
      </c>
      <c r="V1190">
        <v>1</v>
      </c>
    </row>
    <row r="1191" spans="16:22" x14ac:dyDescent="0.45">
      <c r="P1191" s="20" t="s">
        <v>899</v>
      </c>
      <c r="R1191">
        <v>1</v>
      </c>
      <c r="V1191">
        <v>1</v>
      </c>
    </row>
    <row r="1192" spans="16:22" x14ac:dyDescent="0.45">
      <c r="P1192" s="20" t="s">
        <v>697</v>
      </c>
      <c r="R1192">
        <v>1</v>
      </c>
      <c r="V1192">
        <v>1</v>
      </c>
    </row>
    <row r="1193" spans="16:22" x14ac:dyDescent="0.45">
      <c r="P1193" s="20" t="s">
        <v>529</v>
      </c>
      <c r="R1193">
        <v>1</v>
      </c>
      <c r="V1193">
        <v>1</v>
      </c>
    </row>
    <row r="1194" spans="16:22" x14ac:dyDescent="0.45">
      <c r="P1194" s="20" t="s">
        <v>1453</v>
      </c>
      <c r="R1194">
        <v>1</v>
      </c>
      <c r="V1194">
        <v>1</v>
      </c>
    </row>
    <row r="1195" spans="16:22" x14ac:dyDescent="0.45">
      <c r="P1195" s="20" t="s">
        <v>50</v>
      </c>
      <c r="S1195">
        <v>2</v>
      </c>
      <c r="V1195">
        <v>2</v>
      </c>
    </row>
    <row r="1196" spans="16:22" x14ac:dyDescent="0.45">
      <c r="P1196" s="20" t="s">
        <v>107</v>
      </c>
      <c r="R1196">
        <v>3</v>
      </c>
      <c r="S1196">
        <v>2</v>
      </c>
      <c r="V1196">
        <v>5</v>
      </c>
    </row>
    <row r="1197" spans="16:22" x14ac:dyDescent="0.45">
      <c r="P1197" s="20" t="s">
        <v>1415</v>
      </c>
      <c r="R1197">
        <v>1</v>
      </c>
      <c r="V1197">
        <v>1</v>
      </c>
    </row>
    <row r="1198" spans="16:22" x14ac:dyDescent="0.45">
      <c r="P1198" s="20" t="s">
        <v>1098</v>
      </c>
      <c r="R1198">
        <v>1</v>
      </c>
      <c r="V1198">
        <v>1</v>
      </c>
    </row>
    <row r="1199" spans="16:22" x14ac:dyDescent="0.45">
      <c r="P1199" s="20" t="s">
        <v>1379</v>
      </c>
      <c r="R1199">
        <v>1</v>
      </c>
      <c r="V1199">
        <v>1</v>
      </c>
    </row>
    <row r="1200" spans="16:22" x14ac:dyDescent="0.45">
      <c r="P1200" s="20" t="s">
        <v>219</v>
      </c>
      <c r="S1200">
        <v>1</v>
      </c>
      <c r="V1200">
        <v>1</v>
      </c>
    </row>
    <row r="1201" spans="16:22" x14ac:dyDescent="0.45">
      <c r="P1201" s="20" t="s">
        <v>1207</v>
      </c>
      <c r="R1201">
        <v>1</v>
      </c>
      <c r="V1201">
        <v>1</v>
      </c>
    </row>
    <row r="1202" spans="16:22" x14ac:dyDescent="0.45">
      <c r="P1202" s="20" t="s">
        <v>1209</v>
      </c>
      <c r="R1202">
        <v>1</v>
      </c>
      <c r="V1202">
        <v>1</v>
      </c>
    </row>
    <row r="1203" spans="16:22" x14ac:dyDescent="0.45">
      <c r="P1203" s="20" t="s">
        <v>207</v>
      </c>
      <c r="S1203">
        <v>1</v>
      </c>
      <c r="U1203">
        <v>2</v>
      </c>
      <c r="V1203">
        <v>3</v>
      </c>
    </row>
    <row r="1204" spans="16:22" x14ac:dyDescent="0.45">
      <c r="P1204" s="20" t="s">
        <v>1344</v>
      </c>
      <c r="R1204">
        <v>1</v>
      </c>
      <c r="V1204">
        <v>1</v>
      </c>
    </row>
    <row r="1205" spans="16:22" x14ac:dyDescent="0.45">
      <c r="P1205" s="20" t="s">
        <v>588</v>
      </c>
      <c r="R1205">
        <v>1</v>
      </c>
      <c r="V1205">
        <v>1</v>
      </c>
    </row>
    <row r="1206" spans="16:22" x14ac:dyDescent="0.45">
      <c r="P1206" s="20" t="s">
        <v>1203</v>
      </c>
      <c r="R1206">
        <v>1</v>
      </c>
      <c r="V1206">
        <v>1</v>
      </c>
    </row>
    <row r="1207" spans="16:22" x14ac:dyDescent="0.45">
      <c r="P1207" s="20" t="s">
        <v>476</v>
      </c>
      <c r="R1207">
        <v>1</v>
      </c>
      <c r="V1207">
        <v>1</v>
      </c>
    </row>
    <row r="1208" spans="16:22" x14ac:dyDescent="0.45">
      <c r="P1208" s="20" t="s">
        <v>86</v>
      </c>
      <c r="T1208">
        <v>1</v>
      </c>
      <c r="V1208">
        <v>1</v>
      </c>
    </row>
    <row r="1209" spans="16:22" x14ac:dyDescent="0.45">
      <c r="P1209" s="20" t="s">
        <v>1075</v>
      </c>
      <c r="R1209">
        <v>1</v>
      </c>
      <c r="V1209">
        <v>1</v>
      </c>
    </row>
    <row r="1210" spans="16:22" x14ac:dyDescent="0.45">
      <c r="P1210" s="20" t="s">
        <v>897</v>
      </c>
      <c r="R1210">
        <v>1</v>
      </c>
      <c r="V1210">
        <v>1</v>
      </c>
    </row>
    <row r="1211" spans="16:22" x14ac:dyDescent="0.45">
      <c r="P1211" s="20" t="s">
        <v>1212</v>
      </c>
      <c r="R1211">
        <v>1</v>
      </c>
      <c r="V1211">
        <v>1</v>
      </c>
    </row>
    <row r="1212" spans="16:22" x14ac:dyDescent="0.45">
      <c r="P1212" s="20" t="s">
        <v>1380</v>
      </c>
      <c r="R1212">
        <v>1</v>
      </c>
      <c r="V1212">
        <v>1</v>
      </c>
    </row>
    <row r="1213" spans="16:22" x14ac:dyDescent="0.45">
      <c r="P1213" s="20" t="s">
        <v>553</v>
      </c>
      <c r="R1213">
        <v>1</v>
      </c>
      <c r="V1213">
        <v>1</v>
      </c>
    </row>
    <row r="1214" spans="16:22" x14ac:dyDescent="0.45">
      <c r="P1214" s="20" t="s">
        <v>806</v>
      </c>
      <c r="R1214">
        <v>1</v>
      </c>
      <c r="V1214">
        <v>1</v>
      </c>
    </row>
    <row r="1215" spans="16:22" x14ac:dyDescent="0.45">
      <c r="P1215" s="20" t="s">
        <v>626</v>
      </c>
      <c r="R1215">
        <v>1</v>
      </c>
      <c r="V1215">
        <v>1</v>
      </c>
    </row>
    <row r="1216" spans="16:22" x14ac:dyDescent="0.45">
      <c r="P1216" s="20" t="s">
        <v>943</v>
      </c>
      <c r="R1216">
        <v>1</v>
      </c>
      <c r="V1216">
        <v>1</v>
      </c>
    </row>
    <row r="1217" spans="16:22" x14ac:dyDescent="0.45">
      <c r="P1217" s="20" t="s">
        <v>716</v>
      </c>
      <c r="R1217">
        <v>1</v>
      </c>
      <c r="V1217">
        <v>1</v>
      </c>
    </row>
    <row r="1218" spans="16:22" x14ac:dyDescent="0.45">
      <c r="P1218" s="20" t="s">
        <v>481</v>
      </c>
      <c r="R1218">
        <v>1</v>
      </c>
      <c r="V1218">
        <v>1</v>
      </c>
    </row>
    <row r="1219" spans="16:22" x14ac:dyDescent="0.45">
      <c r="P1219" s="20" t="s">
        <v>335</v>
      </c>
      <c r="T1219">
        <v>2</v>
      </c>
      <c r="V1219">
        <v>2</v>
      </c>
    </row>
    <row r="1220" spans="16:22" x14ac:dyDescent="0.45">
      <c r="P1220" s="20" t="s">
        <v>1100</v>
      </c>
      <c r="R1220">
        <v>1</v>
      </c>
      <c r="V1220">
        <v>1</v>
      </c>
    </row>
    <row r="1221" spans="16:22" x14ac:dyDescent="0.45">
      <c r="P1221" s="20" t="s">
        <v>1137</v>
      </c>
      <c r="R1221">
        <v>1</v>
      </c>
      <c r="V1221">
        <v>1</v>
      </c>
    </row>
    <row r="1222" spans="16:22" x14ac:dyDescent="0.45">
      <c r="P1222" s="20" t="s">
        <v>746</v>
      </c>
      <c r="R1222">
        <v>1</v>
      </c>
      <c r="V1222">
        <v>1</v>
      </c>
    </row>
    <row r="1223" spans="16:22" x14ac:dyDescent="0.45">
      <c r="P1223" s="20" t="s">
        <v>562</v>
      </c>
      <c r="R1223">
        <v>1</v>
      </c>
      <c r="V1223">
        <v>1</v>
      </c>
    </row>
    <row r="1224" spans="16:22" x14ac:dyDescent="0.45">
      <c r="P1224" s="20" t="s">
        <v>694</v>
      </c>
      <c r="R1224">
        <v>1</v>
      </c>
      <c r="V1224">
        <v>1</v>
      </c>
    </row>
    <row r="1225" spans="16:22" x14ac:dyDescent="0.45">
      <c r="P1225" s="20" t="s">
        <v>337</v>
      </c>
      <c r="S1225">
        <v>1</v>
      </c>
      <c r="V1225">
        <v>1</v>
      </c>
    </row>
    <row r="1226" spans="16:22" x14ac:dyDescent="0.45">
      <c r="P1226" s="20" t="s">
        <v>44</v>
      </c>
      <c r="R1226">
        <v>1</v>
      </c>
      <c r="V1226">
        <v>1</v>
      </c>
    </row>
    <row r="1227" spans="16:22" x14ac:dyDescent="0.45">
      <c r="P1227" s="20" t="s">
        <v>168</v>
      </c>
      <c r="T1227">
        <v>1</v>
      </c>
      <c r="V1227">
        <v>1</v>
      </c>
    </row>
    <row r="1228" spans="16:22" x14ac:dyDescent="0.45">
      <c r="P1228" s="20" t="s">
        <v>388</v>
      </c>
      <c r="U1228">
        <v>2</v>
      </c>
      <c r="V1228">
        <v>2</v>
      </c>
    </row>
    <row r="1229" spans="16:22" x14ac:dyDescent="0.45">
      <c r="P1229" s="20" t="s">
        <v>103</v>
      </c>
      <c r="R1229">
        <v>3</v>
      </c>
      <c r="V1229">
        <v>3</v>
      </c>
    </row>
    <row r="1230" spans="16:22" x14ac:dyDescent="0.45">
      <c r="P1230" s="20" t="s">
        <v>1357</v>
      </c>
      <c r="R1230">
        <v>1</v>
      </c>
      <c r="V1230">
        <v>1</v>
      </c>
    </row>
    <row r="1231" spans="16:22" x14ac:dyDescent="0.45">
      <c r="P1231" s="20" t="s">
        <v>1272</v>
      </c>
      <c r="S1231">
        <v>1</v>
      </c>
      <c r="V1231">
        <v>1</v>
      </c>
    </row>
    <row r="1232" spans="16:22" x14ac:dyDescent="0.45">
      <c r="P1232" s="20" t="s">
        <v>356</v>
      </c>
      <c r="S1232">
        <v>1</v>
      </c>
      <c r="V1232">
        <v>1</v>
      </c>
    </row>
    <row r="1233" spans="16:22" x14ac:dyDescent="0.45">
      <c r="P1233" s="20" t="s">
        <v>372</v>
      </c>
      <c r="U1233">
        <v>1</v>
      </c>
      <c r="V1233">
        <v>1</v>
      </c>
    </row>
    <row r="1234" spans="16:22" x14ac:dyDescent="0.45">
      <c r="P1234" s="20" t="s">
        <v>154</v>
      </c>
      <c r="T1234">
        <v>4</v>
      </c>
      <c r="U1234">
        <v>1</v>
      </c>
      <c r="V1234">
        <v>5</v>
      </c>
    </row>
    <row r="1235" spans="16:22" x14ac:dyDescent="0.45">
      <c r="P1235" s="20" t="s">
        <v>1332</v>
      </c>
      <c r="R1235">
        <v>1</v>
      </c>
      <c r="V1235">
        <v>1</v>
      </c>
    </row>
    <row r="1236" spans="16:22" x14ac:dyDescent="0.45">
      <c r="P1236" s="20" t="s">
        <v>547</v>
      </c>
      <c r="R1236">
        <v>1</v>
      </c>
      <c r="V1236">
        <v>1</v>
      </c>
    </row>
    <row r="1237" spans="16:22" x14ac:dyDescent="0.45">
      <c r="P1237" s="20" t="s">
        <v>794</v>
      </c>
      <c r="R1237">
        <v>1</v>
      </c>
      <c r="V1237">
        <v>1</v>
      </c>
    </row>
    <row r="1238" spans="16:22" x14ac:dyDescent="0.45">
      <c r="P1238" s="20" t="s">
        <v>752</v>
      </c>
      <c r="R1238">
        <v>1</v>
      </c>
      <c r="V1238">
        <v>1</v>
      </c>
    </row>
    <row r="1239" spans="16:22" x14ac:dyDescent="0.45">
      <c r="P1239" s="20" t="s">
        <v>907</v>
      </c>
      <c r="R1239">
        <v>1</v>
      </c>
      <c r="V1239">
        <v>1</v>
      </c>
    </row>
    <row r="1240" spans="16:22" x14ac:dyDescent="0.45">
      <c r="P1240" s="20" t="s">
        <v>1010</v>
      </c>
      <c r="R1240">
        <v>1</v>
      </c>
      <c r="V1240">
        <v>1</v>
      </c>
    </row>
    <row r="1241" spans="16:22" x14ac:dyDescent="0.45">
      <c r="P1241" s="20" t="s">
        <v>735</v>
      </c>
      <c r="R1241">
        <v>1</v>
      </c>
      <c r="V1241">
        <v>1</v>
      </c>
    </row>
    <row r="1242" spans="16:22" x14ac:dyDescent="0.45">
      <c r="P1242" s="20" t="s">
        <v>1242</v>
      </c>
      <c r="R1242">
        <v>1</v>
      </c>
      <c r="V1242">
        <v>1</v>
      </c>
    </row>
    <row r="1243" spans="16:22" x14ac:dyDescent="0.45">
      <c r="P1243" s="20" t="s">
        <v>1081</v>
      </c>
      <c r="R1243">
        <v>1</v>
      </c>
      <c r="V1243">
        <v>1</v>
      </c>
    </row>
    <row r="1244" spans="16:22" x14ac:dyDescent="0.45">
      <c r="P1244" s="20" t="s">
        <v>479</v>
      </c>
      <c r="R1244">
        <v>1</v>
      </c>
      <c r="V1244">
        <v>1</v>
      </c>
    </row>
    <row r="1245" spans="16:22" x14ac:dyDescent="0.45">
      <c r="P1245" s="20" t="s">
        <v>445</v>
      </c>
      <c r="U1245">
        <v>3</v>
      </c>
      <c r="V1245">
        <v>3</v>
      </c>
    </row>
    <row r="1246" spans="16:22" x14ac:dyDescent="0.45">
      <c r="P1246" s="20" t="s">
        <v>668</v>
      </c>
      <c r="R1246">
        <v>1</v>
      </c>
      <c r="V1246">
        <v>1</v>
      </c>
    </row>
    <row r="1247" spans="16:22" x14ac:dyDescent="0.45">
      <c r="P1247" s="20" t="s">
        <v>613</v>
      </c>
      <c r="R1247">
        <v>1</v>
      </c>
      <c r="V1247">
        <v>1</v>
      </c>
    </row>
    <row r="1248" spans="16:22" x14ac:dyDescent="0.45">
      <c r="P1248" s="20" t="s">
        <v>772</v>
      </c>
      <c r="R1248">
        <v>1</v>
      </c>
      <c r="V1248">
        <v>1</v>
      </c>
    </row>
    <row r="1249" spans="16:22" x14ac:dyDescent="0.45">
      <c r="P1249" s="20" t="s">
        <v>77</v>
      </c>
      <c r="S1249">
        <v>2</v>
      </c>
      <c r="U1249">
        <v>2</v>
      </c>
      <c r="V1249">
        <v>4</v>
      </c>
    </row>
    <row r="1250" spans="16:22" x14ac:dyDescent="0.45">
      <c r="P1250" s="20" t="s">
        <v>1067</v>
      </c>
      <c r="R1250">
        <v>1</v>
      </c>
      <c r="V1250">
        <v>1</v>
      </c>
    </row>
    <row r="1251" spans="16:22" x14ac:dyDescent="0.45">
      <c r="P1251" s="20" t="s">
        <v>600</v>
      </c>
      <c r="R1251">
        <v>1</v>
      </c>
      <c r="V1251">
        <v>1</v>
      </c>
    </row>
    <row r="1252" spans="16:22" x14ac:dyDescent="0.45">
      <c r="P1252" s="20" t="s">
        <v>838</v>
      </c>
      <c r="R1252">
        <v>1</v>
      </c>
      <c r="V1252">
        <v>1</v>
      </c>
    </row>
    <row r="1253" spans="16:22" x14ac:dyDescent="0.45">
      <c r="P1253" s="20" t="s">
        <v>670</v>
      </c>
      <c r="R1253">
        <v>1</v>
      </c>
      <c r="V1253">
        <v>1</v>
      </c>
    </row>
    <row r="1254" spans="16:22" x14ac:dyDescent="0.45">
      <c r="P1254" s="20" t="s">
        <v>392</v>
      </c>
      <c r="S1254">
        <v>1</v>
      </c>
      <c r="T1254">
        <v>2</v>
      </c>
      <c r="V1254">
        <v>3</v>
      </c>
    </row>
    <row r="1255" spans="16:22" x14ac:dyDescent="0.45">
      <c r="P1255" s="20" t="s">
        <v>94</v>
      </c>
      <c r="T1255">
        <v>1</v>
      </c>
      <c r="U1255">
        <v>2</v>
      </c>
      <c r="V1255">
        <v>3</v>
      </c>
    </row>
    <row r="1256" spans="16:22" x14ac:dyDescent="0.45">
      <c r="P1256" s="20" t="s">
        <v>402</v>
      </c>
      <c r="R1256">
        <v>2</v>
      </c>
      <c r="U1256">
        <v>1</v>
      </c>
      <c r="V1256">
        <v>3</v>
      </c>
    </row>
    <row r="1257" spans="16:22" x14ac:dyDescent="0.45">
      <c r="P1257" s="20" t="s">
        <v>59</v>
      </c>
      <c r="U1257">
        <v>1</v>
      </c>
      <c r="V1257">
        <v>1</v>
      </c>
    </row>
    <row r="1258" spans="16:22" x14ac:dyDescent="0.45">
      <c r="P1258" s="20" t="s">
        <v>46</v>
      </c>
      <c r="S1258">
        <v>1</v>
      </c>
      <c r="V1258">
        <v>1</v>
      </c>
    </row>
    <row r="1259" spans="16:22" x14ac:dyDescent="0.45">
      <c r="P1259" s="20" t="s">
        <v>1276</v>
      </c>
      <c r="R1259">
        <v>1</v>
      </c>
      <c r="V1259">
        <v>1</v>
      </c>
    </row>
    <row r="1260" spans="16:22" x14ac:dyDescent="0.45">
      <c r="P1260" s="20" t="s">
        <v>477</v>
      </c>
      <c r="R1260">
        <v>1</v>
      </c>
      <c r="V1260">
        <v>1</v>
      </c>
    </row>
    <row r="1261" spans="16:22" x14ac:dyDescent="0.45">
      <c r="P1261" s="20" t="s">
        <v>815</v>
      </c>
      <c r="R1261">
        <v>1</v>
      </c>
      <c r="V1261">
        <v>1</v>
      </c>
    </row>
    <row r="1262" spans="16:22" x14ac:dyDescent="0.45">
      <c r="P1262" s="20" t="s">
        <v>895</v>
      </c>
      <c r="R1262">
        <v>1</v>
      </c>
      <c r="V1262">
        <v>1</v>
      </c>
    </row>
    <row r="1263" spans="16:22" x14ac:dyDescent="0.45">
      <c r="P1263" s="20" t="s">
        <v>621</v>
      </c>
      <c r="R1263">
        <v>1</v>
      </c>
      <c r="V1263">
        <v>1</v>
      </c>
    </row>
    <row r="1264" spans="16:22" x14ac:dyDescent="0.45">
      <c r="P1264" s="20" t="s">
        <v>884</v>
      </c>
      <c r="R1264">
        <v>1</v>
      </c>
      <c r="V1264">
        <v>1</v>
      </c>
    </row>
    <row r="1265" spans="16:22" x14ac:dyDescent="0.45">
      <c r="P1265" s="20" t="s">
        <v>116</v>
      </c>
      <c r="T1265">
        <v>2</v>
      </c>
      <c r="V1265">
        <v>2</v>
      </c>
    </row>
    <row r="1266" spans="16:22" x14ac:dyDescent="0.45">
      <c r="P1266" s="20" t="s">
        <v>152</v>
      </c>
      <c r="T1266">
        <v>1</v>
      </c>
      <c r="V1266">
        <v>1</v>
      </c>
    </row>
    <row r="1267" spans="16:22" x14ac:dyDescent="0.45">
      <c r="P1267" s="20" t="s">
        <v>483</v>
      </c>
      <c r="R1267">
        <v>1</v>
      </c>
      <c r="V1267">
        <v>1</v>
      </c>
    </row>
    <row r="1268" spans="16:22" x14ac:dyDescent="0.45">
      <c r="P1268" s="20" t="s">
        <v>564</v>
      </c>
      <c r="R1268">
        <v>1</v>
      </c>
      <c r="V1268">
        <v>1</v>
      </c>
    </row>
    <row r="1269" spans="16:22" x14ac:dyDescent="0.45">
      <c r="P1269" s="20" t="s">
        <v>543</v>
      </c>
      <c r="R1269">
        <v>1</v>
      </c>
      <c r="V1269">
        <v>1</v>
      </c>
    </row>
    <row r="1270" spans="16:22" x14ac:dyDescent="0.45">
      <c r="P1270" s="20" t="s">
        <v>870</v>
      </c>
      <c r="R1270">
        <v>1</v>
      </c>
      <c r="V1270">
        <v>1</v>
      </c>
    </row>
    <row r="1271" spans="16:22" x14ac:dyDescent="0.45">
      <c r="P1271" s="20" t="s">
        <v>686</v>
      </c>
      <c r="R1271">
        <v>1</v>
      </c>
      <c r="V1271">
        <v>1</v>
      </c>
    </row>
    <row r="1272" spans="16:22" x14ac:dyDescent="0.45">
      <c r="P1272" s="20" t="s">
        <v>315</v>
      </c>
      <c r="U1272">
        <v>3</v>
      </c>
      <c r="V1272">
        <v>3</v>
      </c>
    </row>
    <row r="1273" spans="16:22" x14ac:dyDescent="0.45">
      <c r="P1273" s="20" t="s">
        <v>1313</v>
      </c>
      <c r="R1273">
        <v>1</v>
      </c>
      <c r="V1273">
        <v>1</v>
      </c>
    </row>
    <row r="1274" spans="16:22" x14ac:dyDescent="0.45">
      <c r="P1274" s="20" t="s">
        <v>902</v>
      </c>
      <c r="R1274">
        <v>1</v>
      </c>
      <c r="V1274">
        <v>1</v>
      </c>
    </row>
    <row r="1275" spans="16:22" x14ac:dyDescent="0.45">
      <c r="P1275" s="20" t="s">
        <v>1284</v>
      </c>
      <c r="R1275">
        <v>1</v>
      </c>
      <c r="V1275">
        <v>1</v>
      </c>
    </row>
    <row r="1276" spans="16:22" x14ac:dyDescent="0.45">
      <c r="P1276" s="20" t="s">
        <v>822</v>
      </c>
      <c r="R1276">
        <v>1</v>
      </c>
      <c r="V1276">
        <v>1</v>
      </c>
    </row>
    <row r="1277" spans="16:22" x14ac:dyDescent="0.45">
      <c r="P1277" s="20" t="s">
        <v>693</v>
      </c>
      <c r="R1277">
        <v>1</v>
      </c>
      <c r="V1277">
        <v>1</v>
      </c>
    </row>
    <row r="1278" spans="16:22" x14ac:dyDescent="0.45">
      <c r="P1278" s="20" t="s">
        <v>1074</v>
      </c>
      <c r="R1278">
        <v>1</v>
      </c>
      <c r="V1278">
        <v>1</v>
      </c>
    </row>
    <row r="1279" spans="16:22" x14ac:dyDescent="0.45">
      <c r="P1279" s="20" t="s">
        <v>946</v>
      </c>
      <c r="R1279">
        <v>1</v>
      </c>
      <c r="V1279">
        <v>1</v>
      </c>
    </row>
    <row r="1280" spans="16:22" x14ac:dyDescent="0.45">
      <c r="P1280" s="20" t="s">
        <v>1230</v>
      </c>
      <c r="R1280">
        <v>1</v>
      </c>
      <c r="V1280">
        <v>1</v>
      </c>
    </row>
    <row r="1281" spans="16:22" x14ac:dyDescent="0.45">
      <c r="P1281" s="20" t="s">
        <v>283</v>
      </c>
      <c r="T1281">
        <v>2</v>
      </c>
      <c r="V1281">
        <v>2</v>
      </c>
    </row>
    <row r="1282" spans="16:22" x14ac:dyDescent="0.45">
      <c r="P1282" s="20" t="s">
        <v>446</v>
      </c>
      <c r="U1282">
        <v>3</v>
      </c>
      <c r="V1282">
        <v>3</v>
      </c>
    </row>
    <row r="1283" spans="16:22" x14ac:dyDescent="0.45">
      <c r="P1283" s="20" t="s">
        <v>289</v>
      </c>
      <c r="T1283">
        <v>1</v>
      </c>
      <c r="V1283">
        <v>1</v>
      </c>
    </row>
    <row r="1284" spans="16:22" x14ac:dyDescent="0.45">
      <c r="P1284" s="20" t="s">
        <v>499</v>
      </c>
      <c r="R1284">
        <v>1</v>
      </c>
      <c r="V1284">
        <v>1</v>
      </c>
    </row>
    <row r="1285" spans="16:22" x14ac:dyDescent="0.45">
      <c r="P1285" s="20" t="s">
        <v>1336</v>
      </c>
      <c r="R1285">
        <v>1</v>
      </c>
      <c r="V1285">
        <v>1</v>
      </c>
    </row>
    <row r="1286" spans="16:22" x14ac:dyDescent="0.45">
      <c r="P1286" s="20" t="s">
        <v>1077</v>
      </c>
      <c r="R1286">
        <v>1</v>
      </c>
      <c r="V1286">
        <v>1</v>
      </c>
    </row>
    <row r="1287" spans="16:22" x14ac:dyDescent="0.45">
      <c r="P1287" s="20" t="s">
        <v>304</v>
      </c>
      <c r="S1287">
        <v>1</v>
      </c>
      <c r="T1287">
        <v>1</v>
      </c>
      <c r="V1287">
        <v>2</v>
      </c>
    </row>
    <row r="1288" spans="16:22" x14ac:dyDescent="0.45">
      <c r="P1288" s="20" t="s">
        <v>751</v>
      </c>
      <c r="R1288">
        <v>1</v>
      </c>
      <c r="V1288">
        <v>1</v>
      </c>
    </row>
    <row r="1289" spans="16:22" x14ac:dyDescent="0.45">
      <c r="P1289" s="20" t="s">
        <v>62</v>
      </c>
      <c r="S1289">
        <v>1</v>
      </c>
      <c r="T1289">
        <v>1</v>
      </c>
      <c r="V1289">
        <v>2</v>
      </c>
    </row>
    <row r="1290" spans="16:22" x14ac:dyDescent="0.45">
      <c r="P1290" s="20" t="s">
        <v>428</v>
      </c>
      <c r="R1290">
        <v>1</v>
      </c>
      <c r="V1290">
        <v>1</v>
      </c>
    </row>
    <row r="1291" spans="16:22" x14ac:dyDescent="0.45">
      <c r="P1291" s="20" t="s">
        <v>74</v>
      </c>
      <c r="R1291">
        <v>3</v>
      </c>
      <c r="T1291">
        <v>1</v>
      </c>
      <c r="V1291">
        <v>4</v>
      </c>
    </row>
    <row r="1292" spans="16:22" x14ac:dyDescent="0.45">
      <c r="P1292" s="20" t="s">
        <v>184</v>
      </c>
      <c r="S1292">
        <v>1</v>
      </c>
      <c r="T1292">
        <v>1</v>
      </c>
      <c r="V1292">
        <v>2</v>
      </c>
    </row>
    <row r="1293" spans="16:22" x14ac:dyDescent="0.45">
      <c r="P1293" s="20" t="s">
        <v>134</v>
      </c>
      <c r="U1293">
        <v>1</v>
      </c>
      <c r="V1293">
        <v>1</v>
      </c>
    </row>
    <row r="1294" spans="16:22" x14ac:dyDescent="0.45">
      <c r="P1294" s="20" t="s">
        <v>1193</v>
      </c>
      <c r="R1294">
        <v>1</v>
      </c>
      <c r="V1294">
        <v>1</v>
      </c>
    </row>
    <row r="1295" spans="16:22" x14ac:dyDescent="0.45">
      <c r="P1295" s="20" t="s">
        <v>594</v>
      </c>
      <c r="S1295">
        <v>1</v>
      </c>
      <c r="V1295">
        <v>1</v>
      </c>
    </row>
    <row r="1296" spans="16:22" x14ac:dyDescent="0.45">
      <c r="P1296" s="20" t="s">
        <v>290</v>
      </c>
      <c r="S1296">
        <v>2</v>
      </c>
      <c r="V1296">
        <v>2</v>
      </c>
    </row>
    <row r="1297" spans="16:22" x14ac:dyDescent="0.45">
      <c r="P1297" s="20" t="s">
        <v>87</v>
      </c>
      <c r="S1297">
        <v>3</v>
      </c>
      <c r="V1297">
        <v>3</v>
      </c>
    </row>
    <row r="1298" spans="16:22" x14ac:dyDescent="0.45">
      <c r="P1298" s="20" t="s">
        <v>947</v>
      </c>
      <c r="R1298">
        <v>1</v>
      </c>
      <c r="V1298">
        <v>1</v>
      </c>
    </row>
    <row r="1299" spans="16:22" x14ac:dyDescent="0.45">
      <c r="P1299" s="20" t="s">
        <v>922</v>
      </c>
      <c r="R1299">
        <v>1</v>
      </c>
      <c r="V1299">
        <v>1</v>
      </c>
    </row>
    <row r="1300" spans="16:22" x14ac:dyDescent="0.45">
      <c r="P1300" s="20" t="s">
        <v>180</v>
      </c>
      <c r="U1300">
        <v>1</v>
      </c>
      <c r="V1300">
        <v>1</v>
      </c>
    </row>
    <row r="1301" spans="16:22" x14ac:dyDescent="0.45">
      <c r="P1301" s="20" t="s">
        <v>843</v>
      </c>
      <c r="R1301">
        <v>1</v>
      </c>
      <c r="V1301">
        <v>1</v>
      </c>
    </row>
    <row r="1302" spans="16:22" x14ac:dyDescent="0.45">
      <c r="P1302" s="20" t="s">
        <v>1138</v>
      </c>
      <c r="R1302">
        <v>1</v>
      </c>
      <c r="V1302">
        <v>1</v>
      </c>
    </row>
    <row r="1303" spans="16:22" x14ac:dyDescent="0.45">
      <c r="P1303" s="20" t="s">
        <v>128</v>
      </c>
      <c r="U1303">
        <v>2</v>
      </c>
      <c r="V1303">
        <v>2</v>
      </c>
    </row>
    <row r="1304" spans="16:22" x14ac:dyDescent="0.45">
      <c r="P1304" s="20" t="s">
        <v>617</v>
      </c>
      <c r="R1304">
        <v>1</v>
      </c>
      <c r="V1304">
        <v>1</v>
      </c>
    </row>
    <row r="1305" spans="16:22" x14ac:dyDescent="0.45">
      <c r="P1305" s="20" t="s">
        <v>701</v>
      </c>
      <c r="R1305">
        <v>1</v>
      </c>
      <c r="V1305">
        <v>1</v>
      </c>
    </row>
    <row r="1306" spans="16:22" x14ac:dyDescent="0.45">
      <c r="P1306" s="20" t="s">
        <v>80</v>
      </c>
      <c r="R1306">
        <v>2</v>
      </c>
      <c r="S1306">
        <v>2</v>
      </c>
      <c r="V1306">
        <v>4</v>
      </c>
    </row>
    <row r="1307" spans="16:22" x14ac:dyDescent="0.45">
      <c r="P1307" s="20" t="s">
        <v>21</v>
      </c>
      <c r="Q1307">
        <v>1</v>
      </c>
      <c r="T1307">
        <v>2</v>
      </c>
      <c r="U1307">
        <v>2</v>
      </c>
      <c r="V1307">
        <v>5</v>
      </c>
    </row>
    <row r="1308" spans="16:22" x14ac:dyDescent="0.45">
      <c r="P1308" s="20" t="s">
        <v>329</v>
      </c>
      <c r="U1308">
        <v>2</v>
      </c>
      <c r="V1308">
        <v>2</v>
      </c>
    </row>
    <row r="1309" spans="16:22" x14ac:dyDescent="0.45">
      <c r="P1309" s="20" t="s">
        <v>501</v>
      </c>
      <c r="R1309">
        <v>1</v>
      </c>
      <c r="V1309">
        <v>1</v>
      </c>
    </row>
    <row r="1310" spans="16:22" x14ac:dyDescent="0.45">
      <c r="P1310" s="20" t="s">
        <v>949</v>
      </c>
      <c r="R1310">
        <v>1</v>
      </c>
      <c r="V1310">
        <v>1</v>
      </c>
    </row>
    <row r="1311" spans="16:22" x14ac:dyDescent="0.45">
      <c r="P1311" s="20" t="s">
        <v>1329</v>
      </c>
      <c r="R1311">
        <v>1</v>
      </c>
      <c r="V1311">
        <v>1</v>
      </c>
    </row>
    <row r="1312" spans="16:22" x14ac:dyDescent="0.45">
      <c r="P1312" s="20" t="s">
        <v>1360</v>
      </c>
      <c r="R1312">
        <v>1</v>
      </c>
      <c r="V1312">
        <v>1</v>
      </c>
    </row>
    <row r="1313" spans="16:22" x14ac:dyDescent="0.45">
      <c r="P1313" s="20" t="s">
        <v>138</v>
      </c>
      <c r="R1313">
        <v>1</v>
      </c>
      <c r="S1313">
        <v>1</v>
      </c>
      <c r="U1313">
        <v>2</v>
      </c>
      <c r="V1313">
        <v>4</v>
      </c>
    </row>
    <row r="1314" spans="16:22" x14ac:dyDescent="0.45">
      <c r="P1314" s="20" t="s">
        <v>1340</v>
      </c>
      <c r="R1314">
        <v>1</v>
      </c>
      <c r="V1314">
        <v>1</v>
      </c>
    </row>
    <row r="1315" spans="16:22" x14ac:dyDescent="0.45">
      <c r="P1315" s="20" t="s">
        <v>516</v>
      </c>
      <c r="R1315">
        <v>1</v>
      </c>
      <c r="V1315">
        <v>1</v>
      </c>
    </row>
    <row r="1316" spans="16:22" x14ac:dyDescent="0.45">
      <c r="P1316" s="20" t="s">
        <v>1198</v>
      </c>
      <c r="R1316">
        <v>1</v>
      </c>
      <c r="V1316">
        <v>1</v>
      </c>
    </row>
    <row r="1317" spans="16:22" x14ac:dyDescent="0.45">
      <c r="P1317" s="20" t="s">
        <v>802</v>
      </c>
      <c r="R1317">
        <v>1</v>
      </c>
      <c r="V1317">
        <v>1</v>
      </c>
    </row>
    <row r="1318" spans="16:22" x14ac:dyDescent="0.45">
      <c r="P1318" s="20" t="s">
        <v>1116</v>
      </c>
      <c r="R1318">
        <v>1</v>
      </c>
      <c r="V1318">
        <v>1</v>
      </c>
    </row>
    <row r="1319" spans="16:22" x14ac:dyDescent="0.45">
      <c r="P1319" s="20" t="s">
        <v>159</v>
      </c>
      <c r="T1319">
        <v>1</v>
      </c>
      <c r="U1319">
        <v>1</v>
      </c>
      <c r="V1319">
        <v>2</v>
      </c>
    </row>
    <row r="1320" spans="16:22" x14ac:dyDescent="0.45">
      <c r="P1320" s="20" t="s">
        <v>534</v>
      </c>
      <c r="R1320">
        <v>1</v>
      </c>
      <c r="V1320">
        <v>1</v>
      </c>
    </row>
    <row r="1321" spans="16:22" x14ac:dyDescent="0.45">
      <c r="P1321" s="20" t="s">
        <v>496</v>
      </c>
      <c r="R1321">
        <v>1</v>
      </c>
      <c r="V1321">
        <v>1</v>
      </c>
    </row>
    <row r="1322" spans="16:22" x14ac:dyDescent="0.45">
      <c r="P1322" s="20" t="s">
        <v>472</v>
      </c>
      <c r="R1322">
        <v>1</v>
      </c>
      <c r="V1322">
        <v>1</v>
      </c>
    </row>
    <row r="1323" spans="16:22" x14ac:dyDescent="0.45">
      <c r="P1323" s="20" t="s">
        <v>940</v>
      </c>
      <c r="R1323">
        <v>1</v>
      </c>
      <c r="V1323">
        <v>1</v>
      </c>
    </row>
    <row r="1324" spans="16:22" x14ac:dyDescent="0.45">
      <c r="P1324" s="20" t="s">
        <v>1169</v>
      </c>
      <c r="R1324">
        <v>1</v>
      </c>
      <c r="V1324">
        <v>1</v>
      </c>
    </row>
    <row r="1325" spans="16:22" x14ac:dyDescent="0.45">
      <c r="P1325" s="20" t="s">
        <v>1147</v>
      </c>
      <c r="R1325">
        <v>1</v>
      </c>
      <c r="V1325">
        <v>1</v>
      </c>
    </row>
    <row r="1326" spans="16:22" x14ac:dyDescent="0.45">
      <c r="P1326" s="20" t="s">
        <v>873</v>
      </c>
      <c r="R1326">
        <v>1</v>
      </c>
      <c r="V1326">
        <v>1</v>
      </c>
    </row>
    <row r="1327" spans="16:22" x14ac:dyDescent="0.45">
      <c r="P1327" s="20" t="s">
        <v>1259</v>
      </c>
      <c r="R1327">
        <v>1</v>
      </c>
      <c r="V1327">
        <v>1</v>
      </c>
    </row>
    <row r="1328" spans="16:22" x14ac:dyDescent="0.45">
      <c r="P1328" s="20" t="s">
        <v>786</v>
      </c>
      <c r="R1328">
        <v>1</v>
      </c>
      <c r="V1328">
        <v>1</v>
      </c>
    </row>
    <row r="1329" spans="16:22" x14ac:dyDescent="0.45">
      <c r="P1329" s="20" t="s">
        <v>602</v>
      </c>
      <c r="R1329">
        <v>1</v>
      </c>
      <c r="V1329">
        <v>1</v>
      </c>
    </row>
    <row r="1330" spans="16:22" x14ac:dyDescent="0.45">
      <c r="P1330" s="20" t="s">
        <v>96</v>
      </c>
      <c r="U1330">
        <v>4</v>
      </c>
      <c r="V1330">
        <v>4</v>
      </c>
    </row>
    <row r="1331" spans="16:22" x14ac:dyDescent="0.45">
      <c r="P1331" s="20" t="s">
        <v>129</v>
      </c>
      <c r="U1331">
        <v>3</v>
      </c>
      <c r="V1331">
        <v>3</v>
      </c>
    </row>
    <row r="1332" spans="16:22" x14ac:dyDescent="0.45">
      <c r="P1332" s="20" t="s">
        <v>909</v>
      </c>
      <c r="R1332">
        <v>1</v>
      </c>
      <c r="V1332">
        <v>1</v>
      </c>
    </row>
    <row r="1333" spans="16:22" x14ac:dyDescent="0.45">
      <c r="P1333" s="20" t="s">
        <v>147</v>
      </c>
      <c r="U1333">
        <v>1</v>
      </c>
      <c r="V1333">
        <v>1</v>
      </c>
    </row>
    <row r="1334" spans="16:22" x14ac:dyDescent="0.45">
      <c r="P1334" s="20" t="s">
        <v>558</v>
      </c>
      <c r="R1334">
        <v>1</v>
      </c>
      <c r="V1334">
        <v>1</v>
      </c>
    </row>
    <row r="1335" spans="16:22" x14ac:dyDescent="0.45">
      <c r="P1335" s="20" t="s">
        <v>731</v>
      </c>
      <c r="R1335">
        <v>1</v>
      </c>
      <c r="V1335">
        <v>1</v>
      </c>
    </row>
    <row r="1336" spans="16:22" x14ac:dyDescent="0.45">
      <c r="P1336" s="20" t="s">
        <v>386</v>
      </c>
      <c r="T1336">
        <v>3</v>
      </c>
      <c r="V1336">
        <v>3</v>
      </c>
    </row>
    <row r="1337" spans="16:22" x14ac:dyDescent="0.45">
      <c r="P1337" s="20" t="s">
        <v>89</v>
      </c>
      <c r="T1337">
        <v>1</v>
      </c>
      <c r="V1337">
        <v>1</v>
      </c>
    </row>
    <row r="1338" spans="16:22" x14ac:dyDescent="0.45">
      <c r="P1338" s="20" t="s">
        <v>1229</v>
      </c>
      <c r="R1338">
        <v>1</v>
      </c>
      <c r="V1338">
        <v>1</v>
      </c>
    </row>
    <row r="1339" spans="16:22" x14ac:dyDescent="0.45">
      <c r="P1339" s="20" t="s">
        <v>1302</v>
      </c>
      <c r="R1339">
        <v>1</v>
      </c>
      <c r="V1339">
        <v>1</v>
      </c>
    </row>
    <row r="1340" spans="16:22" x14ac:dyDescent="0.45">
      <c r="P1340" s="20" t="s">
        <v>654</v>
      </c>
      <c r="R1340">
        <v>1</v>
      </c>
      <c r="V1340">
        <v>1</v>
      </c>
    </row>
    <row r="1341" spans="16:22" x14ac:dyDescent="0.45">
      <c r="P1341" s="20" t="s">
        <v>1369</v>
      </c>
      <c r="R1341">
        <v>1</v>
      </c>
      <c r="V1341">
        <v>1</v>
      </c>
    </row>
    <row r="1342" spans="16:22" x14ac:dyDescent="0.45">
      <c r="P1342" s="20" t="s">
        <v>313</v>
      </c>
      <c r="T1342">
        <v>1</v>
      </c>
      <c r="U1342">
        <v>1</v>
      </c>
      <c r="V1342">
        <v>2</v>
      </c>
    </row>
    <row r="1343" spans="16:22" x14ac:dyDescent="0.45">
      <c r="P1343" s="20" t="s">
        <v>1404</v>
      </c>
      <c r="R1343">
        <v>1</v>
      </c>
      <c r="V1343">
        <v>1</v>
      </c>
    </row>
    <row r="1344" spans="16:22" x14ac:dyDescent="0.45">
      <c r="P1344" s="20" t="s">
        <v>928</v>
      </c>
      <c r="R1344">
        <v>1</v>
      </c>
      <c r="V1344">
        <v>1</v>
      </c>
    </row>
    <row r="1345" spans="16:22" x14ac:dyDescent="0.45">
      <c r="P1345" s="20" t="s">
        <v>557</v>
      </c>
      <c r="R1345">
        <v>1</v>
      </c>
      <c r="V1345">
        <v>1</v>
      </c>
    </row>
    <row r="1346" spans="16:22" x14ac:dyDescent="0.45">
      <c r="P1346" s="20" t="s">
        <v>254</v>
      </c>
      <c r="R1346">
        <v>2</v>
      </c>
      <c r="V1346">
        <v>2</v>
      </c>
    </row>
    <row r="1347" spans="16:22" x14ac:dyDescent="0.45">
      <c r="P1347" s="20" t="s">
        <v>926</v>
      </c>
      <c r="R1347">
        <v>1</v>
      </c>
      <c r="V1347">
        <v>1</v>
      </c>
    </row>
    <row r="1348" spans="16:22" x14ac:dyDescent="0.45">
      <c r="P1348" s="20" t="s">
        <v>1014</v>
      </c>
      <c r="R1348">
        <v>1</v>
      </c>
      <c r="V1348">
        <v>1</v>
      </c>
    </row>
    <row r="1349" spans="16:22" x14ac:dyDescent="0.45">
      <c r="P1349" s="20" t="s">
        <v>904</v>
      </c>
      <c r="R1349">
        <v>1</v>
      </c>
      <c r="V1349">
        <v>1</v>
      </c>
    </row>
    <row r="1350" spans="16:22" x14ac:dyDescent="0.45">
      <c r="P1350" s="20" t="s">
        <v>1055</v>
      </c>
      <c r="R1350">
        <v>1</v>
      </c>
      <c r="V1350">
        <v>1</v>
      </c>
    </row>
    <row r="1351" spans="16:22" x14ac:dyDescent="0.45">
      <c r="P1351" s="20" t="s">
        <v>514</v>
      </c>
      <c r="R1351">
        <v>1</v>
      </c>
      <c r="V1351">
        <v>1</v>
      </c>
    </row>
    <row r="1352" spans="16:22" x14ac:dyDescent="0.45">
      <c r="P1352" s="20" t="s">
        <v>1146</v>
      </c>
      <c r="R1352">
        <v>1</v>
      </c>
      <c r="V1352">
        <v>1</v>
      </c>
    </row>
    <row r="1353" spans="16:22" x14ac:dyDescent="0.45">
      <c r="P1353" s="20" t="s">
        <v>1063</v>
      </c>
      <c r="R1353">
        <v>1</v>
      </c>
      <c r="V1353">
        <v>1</v>
      </c>
    </row>
    <row r="1354" spans="16:22" x14ac:dyDescent="0.45">
      <c r="P1354" s="20" t="s">
        <v>1375</v>
      </c>
      <c r="R1354">
        <v>1</v>
      </c>
      <c r="V1354">
        <v>1</v>
      </c>
    </row>
    <row r="1355" spans="16:22" x14ac:dyDescent="0.45">
      <c r="P1355" s="20" t="s">
        <v>1162</v>
      </c>
      <c r="R1355">
        <v>1</v>
      </c>
      <c r="V1355">
        <v>1</v>
      </c>
    </row>
    <row r="1356" spans="16:22" x14ac:dyDescent="0.45">
      <c r="P1356" s="20" t="s">
        <v>403</v>
      </c>
      <c r="U1356">
        <v>2</v>
      </c>
      <c r="V1356">
        <v>2</v>
      </c>
    </row>
    <row r="1357" spans="16:22" x14ac:dyDescent="0.45">
      <c r="P1357" s="20" t="s">
        <v>98</v>
      </c>
      <c r="T1357">
        <v>1</v>
      </c>
      <c r="V1357">
        <v>1</v>
      </c>
    </row>
    <row r="1358" spans="16:22" x14ac:dyDescent="0.45">
      <c r="P1358" s="20" t="s">
        <v>199</v>
      </c>
      <c r="R1358">
        <v>2</v>
      </c>
      <c r="S1358">
        <v>4</v>
      </c>
      <c r="T1358">
        <v>2</v>
      </c>
      <c r="U1358">
        <v>2</v>
      </c>
      <c r="V1358">
        <v>10</v>
      </c>
    </row>
    <row r="1359" spans="16:22" x14ac:dyDescent="0.45">
      <c r="P1359" s="20" t="s">
        <v>1224</v>
      </c>
      <c r="R1359">
        <v>1</v>
      </c>
      <c r="V1359">
        <v>1</v>
      </c>
    </row>
    <row r="1360" spans="16:22" x14ac:dyDescent="0.45">
      <c r="P1360" s="20" t="s">
        <v>978</v>
      </c>
      <c r="R1360">
        <v>1</v>
      </c>
      <c r="V1360">
        <v>1</v>
      </c>
    </row>
    <row r="1361" spans="16:22" x14ac:dyDescent="0.45">
      <c r="P1361" s="20" t="s">
        <v>1004</v>
      </c>
      <c r="R1361">
        <v>1</v>
      </c>
      <c r="V1361">
        <v>1</v>
      </c>
    </row>
    <row r="1362" spans="16:22" x14ac:dyDescent="0.45">
      <c r="P1362" s="20" t="s">
        <v>885</v>
      </c>
      <c r="R1362">
        <v>1</v>
      </c>
      <c r="V1362">
        <v>1</v>
      </c>
    </row>
    <row r="1363" spans="16:22" x14ac:dyDescent="0.45">
      <c r="P1363" s="20" t="s">
        <v>297</v>
      </c>
      <c r="T1363">
        <v>1</v>
      </c>
      <c r="V1363">
        <v>1</v>
      </c>
    </row>
    <row r="1364" spans="16:22" x14ac:dyDescent="0.45">
      <c r="P1364" s="20" t="s">
        <v>181</v>
      </c>
      <c r="R1364">
        <v>1</v>
      </c>
      <c r="V1364">
        <v>1</v>
      </c>
    </row>
    <row r="1365" spans="16:22" x14ac:dyDescent="0.45">
      <c r="P1365" s="20" t="s">
        <v>551</v>
      </c>
      <c r="R1365">
        <v>1</v>
      </c>
      <c r="V1365">
        <v>1</v>
      </c>
    </row>
    <row r="1366" spans="16:22" x14ac:dyDescent="0.45">
      <c r="P1366" s="20" t="s">
        <v>362</v>
      </c>
      <c r="R1366">
        <v>1</v>
      </c>
      <c r="V1366">
        <v>1</v>
      </c>
    </row>
    <row r="1367" spans="16:22" x14ac:dyDescent="0.45">
      <c r="P1367" s="20" t="s">
        <v>64</v>
      </c>
      <c r="T1367">
        <v>2</v>
      </c>
      <c r="U1367">
        <v>5</v>
      </c>
      <c r="V1367">
        <v>7</v>
      </c>
    </row>
    <row r="1368" spans="16:22" x14ac:dyDescent="0.45">
      <c r="P1368" s="20" t="s">
        <v>1003</v>
      </c>
      <c r="R1368">
        <v>1</v>
      </c>
      <c r="V1368">
        <v>1</v>
      </c>
    </row>
    <row r="1369" spans="16:22" x14ac:dyDescent="0.45">
      <c r="P1369" s="20" t="s">
        <v>645</v>
      </c>
      <c r="R1369">
        <v>1</v>
      </c>
      <c r="V1369">
        <v>1</v>
      </c>
    </row>
    <row r="1370" spans="16:22" x14ac:dyDescent="0.45">
      <c r="P1370" s="20" t="s">
        <v>957</v>
      </c>
      <c r="R1370">
        <v>1</v>
      </c>
      <c r="V1370">
        <v>1</v>
      </c>
    </row>
    <row r="1371" spans="16:22" x14ac:dyDescent="0.45">
      <c r="P1371" s="20" t="s">
        <v>1025</v>
      </c>
      <c r="R1371">
        <v>1</v>
      </c>
      <c r="V1371">
        <v>1</v>
      </c>
    </row>
    <row r="1372" spans="16:22" x14ac:dyDescent="0.45">
      <c r="P1372" s="20" t="s">
        <v>729</v>
      </c>
      <c r="R1372">
        <v>1</v>
      </c>
      <c r="V1372">
        <v>1</v>
      </c>
    </row>
    <row r="1373" spans="16:22" x14ac:dyDescent="0.45">
      <c r="P1373" s="20" t="s">
        <v>1001</v>
      </c>
      <c r="R1373">
        <v>1</v>
      </c>
      <c r="V1373">
        <v>1</v>
      </c>
    </row>
    <row r="1374" spans="16:22" x14ac:dyDescent="0.45">
      <c r="P1374" s="20" t="s">
        <v>674</v>
      </c>
      <c r="R1374">
        <v>2</v>
      </c>
      <c r="V1374">
        <v>2</v>
      </c>
    </row>
    <row r="1375" spans="16:22" x14ac:dyDescent="0.45">
      <c r="P1375" s="20" t="s">
        <v>967</v>
      </c>
      <c r="R1375">
        <v>1</v>
      </c>
      <c r="V1375">
        <v>1</v>
      </c>
    </row>
    <row r="1376" spans="16:22" x14ac:dyDescent="0.45">
      <c r="P1376" s="20" t="s">
        <v>60</v>
      </c>
      <c r="T1376">
        <v>2</v>
      </c>
      <c r="V1376">
        <v>2</v>
      </c>
    </row>
    <row r="1377" spans="16:22" x14ac:dyDescent="0.45">
      <c r="P1377" s="20" t="s">
        <v>862</v>
      </c>
      <c r="R1377">
        <v>1</v>
      </c>
      <c r="V1377">
        <v>1</v>
      </c>
    </row>
    <row r="1378" spans="16:22" x14ac:dyDescent="0.45">
      <c r="P1378" s="20" t="s">
        <v>259</v>
      </c>
      <c r="S1378">
        <v>1</v>
      </c>
      <c r="V1378">
        <v>1</v>
      </c>
    </row>
    <row r="1379" spans="16:22" x14ac:dyDescent="0.45">
      <c r="P1379" s="20" t="s">
        <v>1265</v>
      </c>
      <c r="R1379">
        <v>1</v>
      </c>
      <c r="V1379">
        <v>1</v>
      </c>
    </row>
    <row r="1380" spans="16:22" x14ac:dyDescent="0.45">
      <c r="P1380" s="20" t="s">
        <v>1164</v>
      </c>
      <c r="R1380">
        <v>1</v>
      </c>
      <c r="V1380">
        <v>1</v>
      </c>
    </row>
    <row r="1381" spans="16:22" x14ac:dyDescent="0.45">
      <c r="P1381" s="20" t="s">
        <v>1044</v>
      </c>
      <c r="R1381">
        <v>1</v>
      </c>
      <c r="V1381">
        <v>1</v>
      </c>
    </row>
    <row r="1382" spans="16:22" x14ac:dyDescent="0.45">
      <c r="P1382" s="20" t="s">
        <v>1416</v>
      </c>
      <c r="R1382">
        <v>1</v>
      </c>
      <c r="V1382">
        <v>1</v>
      </c>
    </row>
    <row r="1383" spans="16:22" x14ac:dyDescent="0.45">
      <c r="P1383" s="20" t="s">
        <v>1271</v>
      </c>
      <c r="R1383">
        <v>1</v>
      </c>
      <c r="V1383">
        <v>1</v>
      </c>
    </row>
    <row r="1384" spans="16:22" x14ac:dyDescent="0.45">
      <c r="P1384" s="20" t="s">
        <v>1005</v>
      </c>
      <c r="R1384">
        <v>1</v>
      </c>
      <c r="V1384">
        <v>1</v>
      </c>
    </row>
    <row r="1385" spans="16:22" x14ac:dyDescent="0.45">
      <c r="P1385" s="20" t="s">
        <v>475</v>
      </c>
      <c r="R1385">
        <v>1</v>
      </c>
      <c r="V1385">
        <v>1</v>
      </c>
    </row>
    <row r="1386" spans="16:22" x14ac:dyDescent="0.45">
      <c r="P1386" s="20" t="s">
        <v>1091</v>
      </c>
      <c r="R1386">
        <v>1</v>
      </c>
      <c r="V1386">
        <v>1</v>
      </c>
    </row>
    <row r="1387" spans="16:22" x14ac:dyDescent="0.45">
      <c r="P1387" s="20" t="s">
        <v>238</v>
      </c>
      <c r="T1387">
        <v>2</v>
      </c>
      <c r="V1387">
        <v>2</v>
      </c>
    </row>
    <row r="1388" spans="16:22" x14ac:dyDescent="0.45">
      <c r="P1388" s="20" t="s">
        <v>1158</v>
      </c>
      <c r="R1388">
        <v>1</v>
      </c>
      <c r="V1388">
        <v>1</v>
      </c>
    </row>
    <row r="1389" spans="16:22" x14ac:dyDescent="0.45">
      <c r="P1389" s="20" t="s">
        <v>635</v>
      </c>
      <c r="R1389">
        <v>1</v>
      </c>
      <c r="V1389">
        <v>1</v>
      </c>
    </row>
    <row r="1390" spans="16:22" x14ac:dyDescent="0.45">
      <c r="P1390" s="20" t="s">
        <v>178</v>
      </c>
      <c r="R1390">
        <v>2</v>
      </c>
      <c r="V1390">
        <v>2</v>
      </c>
    </row>
    <row r="1391" spans="16:22" x14ac:dyDescent="0.45">
      <c r="P1391" s="20" t="s">
        <v>523</v>
      </c>
      <c r="R1391">
        <v>1</v>
      </c>
      <c r="V1391">
        <v>1</v>
      </c>
    </row>
    <row r="1392" spans="16:22" x14ac:dyDescent="0.45">
      <c r="P1392" s="20" t="s">
        <v>70</v>
      </c>
      <c r="S1392">
        <v>1</v>
      </c>
      <c r="U1392">
        <v>1</v>
      </c>
      <c r="V1392">
        <v>2</v>
      </c>
    </row>
    <row r="1393" spans="16:22" x14ac:dyDescent="0.45">
      <c r="P1393" s="20" t="s">
        <v>34</v>
      </c>
      <c r="T1393">
        <v>1</v>
      </c>
      <c r="U1393">
        <v>1</v>
      </c>
      <c r="V1393">
        <v>2</v>
      </c>
    </row>
    <row r="1394" spans="16:22" x14ac:dyDescent="0.45">
      <c r="P1394" s="20" t="s">
        <v>1028</v>
      </c>
      <c r="R1394">
        <v>1</v>
      </c>
      <c r="V1394">
        <v>1</v>
      </c>
    </row>
    <row r="1395" spans="16:22" x14ac:dyDescent="0.45">
      <c r="P1395" s="20" t="s">
        <v>906</v>
      </c>
      <c r="R1395">
        <v>1</v>
      </c>
      <c r="V1395">
        <v>1</v>
      </c>
    </row>
    <row r="1396" spans="16:22" x14ac:dyDescent="0.45">
      <c r="P1396" s="20" t="s">
        <v>434</v>
      </c>
      <c r="R1396">
        <v>2</v>
      </c>
      <c r="V1396">
        <v>2</v>
      </c>
    </row>
    <row r="1397" spans="16:22" x14ac:dyDescent="0.45">
      <c r="P1397" s="20" t="s">
        <v>989</v>
      </c>
      <c r="R1397">
        <v>1</v>
      </c>
      <c r="V1397">
        <v>1</v>
      </c>
    </row>
    <row r="1398" spans="16:22" x14ac:dyDescent="0.45">
      <c r="P1398" s="20" t="s">
        <v>656</v>
      </c>
      <c r="R1398">
        <v>1</v>
      </c>
      <c r="V1398">
        <v>1</v>
      </c>
    </row>
    <row r="1399" spans="16:22" x14ac:dyDescent="0.45">
      <c r="P1399" s="20" t="s">
        <v>776</v>
      </c>
      <c r="R1399">
        <v>1</v>
      </c>
      <c r="V1399">
        <v>1</v>
      </c>
    </row>
    <row r="1400" spans="16:22" x14ac:dyDescent="0.45">
      <c r="P1400" s="20" t="s">
        <v>1219</v>
      </c>
      <c r="R1400">
        <v>1</v>
      </c>
      <c r="V1400">
        <v>1</v>
      </c>
    </row>
    <row r="1401" spans="16:22" x14ac:dyDescent="0.45">
      <c r="P1401" s="20" t="s">
        <v>1182</v>
      </c>
      <c r="R1401">
        <v>1</v>
      </c>
      <c r="V1401">
        <v>1</v>
      </c>
    </row>
    <row r="1402" spans="16:22" x14ac:dyDescent="0.45">
      <c r="P1402" s="20" t="s">
        <v>1459</v>
      </c>
      <c r="R1402">
        <v>1</v>
      </c>
      <c r="V1402">
        <v>1</v>
      </c>
    </row>
    <row r="1403" spans="16:22" x14ac:dyDescent="0.45">
      <c r="P1403" s="20" t="s">
        <v>333</v>
      </c>
      <c r="R1403">
        <v>3</v>
      </c>
      <c r="V1403">
        <v>3</v>
      </c>
    </row>
    <row r="1404" spans="16:22" x14ac:dyDescent="0.45">
      <c r="P1404" s="20" t="s">
        <v>1118</v>
      </c>
      <c r="S1404">
        <v>1</v>
      </c>
      <c r="V1404">
        <v>1</v>
      </c>
    </row>
    <row r="1405" spans="16:22" x14ac:dyDescent="0.45">
      <c r="P1405" s="20" t="s">
        <v>492</v>
      </c>
      <c r="R1405">
        <v>1</v>
      </c>
      <c r="V1405">
        <v>1</v>
      </c>
    </row>
    <row r="1406" spans="16:22" x14ac:dyDescent="0.45">
      <c r="P1406" s="20" t="s">
        <v>722</v>
      </c>
      <c r="R1406">
        <v>1</v>
      </c>
      <c r="V1406">
        <v>1</v>
      </c>
    </row>
    <row r="1407" spans="16:22" x14ac:dyDescent="0.45">
      <c r="P1407" s="20" t="s">
        <v>221</v>
      </c>
      <c r="S1407">
        <v>1</v>
      </c>
      <c r="V1407">
        <v>1</v>
      </c>
    </row>
    <row r="1408" spans="16:22" x14ac:dyDescent="0.45">
      <c r="P1408" s="20" t="s">
        <v>204</v>
      </c>
      <c r="R1408">
        <v>4</v>
      </c>
      <c r="U1408">
        <v>1</v>
      </c>
      <c r="V1408">
        <v>5</v>
      </c>
    </row>
    <row r="1409" spans="16:22" x14ac:dyDescent="0.45">
      <c r="P1409" s="20" t="s">
        <v>1186</v>
      </c>
      <c r="R1409">
        <v>1</v>
      </c>
      <c r="V1409">
        <v>1</v>
      </c>
    </row>
    <row r="1410" spans="16:22" x14ac:dyDescent="0.45">
      <c r="P1410" s="20" t="s">
        <v>1267</v>
      </c>
      <c r="R1410">
        <v>1</v>
      </c>
      <c r="V1410">
        <v>1</v>
      </c>
    </row>
    <row r="1411" spans="16:22" x14ac:dyDescent="0.45">
      <c r="P1411" s="20" t="s">
        <v>1204</v>
      </c>
      <c r="R1411">
        <v>1</v>
      </c>
      <c r="V1411">
        <v>1</v>
      </c>
    </row>
    <row r="1412" spans="16:22" x14ac:dyDescent="0.45">
      <c r="P1412" s="20" t="s">
        <v>363</v>
      </c>
      <c r="U1412">
        <v>1</v>
      </c>
      <c r="V1412">
        <v>1</v>
      </c>
    </row>
    <row r="1413" spans="16:22" x14ac:dyDescent="0.45">
      <c r="P1413" s="20" t="s">
        <v>770</v>
      </c>
      <c r="R1413">
        <v>1</v>
      </c>
      <c r="V1413">
        <v>1</v>
      </c>
    </row>
    <row r="1414" spans="16:22" x14ac:dyDescent="0.45">
      <c r="P1414" s="20" t="s">
        <v>563</v>
      </c>
      <c r="R1414">
        <v>1</v>
      </c>
      <c r="V1414">
        <v>1</v>
      </c>
    </row>
    <row r="1415" spans="16:22" x14ac:dyDescent="0.45">
      <c r="P1415" s="20" t="s">
        <v>490</v>
      </c>
      <c r="R1415">
        <v>1</v>
      </c>
      <c r="V1415">
        <v>1</v>
      </c>
    </row>
    <row r="1416" spans="16:22" x14ac:dyDescent="0.45">
      <c r="P1416" s="20" t="s">
        <v>605</v>
      </c>
      <c r="R1416">
        <v>1</v>
      </c>
      <c r="V1416">
        <v>1</v>
      </c>
    </row>
    <row r="1417" spans="16:22" x14ac:dyDescent="0.45">
      <c r="P1417" s="20" t="s">
        <v>1102</v>
      </c>
      <c r="R1417">
        <v>1</v>
      </c>
      <c r="V1417">
        <v>1</v>
      </c>
    </row>
    <row r="1418" spans="16:22" x14ac:dyDescent="0.45">
      <c r="P1418" s="20" t="s">
        <v>1057</v>
      </c>
      <c r="R1418">
        <v>1</v>
      </c>
      <c r="V1418">
        <v>1</v>
      </c>
    </row>
    <row r="1419" spans="16:22" x14ac:dyDescent="0.45">
      <c r="P1419" s="20" t="s">
        <v>568</v>
      </c>
      <c r="R1419">
        <v>1</v>
      </c>
      <c r="V1419">
        <v>1</v>
      </c>
    </row>
    <row r="1420" spans="16:22" x14ac:dyDescent="0.45">
      <c r="P1420" s="20" t="s">
        <v>1392</v>
      </c>
      <c r="R1420">
        <v>1</v>
      </c>
      <c r="V1420">
        <v>1</v>
      </c>
    </row>
    <row r="1421" spans="16:22" x14ac:dyDescent="0.45">
      <c r="P1421" s="20" t="s">
        <v>1191</v>
      </c>
      <c r="R1421">
        <v>1</v>
      </c>
      <c r="V1421">
        <v>1</v>
      </c>
    </row>
    <row r="1422" spans="16:22" x14ac:dyDescent="0.45">
      <c r="P1422" s="20" t="s">
        <v>352</v>
      </c>
      <c r="S1422">
        <v>1</v>
      </c>
      <c r="V1422">
        <v>1</v>
      </c>
    </row>
    <row r="1423" spans="16:22" x14ac:dyDescent="0.45">
      <c r="P1423" s="20" t="s">
        <v>503</v>
      </c>
      <c r="R1423">
        <v>1</v>
      </c>
      <c r="V1423">
        <v>1</v>
      </c>
    </row>
    <row r="1424" spans="16:22" x14ac:dyDescent="0.45">
      <c r="P1424" s="20" t="s">
        <v>252</v>
      </c>
      <c r="R1424">
        <v>1</v>
      </c>
      <c r="T1424">
        <v>2</v>
      </c>
      <c r="V1424">
        <v>3</v>
      </c>
    </row>
    <row r="1425" spans="16:22" x14ac:dyDescent="0.45">
      <c r="P1425" s="20" t="s">
        <v>764</v>
      </c>
      <c r="S1425">
        <v>1</v>
      </c>
      <c r="V1425">
        <v>1</v>
      </c>
    </row>
    <row r="1426" spans="16:22" x14ac:dyDescent="0.45">
      <c r="P1426" s="20" t="s">
        <v>1120</v>
      </c>
      <c r="R1426">
        <v>1</v>
      </c>
      <c r="V1426">
        <v>1</v>
      </c>
    </row>
    <row r="1427" spans="16:22" x14ac:dyDescent="0.45">
      <c r="P1427" s="20" t="s">
        <v>579</v>
      </c>
      <c r="R1427">
        <v>2</v>
      </c>
      <c r="V1427">
        <v>2</v>
      </c>
    </row>
    <row r="1428" spans="16:22" x14ac:dyDescent="0.45">
      <c r="P1428" s="20" t="s">
        <v>527</v>
      </c>
      <c r="R1428">
        <v>1</v>
      </c>
      <c r="V1428">
        <v>1</v>
      </c>
    </row>
    <row r="1429" spans="16:22" x14ac:dyDescent="0.45">
      <c r="P1429" s="20" t="s">
        <v>1465</v>
      </c>
      <c r="Q1429">
        <v>8</v>
      </c>
      <c r="R1429">
        <v>1217</v>
      </c>
      <c r="S1429">
        <v>294</v>
      </c>
      <c r="T1429">
        <v>235</v>
      </c>
      <c r="U1429">
        <v>253</v>
      </c>
      <c r="V1429">
        <v>2007</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DEE3B-4140-40E8-B949-B9D2CE5AC955}">
  <dimension ref="A1"/>
  <sheetViews>
    <sheetView showGridLines="0" tabSelected="1" zoomScale="90" zoomScaleNormal="90" workbookViewId="0">
      <selection activeCell="X21" sqref="X21"/>
    </sheetView>
  </sheetViews>
  <sheetFormatPr defaultRowHeight="14.25" x14ac:dyDescent="0.45"/>
  <cols>
    <col min="1" max="16384" width="9.06640625" style="3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E15"/>
  <sheetViews>
    <sheetView showGridLines="0" workbookViewId="0">
      <selection activeCell="D5" sqref="D5:D15"/>
    </sheetView>
  </sheetViews>
  <sheetFormatPr defaultColWidth="13.19921875" defaultRowHeight="14.25" x14ac:dyDescent="0.45"/>
  <cols>
    <col min="1" max="2" width="13.19921875" style="1"/>
    <col min="3" max="3" width="10.33203125" style="1" customWidth="1"/>
    <col min="4" max="4" width="13.19921875" style="1"/>
    <col min="5" max="5" width="18.46484375" style="1" customWidth="1"/>
    <col min="6" max="16384" width="13.19921875" style="1"/>
  </cols>
  <sheetData>
    <row r="2" spans="2:5" ht="14.65" thickBot="1" x14ac:dyDescent="0.5">
      <c r="E2" s="2" t="s">
        <v>460</v>
      </c>
    </row>
    <row r="3" spans="2:5" ht="14.65" thickBot="1" x14ac:dyDescent="0.5">
      <c r="B3" s="4" t="s">
        <v>459</v>
      </c>
      <c r="E3" s="3">
        <v>0.15</v>
      </c>
    </row>
    <row r="4" spans="2:5" x14ac:dyDescent="0.45">
      <c r="B4" s="8" t="s">
        <v>448</v>
      </c>
      <c r="C4" s="9" t="s">
        <v>449</v>
      </c>
      <c r="D4" s="10" t="s">
        <v>450</v>
      </c>
    </row>
    <row r="5" spans="2:5" x14ac:dyDescent="0.45">
      <c r="B5" s="11" t="s">
        <v>451</v>
      </c>
      <c r="C5" s="5">
        <v>50</v>
      </c>
      <c r="D5" s="12"/>
    </row>
    <row r="6" spans="2:5" x14ac:dyDescent="0.45">
      <c r="B6" s="11" t="s">
        <v>452</v>
      </c>
      <c r="C6" s="5">
        <v>100</v>
      </c>
      <c r="D6" s="12"/>
    </row>
    <row r="7" spans="2:5" x14ac:dyDescent="0.45">
      <c r="B7" s="11" t="s">
        <v>453</v>
      </c>
      <c r="C7" s="5">
        <v>150</v>
      </c>
      <c r="D7" s="12"/>
    </row>
    <row r="8" spans="2:5" x14ac:dyDescent="0.45">
      <c r="B8" s="11" t="s">
        <v>454</v>
      </c>
      <c r="C8" s="5">
        <v>70</v>
      </c>
      <c r="D8" s="12"/>
    </row>
    <row r="9" spans="2:5" x14ac:dyDescent="0.45">
      <c r="B9" s="11" t="s">
        <v>455</v>
      </c>
      <c r="C9" s="5">
        <v>65</v>
      </c>
      <c r="D9" s="12"/>
    </row>
    <row r="10" spans="2:5" x14ac:dyDescent="0.45">
      <c r="B10" s="11" t="s">
        <v>456</v>
      </c>
      <c r="C10" s="5">
        <v>30</v>
      </c>
      <c r="D10" s="12"/>
    </row>
    <row r="11" spans="2:5" x14ac:dyDescent="0.45">
      <c r="B11" s="11" t="s">
        <v>457</v>
      </c>
      <c r="C11" s="5">
        <v>25</v>
      </c>
      <c r="D11" s="12"/>
    </row>
    <row r="12" spans="2:5" x14ac:dyDescent="0.45">
      <c r="B12" s="11" t="s">
        <v>458</v>
      </c>
      <c r="C12" s="6">
        <v>15</v>
      </c>
      <c r="D12" s="12"/>
    </row>
    <row r="13" spans="2:5" x14ac:dyDescent="0.45">
      <c r="B13" s="11" t="s">
        <v>461</v>
      </c>
      <c r="C13" s="7">
        <v>16</v>
      </c>
      <c r="D13" s="12"/>
    </row>
    <row r="14" spans="2:5" x14ac:dyDescent="0.45">
      <c r="B14" s="11" t="s">
        <v>462</v>
      </c>
      <c r="C14" s="7">
        <v>10</v>
      </c>
      <c r="D14" s="12"/>
    </row>
    <row r="15" spans="2:5" ht="14.65" thickBot="1" x14ac:dyDescent="0.5">
      <c r="B15" s="13" t="s">
        <v>463</v>
      </c>
      <c r="C15" s="14">
        <v>26</v>
      </c>
      <c r="D15"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DDC9C-C8BF-4B9D-9653-4DF52F0A37C9}">
  <dimension ref="B2:E15"/>
  <sheetViews>
    <sheetView showGridLines="0" workbookViewId="0">
      <selection activeCell="F20" sqref="F20"/>
    </sheetView>
  </sheetViews>
  <sheetFormatPr defaultColWidth="13.19921875" defaultRowHeight="14.25" x14ac:dyDescent="0.45"/>
  <cols>
    <col min="1" max="2" width="13.19921875" style="1"/>
    <col min="3" max="3" width="10.33203125" style="1" customWidth="1"/>
    <col min="4" max="4" width="13.19921875" style="1"/>
    <col min="5" max="5" width="18.46484375" style="1" customWidth="1"/>
    <col min="6" max="16384" width="13.19921875" style="1"/>
  </cols>
  <sheetData>
    <row r="2" spans="2:5" ht="14.65" thickBot="1" x14ac:dyDescent="0.5">
      <c r="E2" s="2" t="s">
        <v>460</v>
      </c>
    </row>
    <row r="3" spans="2:5" ht="14.65" thickBot="1" x14ac:dyDescent="0.5">
      <c r="B3" s="4" t="s">
        <v>459</v>
      </c>
      <c r="E3" s="3">
        <v>0.15</v>
      </c>
    </row>
    <row r="4" spans="2:5" x14ac:dyDescent="0.45">
      <c r="B4" s="8" t="s">
        <v>448</v>
      </c>
      <c r="C4" s="9" t="s">
        <v>449</v>
      </c>
      <c r="D4" s="10" t="s">
        <v>450</v>
      </c>
    </row>
    <row r="5" spans="2:5" x14ac:dyDescent="0.45">
      <c r="B5" s="11" t="s">
        <v>451</v>
      </c>
      <c r="C5" s="5">
        <v>50</v>
      </c>
      <c r="D5" s="12">
        <f>C5+(0.15*C5)</f>
        <v>57.5</v>
      </c>
    </row>
    <row r="6" spans="2:5" x14ac:dyDescent="0.45">
      <c r="B6" s="11" t="s">
        <v>452</v>
      </c>
      <c r="C6" s="5">
        <v>100</v>
      </c>
      <c r="D6" s="12">
        <f t="shared" ref="D6:D15" si="0">C6+(0.15*C6)</f>
        <v>115</v>
      </c>
    </row>
    <row r="7" spans="2:5" x14ac:dyDescent="0.45">
      <c r="B7" s="11" t="s">
        <v>453</v>
      </c>
      <c r="C7" s="5">
        <v>150</v>
      </c>
      <c r="D7" s="12">
        <f t="shared" si="0"/>
        <v>172.5</v>
      </c>
    </row>
    <row r="8" spans="2:5" x14ac:dyDescent="0.45">
      <c r="B8" s="11" t="s">
        <v>454</v>
      </c>
      <c r="C8" s="5">
        <v>70</v>
      </c>
      <c r="D8" s="12">
        <f t="shared" si="0"/>
        <v>80.5</v>
      </c>
    </row>
    <row r="9" spans="2:5" x14ac:dyDescent="0.45">
      <c r="B9" s="11" t="s">
        <v>455</v>
      </c>
      <c r="C9" s="5">
        <v>65</v>
      </c>
      <c r="D9" s="12">
        <f t="shared" si="0"/>
        <v>74.75</v>
      </c>
    </row>
    <row r="10" spans="2:5" x14ac:dyDescent="0.45">
      <c r="B10" s="11" t="s">
        <v>456</v>
      </c>
      <c r="C10" s="5">
        <v>30</v>
      </c>
      <c r="D10" s="12">
        <f t="shared" si="0"/>
        <v>34.5</v>
      </c>
    </row>
    <row r="11" spans="2:5" x14ac:dyDescent="0.45">
      <c r="B11" s="11" t="s">
        <v>457</v>
      </c>
      <c r="C11" s="5">
        <v>25</v>
      </c>
      <c r="D11" s="12">
        <f t="shared" si="0"/>
        <v>28.75</v>
      </c>
    </row>
    <row r="12" spans="2:5" x14ac:dyDescent="0.45">
      <c r="B12" s="11" t="s">
        <v>458</v>
      </c>
      <c r="C12" s="6">
        <v>15</v>
      </c>
      <c r="D12" s="12">
        <f t="shared" si="0"/>
        <v>17.25</v>
      </c>
    </row>
    <row r="13" spans="2:5" x14ac:dyDescent="0.45">
      <c r="B13" s="11" t="s">
        <v>461</v>
      </c>
      <c r="C13" s="7">
        <v>16</v>
      </c>
      <c r="D13" s="12">
        <f t="shared" si="0"/>
        <v>18.399999999999999</v>
      </c>
    </row>
    <row r="14" spans="2:5" x14ac:dyDescent="0.45">
      <c r="B14" s="11" t="s">
        <v>462</v>
      </c>
      <c r="C14" s="7">
        <v>10</v>
      </c>
      <c r="D14" s="12">
        <f t="shared" si="0"/>
        <v>11.5</v>
      </c>
    </row>
    <row r="15" spans="2:5" ht="14.65" thickBot="1" x14ac:dyDescent="0.5">
      <c r="B15" s="13" t="s">
        <v>463</v>
      </c>
      <c r="C15" s="14">
        <v>26</v>
      </c>
      <c r="D15" s="12">
        <f t="shared" si="0"/>
        <v>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Group Members</vt:lpstr>
      <vt:lpstr>GGC Limited </vt:lpstr>
      <vt:lpstr>Working Doc. 1</vt:lpstr>
      <vt:lpstr>Pivot Analysis</vt:lpstr>
      <vt:lpstr>Dashboard</vt:lpstr>
      <vt:lpstr>Cubana International</vt:lpstr>
      <vt:lpstr>Working Doc. 2</vt:lpstr>
      <vt:lpstr>Average_Sales</vt:lpstr>
      <vt:lpstr>Maximum_Sale</vt:lpstr>
      <vt:lpstr>Minimum_Sale</vt:lpstr>
      <vt:lpstr>Total_Sales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Getbundi Excel Project</dc:title>
  <dc:creator>Falola Boluwatife</dc:creator>
  <cp:lastModifiedBy>Boluwatife Falola</cp:lastModifiedBy>
  <dcterms:created xsi:type="dcterms:W3CDTF">2014-12-11T15:22:02Z</dcterms:created>
  <dcterms:modified xsi:type="dcterms:W3CDTF">2026-01-28T02:12:58Z</dcterms:modified>
</cp:coreProperties>
</file>